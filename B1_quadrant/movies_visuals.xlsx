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CMM500 - MSC PROJECT\data\quadrants\"/>
    </mc:Choice>
  </mc:AlternateContent>
  <xr:revisionPtr revIDLastSave="0" documentId="13_ncr:1_{102AB7A0-204C-4EA2-8154-A7205570984D}" xr6:coauthVersionLast="47" xr6:coauthVersionMax="47" xr10:uidLastSave="{00000000-0000-0000-0000-000000000000}"/>
  <bookViews>
    <workbookView xWindow="-110" yWindow="-110" windowWidth="19420" windowHeight="10300" xr2:uid="{3E13FB7B-C19A-4808-B351-F8BDB04C7479}"/>
  </bookViews>
  <sheets>
    <sheet name="Sheet1" sheetId="1" r:id="rId1"/>
    <sheet name="Strategic Predictor" sheetId="2" r:id="rId2"/>
  </sheets>
  <definedNames>
    <definedName name="_xlnm._FilterDatabase" localSheetId="0" hidden="1">Sheet1!$A$1:$T$1086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2" i="1"/>
  <c r="D3" i="2"/>
  <c r="D2" i="2"/>
  <c r="D4" i="2" s="1"/>
  <c r="N1063" i="1"/>
  <c r="N1055" i="1"/>
  <c r="N1047" i="1"/>
  <c r="N1039" i="1"/>
  <c r="N1032" i="1"/>
  <c r="N1027" i="1"/>
  <c r="N1020" i="1"/>
  <c r="N1004" i="1"/>
  <c r="N996" i="1"/>
  <c r="N989" i="1"/>
  <c r="N973" i="1"/>
  <c r="N965" i="1"/>
  <c r="N957" i="1"/>
  <c r="N941" i="1"/>
  <c r="N933" i="1"/>
  <c r="N925" i="1"/>
  <c r="N909" i="1"/>
  <c r="N902" i="1"/>
  <c r="N894" i="1"/>
  <c r="N878" i="1"/>
  <c r="N870" i="1"/>
  <c r="N863" i="1"/>
  <c r="N847" i="1"/>
  <c r="N839" i="1"/>
  <c r="N831" i="1"/>
  <c r="N816" i="1"/>
  <c r="N808" i="1"/>
  <c r="N800" i="1"/>
  <c r="N785" i="1"/>
  <c r="N1072" i="1"/>
  <c r="N1071" i="1"/>
  <c r="N1064" i="1"/>
  <c r="N1056" i="1"/>
  <c r="N1048" i="1"/>
  <c r="N1040" i="1"/>
  <c r="N1033" i="1"/>
  <c r="N1028" i="1"/>
  <c r="N1021" i="1"/>
  <c r="N1013" i="1"/>
  <c r="N1012" i="1"/>
  <c r="N1005" i="1"/>
  <c r="N997" i="1"/>
  <c r="N990" i="1"/>
  <c r="N982" i="1"/>
  <c r="N981" i="1"/>
  <c r="N974" i="1"/>
  <c r="N966" i="1"/>
  <c r="N958" i="1"/>
  <c r="N950" i="1"/>
  <c r="N949" i="1"/>
  <c r="N942" i="1"/>
  <c r="N934" i="1"/>
  <c r="N926" i="1"/>
  <c r="N918" i="1"/>
  <c r="N917" i="1"/>
  <c r="N910" i="1"/>
  <c r="N903" i="1"/>
  <c r="N895" i="1"/>
  <c r="N887" i="1"/>
  <c r="N886" i="1"/>
  <c r="N879" i="1"/>
  <c r="N871" i="1"/>
  <c r="N864" i="1"/>
  <c r="N856" i="1"/>
  <c r="N855" i="1"/>
  <c r="N848" i="1"/>
  <c r="N840" i="1"/>
  <c r="N832" i="1"/>
  <c r="N825" i="1"/>
  <c r="N824" i="1"/>
  <c r="N817" i="1"/>
  <c r="N809" i="1"/>
  <c r="N801" i="1"/>
  <c r="N794" i="1"/>
  <c r="N793" i="1"/>
  <c r="N786" i="1"/>
  <c r="N779" i="1"/>
  <c r="Q3" i="1"/>
  <c r="S3" i="1" s="1"/>
  <c r="Q4" i="1"/>
  <c r="S4" i="1" s="1"/>
  <c r="Q5" i="1"/>
  <c r="S5" i="1" s="1"/>
  <c r="Q6" i="1"/>
  <c r="S6" i="1" s="1"/>
  <c r="Q7" i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S103" i="1" s="1"/>
  <c r="Q104" i="1"/>
  <c r="S104" i="1" s="1"/>
  <c r="Q105" i="1"/>
  <c r="S105" i="1" s="1"/>
  <c r="Q106" i="1"/>
  <c r="S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S134" i="1" s="1"/>
  <c r="Q135" i="1"/>
  <c r="S135" i="1" s="1"/>
  <c r="Q136" i="1"/>
  <c r="S136" i="1" s="1"/>
  <c r="Q137" i="1"/>
  <c r="S137" i="1" s="1"/>
  <c r="Q138" i="1"/>
  <c r="S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S144" i="1" s="1"/>
  <c r="Q145" i="1"/>
  <c r="S145" i="1" s="1"/>
  <c r="Q146" i="1"/>
  <c r="S146" i="1" s="1"/>
  <c r="Q147" i="1"/>
  <c r="S147" i="1" s="1"/>
  <c r="Q148" i="1"/>
  <c r="S148" i="1" s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Q155" i="1"/>
  <c r="S155" i="1" s="1"/>
  <c r="Q156" i="1"/>
  <c r="S156" i="1" s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S162" i="1" s="1"/>
  <c r="Q163" i="1"/>
  <c r="S163" i="1" s="1"/>
  <c r="Q164" i="1"/>
  <c r="S164" i="1" s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S170" i="1" s="1"/>
  <c r="Q171" i="1"/>
  <c r="S171" i="1" s="1"/>
  <c r="Q172" i="1"/>
  <c r="S172" i="1" s="1"/>
  <c r="Q173" i="1"/>
  <c r="S173" i="1" s="1"/>
  <c r="Q174" i="1"/>
  <c r="S174" i="1" s="1"/>
  <c r="Q175" i="1"/>
  <c r="S175" i="1" s="1"/>
  <c r="Q176" i="1"/>
  <c r="S176" i="1" s="1"/>
  <c r="Q177" i="1"/>
  <c r="S177" i="1" s="1"/>
  <c r="Q178" i="1"/>
  <c r="S178" i="1" s="1"/>
  <c r="Q179" i="1"/>
  <c r="S179" i="1" s="1"/>
  <c r="Q180" i="1"/>
  <c r="S180" i="1" s="1"/>
  <c r="Q181" i="1"/>
  <c r="S181" i="1" s="1"/>
  <c r="Q182" i="1"/>
  <c r="S182" i="1" s="1"/>
  <c r="Q183" i="1"/>
  <c r="S183" i="1" s="1"/>
  <c r="Q184" i="1"/>
  <c r="S184" i="1" s="1"/>
  <c r="Q185" i="1"/>
  <c r="S185" i="1" s="1"/>
  <c r="Q186" i="1"/>
  <c r="S186" i="1" s="1"/>
  <c r="Q187" i="1"/>
  <c r="S187" i="1" s="1"/>
  <c r="Q188" i="1"/>
  <c r="S188" i="1" s="1"/>
  <c r="Q189" i="1"/>
  <c r="S189" i="1" s="1"/>
  <c r="Q190" i="1"/>
  <c r="S190" i="1" s="1"/>
  <c r="Q191" i="1"/>
  <c r="S191" i="1" s="1"/>
  <c r="Q192" i="1"/>
  <c r="S192" i="1" s="1"/>
  <c r="Q193" i="1"/>
  <c r="S193" i="1" s="1"/>
  <c r="Q194" i="1"/>
  <c r="S194" i="1" s="1"/>
  <c r="Q195" i="1"/>
  <c r="S195" i="1" s="1"/>
  <c r="Q196" i="1"/>
  <c r="S196" i="1" s="1"/>
  <c r="Q197" i="1"/>
  <c r="S197" i="1" s="1"/>
  <c r="Q198" i="1"/>
  <c r="S198" i="1" s="1"/>
  <c r="Q199" i="1"/>
  <c r="S199" i="1" s="1"/>
  <c r="Q200" i="1"/>
  <c r="S200" i="1" s="1"/>
  <c r="Q201" i="1"/>
  <c r="S201" i="1" s="1"/>
  <c r="Q202" i="1"/>
  <c r="S202" i="1" s="1"/>
  <c r="Q203" i="1"/>
  <c r="S203" i="1" s="1"/>
  <c r="Q204" i="1"/>
  <c r="S204" i="1" s="1"/>
  <c r="Q205" i="1"/>
  <c r="S205" i="1" s="1"/>
  <c r="Q206" i="1"/>
  <c r="S206" i="1" s="1"/>
  <c r="Q207" i="1"/>
  <c r="S207" i="1" s="1"/>
  <c r="Q208" i="1"/>
  <c r="S208" i="1" s="1"/>
  <c r="Q209" i="1"/>
  <c r="S209" i="1" s="1"/>
  <c r="Q210" i="1"/>
  <c r="S210" i="1" s="1"/>
  <c r="Q211" i="1"/>
  <c r="S211" i="1" s="1"/>
  <c r="Q212" i="1"/>
  <c r="S212" i="1" s="1"/>
  <c r="Q213" i="1"/>
  <c r="S213" i="1" s="1"/>
  <c r="Q214" i="1"/>
  <c r="S214" i="1" s="1"/>
  <c r="Q215" i="1"/>
  <c r="S215" i="1" s="1"/>
  <c r="Q216" i="1"/>
  <c r="S216" i="1" s="1"/>
  <c r="Q217" i="1"/>
  <c r="S217" i="1" s="1"/>
  <c r="Q218" i="1"/>
  <c r="S218" i="1" s="1"/>
  <c r="Q219" i="1"/>
  <c r="S219" i="1" s="1"/>
  <c r="Q220" i="1"/>
  <c r="S220" i="1" s="1"/>
  <c r="Q221" i="1"/>
  <c r="S221" i="1" s="1"/>
  <c r="Q222" i="1"/>
  <c r="S222" i="1" s="1"/>
  <c r="Q223" i="1"/>
  <c r="S223" i="1" s="1"/>
  <c r="Q224" i="1"/>
  <c r="S224" i="1" s="1"/>
  <c r="Q225" i="1"/>
  <c r="S225" i="1" s="1"/>
  <c r="Q226" i="1"/>
  <c r="S226" i="1" s="1"/>
  <c r="Q227" i="1"/>
  <c r="S227" i="1" s="1"/>
  <c r="Q228" i="1"/>
  <c r="S228" i="1" s="1"/>
  <c r="Q229" i="1"/>
  <c r="S229" i="1" s="1"/>
  <c r="Q230" i="1"/>
  <c r="S230" i="1" s="1"/>
  <c r="Q231" i="1"/>
  <c r="S231" i="1" s="1"/>
  <c r="Q232" i="1"/>
  <c r="S232" i="1" s="1"/>
  <c r="Q233" i="1"/>
  <c r="S233" i="1" s="1"/>
  <c r="Q234" i="1"/>
  <c r="S234" i="1" s="1"/>
  <c r="Q235" i="1"/>
  <c r="S235" i="1" s="1"/>
  <c r="Q236" i="1"/>
  <c r="S236" i="1" s="1"/>
  <c r="Q237" i="1"/>
  <c r="S237" i="1" s="1"/>
  <c r="Q238" i="1"/>
  <c r="S238" i="1" s="1"/>
  <c r="Q239" i="1"/>
  <c r="S239" i="1" s="1"/>
  <c r="Q240" i="1"/>
  <c r="S240" i="1" s="1"/>
  <c r="Q241" i="1"/>
  <c r="S241" i="1" s="1"/>
  <c r="Q242" i="1"/>
  <c r="S242" i="1" s="1"/>
  <c r="Q243" i="1"/>
  <c r="S243" i="1" s="1"/>
  <c r="Q244" i="1"/>
  <c r="S244" i="1" s="1"/>
  <c r="Q245" i="1"/>
  <c r="S245" i="1" s="1"/>
  <c r="Q246" i="1"/>
  <c r="S246" i="1" s="1"/>
  <c r="Q247" i="1"/>
  <c r="S247" i="1" s="1"/>
  <c r="Q248" i="1"/>
  <c r="S248" i="1" s="1"/>
  <c r="Q249" i="1"/>
  <c r="S249" i="1" s="1"/>
  <c r="Q250" i="1"/>
  <c r="S250" i="1" s="1"/>
  <c r="Q251" i="1"/>
  <c r="S251" i="1" s="1"/>
  <c r="Q252" i="1"/>
  <c r="S252" i="1" s="1"/>
  <c r="Q253" i="1"/>
  <c r="S253" i="1" s="1"/>
  <c r="Q254" i="1"/>
  <c r="S254" i="1" s="1"/>
  <c r="Q255" i="1"/>
  <c r="S255" i="1" s="1"/>
  <c r="Q256" i="1"/>
  <c r="S256" i="1" s="1"/>
  <c r="Q257" i="1"/>
  <c r="S257" i="1" s="1"/>
  <c r="Q258" i="1"/>
  <c r="S258" i="1" s="1"/>
  <c r="Q259" i="1"/>
  <c r="S259" i="1" s="1"/>
  <c r="Q260" i="1"/>
  <c r="S260" i="1" s="1"/>
  <c r="Q261" i="1"/>
  <c r="S261" i="1" s="1"/>
  <c r="Q262" i="1"/>
  <c r="S262" i="1" s="1"/>
  <c r="Q263" i="1"/>
  <c r="S263" i="1" s="1"/>
  <c r="Q264" i="1"/>
  <c r="S264" i="1" s="1"/>
  <c r="Q265" i="1"/>
  <c r="S265" i="1" s="1"/>
  <c r="Q266" i="1"/>
  <c r="S266" i="1" s="1"/>
  <c r="Q267" i="1"/>
  <c r="S267" i="1" s="1"/>
  <c r="Q268" i="1"/>
  <c r="S268" i="1" s="1"/>
  <c r="Q269" i="1"/>
  <c r="S269" i="1" s="1"/>
  <c r="Q270" i="1"/>
  <c r="S270" i="1" s="1"/>
  <c r="Q271" i="1"/>
  <c r="S271" i="1" s="1"/>
  <c r="Q272" i="1"/>
  <c r="S272" i="1" s="1"/>
  <c r="Q273" i="1"/>
  <c r="S273" i="1" s="1"/>
  <c r="Q274" i="1"/>
  <c r="S274" i="1" s="1"/>
  <c r="Q275" i="1"/>
  <c r="S275" i="1" s="1"/>
  <c r="Q276" i="1"/>
  <c r="S276" i="1" s="1"/>
  <c r="Q277" i="1"/>
  <c r="S277" i="1" s="1"/>
  <c r="Q278" i="1"/>
  <c r="S278" i="1" s="1"/>
  <c r="Q279" i="1"/>
  <c r="S279" i="1" s="1"/>
  <c r="Q280" i="1"/>
  <c r="S280" i="1" s="1"/>
  <c r="Q281" i="1"/>
  <c r="S281" i="1" s="1"/>
  <c r="Q282" i="1"/>
  <c r="S282" i="1" s="1"/>
  <c r="Q283" i="1"/>
  <c r="S283" i="1" s="1"/>
  <c r="Q284" i="1"/>
  <c r="S284" i="1" s="1"/>
  <c r="Q285" i="1"/>
  <c r="S285" i="1" s="1"/>
  <c r="Q286" i="1"/>
  <c r="S286" i="1" s="1"/>
  <c r="Q287" i="1"/>
  <c r="S287" i="1" s="1"/>
  <c r="Q288" i="1"/>
  <c r="S288" i="1" s="1"/>
  <c r="Q289" i="1"/>
  <c r="S289" i="1" s="1"/>
  <c r="Q290" i="1"/>
  <c r="S290" i="1" s="1"/>
  <c r="Q291" i="1"/>
  <c r="S291" i="1" s="1"/>
  <c r="Q292" i="1"/>
  <c r="S292" i="1" s="1"/>
  <c r="Q293" i="1"/>
  <c r="S293" i="1" s="1"/>
  <c r="Q294" i="1"/>
  <c r="S294" i="1" s="1"/>
  <c r="Q295" i="1"/>
  <c r="S295" i="1" s="1"/>
  <c r="Q296" i="1"/>
  <c r="S296" i="1" s="1"/>
  <c r="Q297" i="1"/>
  <c r="S297" i="1" s="1"/>
  <c r="Q298" i="1"/>
  <c r="S298" i="1" s="1"/>
  <c r="Q299" i="1"/>
  <c r="S299" i="1" s="1"/>
  <c r="Q300" i="1"/>
  <c r="S300" i="1" s="1"/>
  <c r="Q301" i="1"/>
  <c r="S301" i="1" s="1"/>
  <c r="Q302" i="1"/>
  <c r="S302" i="1" s="1"/>
  <c r="Q303" i="1"/>
  <c r="S303" i="1" s="1"/>
  <c r="Q304" i="1"/>
  <c r="S304" i="1" s="1"/>
  <c r="Q305" i="1"/>
  <c r="S305" i="1" s="1"/>
  <c r="Q306" i="1"/>
  <c r="S306" i="1" s="1"/>
  <c r="Q307" i="1"/>
  <c r="S307" i="1" s="1"/>
  <c r="Q308" i="1"/>
  <c r="S308" i="1" s="1"/>
  <c r="Q309" i="1"/>
  <c r="S309" i="1" s="1"/>
  <c r="Q310" i="1"/>
  <c r="S310" i="1" s="1"/>
  <c r="Q311" i="1"/>
  <c r="S311" i="1" s="1"/>
  <c r="Q312" i="1"/>
  <c r="S312" i="1" s="1"/>
  <c r="Q313" i="1"/>
  <c r="S313" i="1" s="1"/>
  <c r="Q314" i="1"/>
  <c r="S314" i="1" s="1"/>
  <c r="Q315" i="1"/>
  <c r="S315" i="1" s="1"/>
  <c r="Q316" i="1"/>
  <c r="S316" i="1" s="1"/>
  <c r="Q317" i="1"/>
  <c r="S317" i="1" s="1"/>
  <c r="Q318" i="1"/>
  <c r="S318" i="1" s="1"/>
  <c r="Q319" i="1"/>
  <c r="S319" i="1" s="1"/>
  <c r="Q320" i="1"/>
  <c r="S320" i="1" s="1"/>
  <c r="Q321" i="1"/>
  <c r="S321" i="1" s="1"/>
  <c r="Q322" i="1"/>
  <c r="S322" i="1" s="1"/>
  <c r="Q323" i="1"/>
  <c r="S323" i="1" s="1"/>
  <c r="Q324" i="1"/>
  <c r="S324" i="1" s="1"/>
  <c r="Q325" i="1"/>
  <c r="S325" i="1" s="1"/>
  <c r="Q326" i="1"/>
  <c r="S326" i="1" s="1"/>
  <c r="Q327" i="1"/>
  <c r="S327" i="1" s="1"/>
  <c r="Q328" i="1"/>
  <c r="S328" i="1" s="1"/>
  <c r="Q329" i="1"/>
  <c r="S329" i="1" s="1"/>
  <c r="Q330" i="1"/>
  <c r="S330" i="1" s="1"/>
  <c r="Q331" i="1"/>
  <c r="S331" i="1" s="1"/>
  <c r="Q332" i="1"/>
  <c r="S332" i="1" s="1"/>
  <c r="Q333" i="1"/>
  <c r="S333" i="1" s="1"/>
  <c r="Q334" i="1"/>
  <c r="S334" i="1" s="1"/>
  <c r="Q335" i="1"/>
  <c r="S335" i="1" s="1"/>
  <c r="Q336" i="1"/>
  <c r="S336" i="1" s="1"/>
  <c r="Q337" i="1"/>
  <c r="S337" i="1" s="1"/>
  <c r="Q338" i="1"/>
  <c r="S338" i="1" s="1"/>
  <c r="Q339" i="1"/>
  <c r="S339" i="1" s="1"/>
  <c r="Q340" i="1"/>
  <c r="S340" i="1" s="1"/>
  <c r="Q341" i="1"/>
  <c r="S341" i="1" s="1"/>
  <c r="Q342" i="1"/>
  <c r="S342" i="1" s="1"/>
  <c r="Q343" i="1"/>
  <c r="S343" i="1" s="1"/>
  <c r="Q344" i="1"/>
  <c r="S344" i="1" s="1"/>
  <c r="Q345" i="1"/>
  <c r="S345" i="1" s="1"/>
  <c r="Q346" i="1"/>
  <c r="S346" i="1" s="1"/>
  <c r="Q347" i="1"/>
  <c r="S347" i="1" s="1"/>
  <c r="Q348" i="1"/>
  <c r="S348" i="1" s="1"/>
  <c r="Q349" i="1"/>
  <c r="S349" i="1" s="1"/>
  <c r="Q350" i="1"/>
  <c r="S350" i="1" s="1"/>
  <c r="Q351" i="1"/>
  <c r="S351" i="1" s="1"/>
  <c r="Q352" i="1"/>
  <c r="S352" i="1" s="1"/>
  <c r="Q353" i="1"/>
  <c r="S353" i="1" s="1"/>
  <c r="Q354" i="1"/>
  <c r="S354" i="1" s="1"/>
  <c r="Q355" i="1"/>
  <c r="S355" i="1" s="1"/>
  <c r="Q356" i="1"/>
  <c r="S356" i="1" s="1"/>
  <c r="Q357" i="1"/>
  <c r="S357" i="1" s="1"/>
  <c r="Q358" i="1"/>
  <c r="S358" i="1" s="1"/>
  <c r="Q359" i="1"/>
  <c r="S359" i="1" s="1"/>
  <c r="Q360" i="1"/>
  <c r="S360" i="1" s="1"/>
  <c r="Q361" i="1"/>
  <c r="S361" i="1" s="1"/>
  <c r="Q362" i="1"/>
  <c r="S362" i="1" s="1"/>
  <c r="Q363" i="1"/>
  <c r="S363" i="1" s="1"/>
  <c r="Q364" i="1"/>
  <c r="S364" i="1" s="1"/>
  <c r="Q365" i="1"/>
  <c r="S365" i="1" s="1"/>
  <c r="Q366" i="1"/>
  <c r="S366" i="1" s="1"/>
  <c r="Q367" i="1"/>
  <c r="S367" i="1" s="1"/>
  <c r="Q368" i="1"/>
  <c r="S368" i="1" s="1"/>
  <c r="Q369" i="1"/>
  <c r="S369" i="1" s="1"/>
  <c r="Q370" i="1"/>
  <c r="S370" i="1" s="1"/>
  <c r="Q371" i="1"/>
  <c r="S371" i="1" s="1"/>
  <c r="Q372" i="1"/>
  <c r="S372" i="1" s="1"/>
  <c r="Q373" i="1"/>
  <c r="S373" i="1" s="1"/>
  <c r="Q374" i="1"/>
  <c r="S374" i="1" s="1"/>
  <c r="Q375" i="1"/>
  <c r="S375" i="1" s="1"/>
  <c r="Q376" i="1"/>
  <c r="S376" i="1" s="1"/>
  <c r="Q377" i="1"/>
  <c r="S377" i="1" s="1"/>
  <c r="Q378" i="1"/>
  <c r="S378" i="1" s="1"/>
  <c r="Q379" i="1"/>
  <c r="S379" i="1" s="1"/>
  <c r="Q380" i="1"/>
  <c r="S380" i="1" s="1"/>
  <c r="Q381" i="1"/>
  <c r="S381" i="1" s="1"/>
  <c r="Q382" i="1"/>
  <c r="S382" i="1" s="1"/>
  <c r="Q383" i="1"/>
  <c r="S383" i="1" s="1"/>
  <c r="Q384" i="1"/>
  <c r="S384" i="1" s="1"/>
  <c r="Q385" i="1"/>
  <c r="S385" i="1" s="1"/>
  <c r="Q386" i="1"/>
  <c r="S386" i="1" s="1"/>
  <c r="Q387" i="1"/>
  <c r="S387" i="1" s="1"/>
  <c r="Q388" i="1"/>
  <c r="S388" i="1" s="1"/>
  <c r="Q389" i="1"/>
  <c r="S389" i="1" s="1"/>
  <c r="Q390" i="1"/>
  <c r="S390" i="1" s="1"/>
  <c r="Q391" i="1"/>
  <c r="S391" i="1" s="1"/>
  <c r="Q392" i="1"/>
  <c r="S392" i="1" s="1"/>
  <c r="Q393" i="1"/>
  <c r="S393" i="1" s="1"/>
  <c r="Q394" i="1"/>
  <c r="S394" i="1" s="1"/>
  <c r="Q395" i="1"/>
  <c r="S395" i="1" s="1"/>
  <c r="Q396" i="1"/>
  <c r="S396" i="1" s="1"/>
  <c r="Q397" i="1"/>
  <c r="S397" i="1" s="1"/>
  <c r="Q398" i="1"/>
  <c r="S398" i="1" s="1"/>
  <c r="Q399" i="1"/>
  <c r="S399" i="1" s="1"/>
  <c r="Q400" i="1"/>
  <c r="S400" i="1" s="1"/>
  <c r="Q401" i="1"/>
  <c r="S401" i="1" s="1"/>
  <c r="Q402" i="1"/>
  <c r="S402" i="1" s="1"/>
  <c r="Q403" i="1"/>
  <c r="S403" i="1" s="1"/>
  <c r="Q404" i="1"/>
  <c r="S404" i="1" s="1"/>
  <c r="Q405" i="1"/>
  <c r="S405" i="1" s="1"/>
  <c r="Q406" i="1"/>
  <c r="S406" i="1" s="1"/>
  <c r="Q407" i="1"/>
  <c r="S407" i="1" s="1"/>
  <c r="Q408" i="1"/>
  <c r="S408" i="1" s="1"/>
  <c r="Q409" i="1"/>
  <c r="S409" i="1" s="1"/>
  <c r="Q410" i="1"/>
  <c r="S410" i="1" s="1"/>
  <c r="Q411" i="1"/>
  <c r="S411" i="1" s="1"/>
  <c r="Q412" i="1"/>
  <c r="S412" i="1" s="1"/>
  <c r="Q413" i="1"/>
  <c r="S413" i="1" s="1"/>
  <c r="Q414" i="1"/>
  <c r="S414" i="1" s="1"/>
  <c r="Q415" i="1"/>
  <c r="S415" i="1" s="1"/>
  <c r="Q416" i="1"/>
  <c r="S416" i="1" s="1"/>
  <c r="Q417" i="1"/>
  <c r="S417" i="1" s="1"/>
  <c r="Q418" i="1"/>
  <c r="S418" i="1" s="1"/>
  <c r="Q419" i="1"/>
  <c r="S419" i="1" s="1"/>
  <c r="Q420" i="1"/>
  <c r="S420" i="1" s="1"/>
  <c r="Q421" i="1"/>
  <c r="S421" i="1" s="1"/>
  <c r="Q422" i="1"/>
  <c r="S422" i="1" s="1"/>
  <c r="Q423" i="1"/>
  <c r="S423" i="1" s="1"/>
  <c r="Q424" i="1"/>
  <c r="S424" i="1" s="1"/>
  <c r="Q425" i="1"/>
  <c r="S425" i="1" s="1"/>
  <c r="Q426" i="1"/>
  <c r="S426" i="1" s="1"/>
  <c r="Q427" i="1"/>
  <c r="S427" i="1" s="1"/>
  <c r="Q428" i="1"/>
  <c r="S428" i="1" s="1"/>
  <c r="Q429" i="1"/>
  <c r="S429" i="1" s="1"/>
  <c r="Q430" i="1"/>
  <c r="S430" i="1" s="1"/>
  <c r="Q431" i="1"/>
  <c r="S431" i="1" s="1"/>
  <c r="Q432" i="1"/>
  <c r="S432" i="1" s="1"/>
  <c r="Q433" i="1"/>
  <c r="S433" i="1" s="1"/>
  <c r="Q434" i="1"/>
  <c r="S434" i="1" s="1"/>
  <c r="Q435" i="1"/>
  <c r="S435" i="1" s="1"/>
  <c r="Q436" i="1"/>
  <c r="S436" i="1" s="1"/>
  <c r="Q437" i="1"/>
  <c r="S437" i="1" s="1"/>
  <c r="Q438" i="1"/>
  <c r="S438" i="1" s="1"/>
  <c r="Q439" i="1"/>
  <c r="S439" i="1" s="1"/>
  <c r="Q440" i="1"/>
  <c r="S440" i="1" s="1"/>
  <c r="Q441" i="1"/>
  <c r="S441" i="1" s="1"/>
  <c r="Q442" i="1"/>
  <c r="S442" i="1" s="1"/>
  <c r="Q443" i="1"/>
  <c r="S443" i="1" s="1"/>
  <c r="Q444" i="1"/>
  <c r="S444" i="1" s="1"/>
  <c r="Q445" i="1"/>
  <c r="S445" i="1" s="1"/>
  <c r="Q446" i="1"/>
  <c r="S446" i="1" s="1"/>
  <c r="Q447" i="1"/>
  <c r="S447" i="1" s="1"/>
  <c r="Q448" i="1"/>
  <c r="S448" i="1" s="1"/>
  <c r="Q449" i="1"/>
  <c r="S449" i="1" s="1"/>
  <c r="Q450" i="1"/>
  <c r="S450" i="1" s="1"/>
  <c r="Q451" i="1"/>
  <c r="S451" i="1" s="1"/>
  <c r="Q452" i="1"/>
  <c r="S452" i="1" s="1"/>
  <c r="Q453" i="1"/>
  <c r="S453" i="1" s="1"/>
  <c r="Q454" i="1"/>
  <c r="S454" i="1" s="1"/>
  <c r="Q455" i="1"/>
  <c r="S455" i="1" s="1"/>
  <c r="Q456" i="1"/>
  <c r="S456" i="1" s="1"/>
  <c r="Q457" i="1"/>
  <c r="S457" i="1" s="1"/>
  <c r="Q458" i="1"/>
  <c r="S458" i="1" s="1"/>
  <c r="Q459" i="1"/>
  <c r="S459" i="1" s="1"/>
  <c r="Q460" i="1"/>
  <c r="S460" i="1" s="1"/>
  <c r="Q461" i="1"/>
  <c r="S461" i="1" s="1"/>
  <c r="Q462" i="1"/>
  <c r="S462" i="1" s="1"/>
  <c r="Q463" i="1"/>
  <c r="S463" i="1" s="1"/>
  <c r="Q464" i="1"/>
  <c r="S464" i="1" s="1"/>
  <c r="Q465" i="1"/>
  <c r="S465" i="1" s="1"/>
  <c r="Q466" i="1"/>
  <c r="S466" i="1" s="1"/>
  <c r="Q467" i="1"/>
  <c r="S467" i="1" s="1"/>
  <c r="Q468" i="1"/>
  <c r="S468" i="1" s="1"/>
  <c r="Q469" i="1"/>
  <c r="S469" i="1" s="1"/>
  <c r="Q470" i="1"/>
  <c r="S470" i="1" s="1"/>
  <c r="Q471" i="1"/>
  <c r="S471" i="1" s="1"/>
  <c r="Q472" i="1"/>
  <c r="S472" i="1" s="1"/>
  <c r="Q473" i="1"/>
  <c r="S473" i="1" s="1"/>
  <c r="Q474" i="1"/>
  <c r="S474" i="1" s="1"/>
  <c r="Q475" i="1"/>
  <c r="S475" i="1" s="1"/>
  <c r="Q476" i="1"/>
  <c r="S476" i="1" s="1"/>
  <c r="Q477" i="1"/>
  <c r="S477" i="1" s="1"/>
  <c r="Q478" i="1"/>
  <c r="S478" i="1" s="1"/>
  <c r="Q479" i="1"/>
  <c r="S479" i="1" s="1"/>
  <c r="Q480" i="1"/>
  <c r="S480" i="1" s="1"/>
  <c r="Q481" i="1"/>
  <c r="S481" i="1" s="1"/>
  <c r="Q482" i="1"/>
  <c r="S482" i="1" s="1"/>
  <c r="Q483" i="1"/>
  <c r="S483" i="1" s="1"/>
  <c r="Q484" i="1"/>
  <c r="S484" i="1" s="1"/>
  <c r="Q485" i="1"/>
  <c r="S485" i="1" s="1"/>
  <c r="Q486" i="1"/>
  <c r="S486" i="1" s="1"/>
  <c r="Q487" i="1"/>
  <c r="S487" i="1" s="1"/>
  <c r="Q488" i="1"/>
  <c r="S488" i="1" s="1"/>
  <c r="Q489" i="1"/>
  <c r="S489" i="1" s="1"/>
  <c r="Q490" i="1"/>
  <c r="S490" i="1" s="1"/>
  <c r="Q491" i="1"/>
  <c r="S491" i="1" s="1"/>
  <c r="Q492" i="1"/>
  <c r="S492" i="1" s="1"/>
  <c r="Q493" i="1"/>
  <c r="S493" i="1" s="1"/>
  <c r="Q494" i="1"/>
  <c r="S494" i="1" s="1"/>
  <c r="Q495" i="1"/>
  <c r="S495" i="1" s="1"/>
  <c r="Q496" i="1"/>
  <c r="S496" i="1" s="1"/>
  <c r="Q497" i="1"/>
  <c r="S497" i="1" s="1"/>
  <c r="Q498" i="1"/>
  <c r="S498" i="1" s="1"/>
  <c r="Q499" i="1"/>
  <c r="S499" i="1" s="1"/>
  <c r="Q500" i="1"/>
  <c r="S500" i="1" s="1"/>
  <c r="Q501" i="1"/>
  <c r="S501" i="1" s="1"/>
  <c r="Q502" i="1"/>
  <c r="S502" i="1" s="1"/>
  <c r="Q503" i="1"/>
  <c r="S503" i="1" s="1"/>
  <c r="Q504" i="1"/>
  <c r="S504" i="1" s="1"/>
  <c r="Q505" i="1"/>
  <c r="S505" i="1" s="1"/>
  <c r="Q506" i="1"/>
  <c r="S506" i="1" s="1"/>
  <c r="Q507" i="1"/>
  <c r="S507" i="1" s="1"/>
  <c r="Q508" i="1"/>
  <c r="S508" i="1" s="1"/>
  <c r="Q509" i="1"/>
  <c r="S509" i="1" s="1"/>
  <c r="Q510" i="1"/>
  <c r="S510" i="1" s="1"/>
  <c r="Q511" i="1"/>
  <c r="S511" i="1" s="1"/>
  <c r="Q512" i="1"/>
  <c r="S512" i="1" s="1"/>
  <c r="Q513" i="1"/>
  <c r="S513" i="1" s="1"/>
  <c r="Q514" i="1"/>
  <c r="S514" i="1" s="1"/>
  <c r="Q515" i="1"/>
  <c r="S515" i="1" s="1"/>
  <c r="Q516" i="1"/>
  <c r="S516" i="1" s="1"/>
  <c r="Q517" i="1"/>
  <c r="S517" i="1" s="1"/>
  <c r="Q518" i="1"/>
  <c r="S518" i="1" s="1"/>
  <c r="Q519" i="1"/>
  <c r="S519" i="1" s="1"/>
  <c r="Q520" i="1"/>
  <c r="S520" i="1" s="1"/>
  <c r="Q521" i="1"/>
  <c r="S521" i="1" s="1"/>
  <c r="Q522" i="1"/>
  <c r="S522" i="1" s="1"/>
  <c r="Q523" i="1"/>
  <c r="S523" i="1" s="1"/>
  <c r="Q524" i="1"/>
  <c r="S524" i="1" s="1"/>
  <c r="Q525" i="1"/>
  <c r="S525" i="1" s="1"/>
  <c r="Q526" i="1"/>
  <c r="S526" i="1" s="1"/>
  <c r="Q527" i="1"/>
  <c r="S527" i="1" s="1"/>
  <c r="Q528" i="1"/>
  <c r="S528" i="1" s="1"/>
  <c r="Q529" i="1"/>
  <c r="S529" i="1" s="1"/>
  <c r="Q530" i="1"/>
  <c r="S530" i="1" s="1"/>
  <c r="Q531" i="1"/>
  <c r="S531" i="1" s="1"/>
  <c r="Q532" i="1"/>
  <c r="S532" i="1" s="1"/>
  <c r="Q533" i="1"/>
  <c r="S533" i="1" s="1"/>
  <c r="Q534" i="1"/>
  <c r="S534" i="1" s="1"/>
  <c r="Q535" i="1"/>
  <c r="S535" i="1" s="1"/>
  <c r="Q536" i="1"/>
  <c r="S536" i="1" s="1"/>
  <c r="Q537" i="1"/>
  <c r="S537" i="1" s="1"/>
  <c r="Q538" i="1"/>
  <c r="S538" i="1" s="1"/>
  <c r="Q539" i="1"/>
  <c r="S539" i="1" s="1"/>
  <c r="Q540" i="1"/>
  <c r="S540" i="1" s="1"/>
  <c r="Q541" i="1"/>
  <c r="S541" i="1" s="1"/>
  <c r="Q542" i="1"/>
  <c r="S542" i="1" s="1"/>
  <c r="Q543" i="1"/>
  <c r="S543" i="1" s="1"/>
  <c r="Q544" i="1"/>
  <c r="S544" i="1" s="1"/>
  <c r="Q545" i="1"/>
  <c r="S545" i="1" s="1"/>
  <c r="Q546" i="1"/>
  <c r="S546" i="1" s="1"/>
  <c r="Q547" i="1"/>
  <c r="S547" i="1" s="1"/>
  <c r="Q548" i="1"/>
  <c r="S548" i="1" s="1"/>
  <c r="Q549" i="1"/>
  <c r="S549" i="1" s="1"/>
  <c r="Q550" i="1"/>
  <c r="S550" i="1" s="1"/>
  <c r="Q551" i="1"/>
  <c r="S551" i="1" s="1"/>
  <c r="Q552" i="1"/>
  <c r="S552" i="1" s="1"/>
  <c r="Q553" i="1"/>
  <c r="S553" i="1" s="1"/>
  <c r="Q554" i="1"/>
  <c r="S554" i="1" s="1"/>
  <c r="Q555" i="1"/>
  <c r="S555" i="1" s="1"/>
  <c r="Q556" i="1"/>
  <c r="S556" i="1" s="1"/>
  <c r="Q557" i="1"/>
  <c r="S557" i="1" s="1"/>
  <c r="Q558" i="1"/>
  <c r="S558" i="1" s="1"/>
  <c r="Q559" i="1"/>
  <c r="S559" i="1" s="1"/>
  <c r="Q560" i="1"/>
  <c r="S560" i="1" s="1"/>
  <c r="Q561" i="1"/>
  <c r="S561" i="1" s="1"/>
  <c r="Q562" i="1"/>
  <c r="S562" i="1" s="1"/>
  <c r="Q563" i="1"/>
  <c r="S563" i="1" s="1"/>
  <c r="Q564" i="1"/>
  <c r="S564" i="1" s="1"/>
  <c r="Q565" i="1"/>
  <c r="S565" i="1" s="1"/>
  <c r="Q566" i="1"/>
  <c r="S566" i="1" s="1"/>
  <c r="Q567" i="1"/>
  <c r="S567" i="1" s="1"/>
  <c r="Q568" i="1"/>
  <c r="S568" i="1" s="1"/>
  <c r="Q569" i="1"/>
  <c r="S569" i="1" s="1"/>
  <c r="Q570" i="1"/>
  <c r="S570" i="1" s="1"/>
  <c r="Q571" i="1"/>
  <c r="S571" i="1" s="1"/>
  <c r="Q572" i="1"/>
  <c r="S572" i="1" s="1"/>
  <c r="Q573" i="1"/>
  <c r="S573" i="1" s="1"/>
  <c r="Q574" i="1"/>
  <c r="S574" i="1" s="1"/>
  <c r="Q575" i="1"/>
  <c r="S575" i="1" s="1"/>
  <c r="Q576" i="1"/>
  <c r="S576" i="1" s="1"/>
  <c r="Q577" i="1"/>
  <c r="S577" i="1" s="1"/>
  <c r="Q578" i="1"/>
  <c r="S578" i="1" s="1"/>
  <c r="Q579" i="1"/>
  <c r="S579" i="1" s="1"/>
  <c r="Q580" i="1"/>
  <c r="S580" i="1" s="1"/>
  <c r="Q581" i="1"/>
  <c r="S581" i="1" s="1"/>
  <c r="Q582" i="1"/>
  <c r="S582" i="1" s="1"/>
  <c r="Q583" i="1"/>
  <c r="S583" i="1" s="1"/>
  <c r="Q584" i="1"/>
  <c r="S584" i="1" s="1"/>
  <c r="Q585" i="1"/>
  <c r="S585" i="1" s="1"/>
  <c r="Q586" i="1"/>
  <c r="S586" i="1" s="1"/>
  <c r="Q587" i="1"/>
  <c r="S587" i="1" s="1"/>
  <c r="Q588" i="1"/>
  <c r="S588" i="1" s="1"/>
  <c r="Q589" i="1"/>
  <c r="S589" i="1" s="1"/>
  <c r="Q590" i="1"/>
  <c r="S590" i="1" s="1"/>
  <c r="Q591" i="1"/>
  <c r="S591" i="1" s="1"/>
  <c r="Q592" i="1"/>
  <c r="S592" i="1" s="1"/>
  <c r="Q593" i="1"/>
  <c r="S593" i="1" s="1"/>
  <c r="Q594" i="1"/>
  <c r="S594" i="1" s="1"/>
  <c r="Q595" i="1"/>
  <c r="S595" i="1" s="1"/>
  <c r="Q596" i="1"/>
  <c r="S596" i="1" s="1"/>
  <c r="Q597" i="1"/>
  <c r="S597" i="1" s="1"/>
  <c r="Q598" i="1"/>
  <c r="S598" i="1" s="1"/>
  <c r="Q599" i="1"/>
  <c r="S599" i="1" s="1"/>
  <c r="Q600" i="1"/>
  <c r="S600" i="1" s="1"/>
  <c r="Q601" i="1"/>
  <c r="S601" i="1" s="1"/>
  <c r="Q602" i="1"/>
  <c r="S602" i="1" s="1"/>
  <c r="Q603" i="1"/>
  <c r="S603" i="1" s="1"/>
  <c r="Q604" i="1"/>
  <c r="S604" i="1" s="1"/>
  <c r="Q605" i="1"/>
  <c r="S605" i="1" s="1"/>
  <c r="Q606" i="1"/>
  <c r="S606" i="1" s="1"/>
  <c r="Q607" i="1"/>
  <c r="S607" i="1" s="1"/>
  <c r="Q608" i="1"/>
  <c r="S608" i="1" s="1"/>
  <c r="Q609" i="1"/>
  <c r="S609" i="1" s="1"/>
  <c r="Q610" i="1"/>
  <c r="S610" i="1" s="1"/>
  <c r="Q611" i="1"/>
  <c r="S611" i="1" s="1"/>
  <c r="Q612" i="1"/>
  <c r="S612" i="1" s="1"/>
  <c r="Q613" i="1"/>
  <c r="S613" i="1" s="1"/>
  <c r="Q614" i="1"/>
  <c r="S614" i="1" s="1"/>
  <c r="Q615" i="1"/>
  <c r="S615" i="1" s="1"/>
  <c r="Q616" i="1"/>
  <c r="S616" i="1" s="1"/>
  <c r="Q617" i="1"/>
  <c r="S617" i="1" s="1"/>
  <c r="Q618" i="1"/>
  <c r="S618" i="1" s="1"/>
  <c r="Q619" i="1"/>
  <c r="S619" i="1" s="1"/>
  <c r="Q620" i="1"/>
  <c r="S620" i="1" s="1"/>
  <c r="Q621" i="1"/>
  <c r="S621" i="1" s="1"/>
  <c r="Q622" i="1"/>
  <c r="S622" i="1" s="1"/>
  <c r="Q623" i="1"/>
  <c r="S623" i="1" s="1"/>
  <c r="Q624" i="1"/>
  <c r="S624" i="1" s="1"/>
  <c r="Q625" i="1"/>
  <c r="S625" i="1" s="1"/>
  <c r="Q626" i="1"/>
  <c r="S626" i="1" s="1"/>
  <c r="Q627" i="1"/>
  <c r="S627" i="1" s="1"/>
  <c r="Q628" i="1"/>
  <c r="S628" i="1" s="1"/>
  <c r="Q629" i="1"/>
  <c r="S629" i="1" s="1"/>
  <c r="Q630" i="1"/>
  <c r="S630" i="1" s="1"/>
  <c r="Q631" i="1"/>
  <c r="S631" i="1" s="1"/>
  <c r="Q632" i="1"/>
  <c r="S632" i="1" s="1"/>
  <c r="Q633" i="1"/>
  <c r="S633" i="1" s="1"/>
  <c r="Q634" i="1"/>
  <c r="S634" i="1" s="1"/>
  <c r="Q635" i="1"/>
  <c r="S635" i="1" s="1"/>
  <c r="Q636" i="1"/>
  <c r="S636" i="1" s="1"/>
  <c r="Q637" i="1"/>
  <c r="S637" i="1" s="1"/>
  <c r="Q638" i="1"/>
  <c r="S638" i="1" s="1"/>
  <c r="Q639" i="1"/>
  <c r="S639" i="1" s="1"/>
  <c r="Q640" i="1"/>
  <c r="S640" i="1" s="1"/>
  <c r="Q641" i="1"/>
  <c r="S641" i="1" s="1"/>
  <c r="Q642" i="1"/>
  <c r="S642" i="1" s="1"/>
  <c r="Q643" i="1"/>
  <c r="S643" i="1" s="1"/>
  <c r="Q644" i="1"/>
  <c r="S644" i="1" s="1"/>
  <c r="Q645" i="1"/>
  <c r="S645" i="1" s="1"/>
  <c r="Q646" i="1"/>
  <c r="S646" i="1" s="1"/>
  <c r="Q647" i="1"/>
  <c r="S647" i="1" s="1"/>
  <c r="Q648" i="1"/>
  <c r="S648" i="1" s="1"/>
  <c r="Q649" i="1"/>
  <c r="S649" i="1" s="1"/>
  <c r="Q650" i="1"/>
  <c r="S650" i="1" s="1"/>
  <c r="Q651" i="1"/>
  <c r="S651" i="1" s="1"/>
  <c r="Q652" i="1"/>
  <c r="S652" i="1" s="1"/>
  <c r="Q653" i="1"/>
  <c r="S653" i="1" s="1"/>
  <c r="Q654" i="1"/>
  <c r="S654" i="1" s="1"/>
  <c r="Q655" i="1"/>
  <c r="S655" i="1" s="1"/>
  <c r="Q656" i="1"/>
  <c r="S656" i="1" s="1"/>
  <c r="Q657" i="1"/>
  <c r="S657" i="1" s="1"/>
  <c r="Q658" i="1"/>
  <c r="S658" i="1" s="1"/>
  <c r="Q659" i="1"/>
  <c r="S659" i="1" s="1"/>
  <c r="Q660" i="1"/>
  <c r="S660" i="1" s="1"/>
  <c r="Q661" i="1"/>
  <c r="S661" i="1" s="1"/>
  <c r="Q662" i="1"/>
  <c r="S662" i="1" s="1"/>
  <c r="Q663" i="1"/>
  <c r="S663" i="1" s="1"/>
  <c r="Q664" i="1"/>
  <c r="S664" i="1" s="1"/>
  <c r="Q665" i="1"/>
  <c r="S665" i="1" s="1"/>
  <c r="Q666" i="1"/>
  <c r="S666" i="1" s="1"/>
  <c r="Q667" i="1"/>
  <c r="S667" i="1" s="1"/>
  <c r="Q668" i="1"/>
  <c r="S668" i="1" s="1"/>
  <c r="Q669" i="1"/>
  <c r="S669" i="1" s="1"/>
  <c r="Q670" i="1"/>
  <c r="S670" i="1" s="1"/>
  <c r="Q671" i="1"/>
  <c r="S671" i="1" s="1"/>
  <c r="Q672" i="1"/>
  <c r="S672" i="1" s="1"/>
  <c r="Q673" i="1"/>
  <c r="S673" i="1" s="1"/>
  <c r="Q674" i="1"/>
  <c r="S674" i="1" s="1"/>
  <c r="Q675" i="1"/>
  <c r="S675" i="1" s="1"/>
  <c r="Q676" i="1"/>
  <c r="S676" i="1" s="1"/>
  <c r="Q677" i="1"/>
  <c r="S677" i="1" s="1"/>
  <c r="Q678" i="1"/>
  <c r="S678" i="1" s="1"/>
  <c r="Q679" i="1"/>
  <c r="S679" i="1" s="1"/>
  <c r="Q680" i="1"/>
  <c r="S680" i="1" s="1"/>
  <c r="Q681" i="1"/>
  <c r="S681" i="1" s="1"/>
  <c r="Q682" i="1"/>
  <c r="S682" i="1" s="1"/>
  <c r="Q683" i="1"/>
  <c r="S683" i="1" s="1"/>
  <c r="Q684" i="1"/>
  <c r="S684" i="1" s="1"/>
  <c r="Q685" i="1"/>
  <c r="S685" i="1" s="1"/>
  <c r="Q686" i="1"/>
  <c r="S686" i="1" s="1"/>
  <c r="Q687" i="1"/>
  <c r="S687" i="1" s="1"/>
  <c r="Q688" i="1"/>
  <c r="S688" i="1" s="1"/>
  <c r="Q689" i="1"/>
  <c r="S689" i="1" s="1"/>
  <c r="Q690" i="1"/>
  <c r="S690" i="1" s="1"/>
  <c r="Q691" i="1"/>
  <c r="S691" i="1" s="1"/>
  <c r="Q692" i="1"/>
  <c r="S692" i="1" s="1"/>
  <c r="Q693" i="1"/>
  <c r="S693" i="1" s="1"/>
  <c r="Q694" i="1"/>
  <c r="S694" i="1" s="1"/>
  <c r="Q695" i="1"/>
  <c r="S695" i="1" s="1"/>
  <c r="Q696" i="1"/>
  <c r="S696" i="1" s="1"/>
  <c r="Q697" i="1"/>
  <c r="S697" i="1" s="1"/>
  <c r="Q698" i="1"/>
  <c r="S698" i="1" s="1"/>
  <c r="Q699" i="1"/>
  <c r="S699" i="1" s="1"/>
  <c r="Q700" i="1"/>
  <c r="S700" i="1" s="1"/>
  <c r="Q701" i="1"/>
  <c r="S701" i="1" s="1"/>
  <c r="Q702" i="1"/>
  <c r="S702" i="1" s="1"/>
  <c r="Q703" i="1"/>
  <c r="S703" i="1" s="1"/>
  <c r="Q704" i="1"/>
  <c r="S704" i="1" s="1"/>
  <c r="Q705" i="1"/>
  <c r="S705" i="1" s="1"/>
  <c r="Q706" i="1"/>
  <c r="S706" i="1" s="1"/>
  <c r="Q707" i="1"/>
  <c r="S707" i="1" s="1"/>
  <c r="Q708" i="1"/>
  <c r="S708" i="1" s="1"/>
  <c r="Q709" i="1"/>
  <c r="S709" i="1" s="1"/>
  <c r="Q710" i="1"/>
  <c r="S710" i="1" s="1"/>
  <c r="Q711" i="1"/>
  <c r="S711" i="1" s="1"/>
  <c r="Q712" i="1"/>
  <c r="S712" i="1" s="1"/>
  <c r="Q713" i="1"/>
  <c r="S713" i="1" s="1"/>
  <c r="Q714" i="1"/>
  <c r="S714" i="1" s="1"/>
  <c r="Q715" i="1"/>
  <c r="S715" i="1" s="1"/>
  <c r="Q716" i="1"/>
  <c r="S716" i="1" s="1"/>
  <c r="Q717" i="1"/>
  <c r="S717" i="1" s="1"/>
  <c r="Q718" i="1"/>
  <c r="S718" i="1" s="1"/>
  <c r="Q719" i="1"/>
  <c r="S719" i="1" s="1"/>
  <c r="Q720" i="1"/>
  <c r="S720" i="1" s="1"/>
  <c r="Q721" i="1"/>
  <c r="S721" i="1" s="1"/>
  <c r="Q722" i="1"/>
  <c r="S722" i="1" s="1"/>
  <c r="Q723" i="1"/>
  <c r="S723" i="1" s="1"/>
  <c r="Q724" i="1"/>
  <c r="S724" i="1" s="1"/>
  <c r="Q725" i="1"/>
  <c r="S725" i="1" s="1"/>
  <c r="Q726" i="1"/>
  <c r="S726" i="1" s="1"/>
  <c r="Q727" i="1"/>
  <c r="S727" i="1" s="1"/>
  <c r="Q728" i="1"/>
  <c r="S728" i="1" s="1"/>
  <c r="Q729" i="1"/>
  <c r="S729" i="1" s="1"/>
  <c r="Q730" i="1"/>
  <c r="S730" i="1" s="1"/>
  <c r="Q731" i="1"/>
  <c r="S731" i="1" s="1"/>
  <c r="Q732" i="1"/>
  <c r="S732" i="1" s="1"/>
  <c r="Q733" i="1"/>
  <c r="S733" i="1" s="1"/>
  <c r="Q734" i="1"/>
  <c r="S734" i="1" s="1"/>
  <c r="Q735" i="1"/>
  <c r="S735" i="1" s="1"/>
  <c r="Q736" i="1"/>
  <c r="S736" i="1" s="1"/>
  <c r="Q737" i="1"/>
  <c r="S737" i="1" s="1"/>
  <c r="Q738" i="1"/>
  <c r="S738" i="1" s="1"/>
  <c r="Q739" i="1"/>
  <c r="S739" i="1" s="1"/>
  <c r="Q740" i="1"/>
  <c r="S740" i="1" s="1"/>
  <c r="Q741" i="1"/>
  <c r="S741" i="1" s="1"/>
  <c r="Q742" i="1"/>
  <c r="S742" i="1" s="1"/>
  <c r="Q743" i="1"/>
  <c r="S743" i="1" s="1"/>
  <c r="Q744" i="1"/>
  <c r="S744" i="1" s="1"/>
  <c r="Q745" i="1"/>
  <c r="S745" i="1" s="1"/>
  <c r="Q746" i="1"/>
  <c r="S746" i="1" s="1"/>
  <c r="Q747" i="1"/>
  <c r="S747" i="1" s="1"/>
  <c r="Q748" i="1"/>
  <c r="S748" i="1" s="1"/>
  <c r="Q749" i="1"/>
  <c r="S749" i="1" s="1"/>
  <c r="Q750" i="1"/>
  <c r="S750" i="1" s="1"/>
  <c r="Q751" i="1"/>
  <c r="S751" i="1" s="1"/>
  <c r="Q752" i="1"/>
  <c r="S752" i="1" s="1"/>
  <c r="Q753" i="1"/>
  <c r="S753" i="1" s="1"/>
  <c r="Q754" i="1"/>
  <c r="S754" i="1" s="1"/>
  <c r="Q755" i="1"/>
  <c r="S755" i="1" s="1"/>
  <c r="Q756" i="1"/>
  <c r="S756" i="1" s="1"/>
  <c r="Q757" i="1"/>
  <c r="S757" i="1" s="1"/>
  <c r="Q758" i="1"/>
  <c r="S758" i="1" s="1"/>
  <c r="Q759" i="1"/>
  <c r="S759" i="1" s="1"/>
  <c r="Q760" i="1"/>
  <c r="S760" i="1" s="1"/>
  <c r="Q761" i="1"/>
  <c r="S761" i="1" s="1"/>
  <c r="Q762" i="1"/>
  <c r="S762" i="1" s="1"/>
  <c r="Q763" i="1"/>
  <c r="S763" i="1" s="1"/>
  <c r="Q764" i="1"/>
  <c r="S764" i="1" s="1"/>
  <c r="Q765" i="1"/>
  <c r="S765" i="1" s="1"/>
  <c r="Q766" i="1"/>
  <c r="S766" i="1" s="1"/>
  <c r="Q767" i="1"/>
  <c r="S767" i="1" s="1"/>
  <c r="Q768" i="1"/>
  <c r="S768" i="1" s="1"/>
  <c r="Q769" i="1"/>
  <c r="S769" i="1" s="1"/>
  <c r="Q770" i="1"/>
  <c r="S770" i="1" s="1"/>
  <c r="Q771" i="1"/>
  <c r="S771" i="1" s="1"/>
  <c r="Q772" i="1"/>
  <c r="S772" i="1" s="1"/>
  <c r="Q773" i="1"/>
  <c r="S773" i="1" s="1"/>
  <c r="Q774" i="1"/>
  <c r="S774" i="1" s="1"/>
  <c r="Q775" i="1"/>
  <c r="S775" i="1" s="1"/>
  <c r="Q776" i="1"/>
  <c r="S776" i="1" s="1"/>
  <c r="Q777" i="1"/>
  <c r="S777" i="1" s="1"/>
  <c r="Q778" i="1"/>
  <c r="S778" i="1" s="1"/>
  <c r="Q779" i="1"/>
  <c r="S779" i="1" s="1"/>
  <c r="Q780" i="1"/>
  <c r="S780" i="1" s="1"/>
  <c r="Q781" i="1"/>
  <c r="S781" i="1" s="1"/>
  <c r="Q782" i="1"/>
  <c r="S782" i="1" s="1"/>
  <c r="Q783" i="1"/>
  <c r="S783" i="1" s="1"/>
  <c r="Q784" i="1"/>
  <c r="S784" i="1" s="1"/>
  <c r="Q785" i="1"/>
  <c r="S785" i="1" s="1"/>
  <c r="Q786" i="1"/>
  <c r="S786" i="1" s="1"/>
  <c r="Q787" i="1"/>
  <c r="S787" i="1" s="1"/>
  <c r="Q788" i="1"/>
  <c r="S788" i="1" s="1"/>
  <c r="Q789" i="1"/>
  <c r="S789" i="1" s="1"/>
  <c r="Q790" i="1"/>
  <c r="S790" i="1" s="1"/>
  <c r="Q791" i="1"/>
  <c r="S791" i="1" s="1"/>
  <c r="Q792" i="1"/>
  <c r="S792" i="1" s="1"/>
  <c r="Q793" i="1"/>
  <c r="S793" i="1" s="1"/>
  <c r="Q794" i="1"/>
  <c r="S794" i="1" s="1"/>
  <c r="Q795" i="1"/>
  <c r="S795" i="1" s="1"/>
  <c r="Q796" i="1"/>
  <c r="S796" i="1" s="1"/>
  <c r="Q797" i="1"/>
  <c r="S797" i="1" s="1"/>
  <c r="Q798" i="1"/>
  <c r="S798" i="1" s="1"/>
  <c r="Q799" i="1"/>
  <c r="S799" i="1" s="1"/>
  <c r="Q800" i="1"/>
  <c r="S800" i="1" s="1"/>
  <c r="Q801" i="1"/>
  <c r="S801" i="1" s="1"/>
  <c r="Q802" i="1"/>
  <c r="S802" i="1" s="1"/>
  <c r="Q803" i="1"/>
  <c r="S803" i="1" s="1"/>
  <c r="Q804" i="1"/>
  <c r="S804" i="1" s="1"/>
  <c r="Q805" i="1"/>
  <c r="S805" i="1" s="1"/>
  <c r="Q806" i="1"/>
  <c r="S806" i="1" s="1"/>
  <c r="Q807" i="1"/>
  <c r="S807" i="1" s="1"/>
  <c r="Q808" i="1"/>
  <c r="S808" i="1" s="1"/>
  <c r="Q809" i="1"/>
  <c r="S809" i="1" s="1"/>
  <c r="Q810" i="1"/>
  <c r="S810" i="1" s="1"/>
  <c r="Q811" i="1"/>
  <c r="S811" i="1" s="1"/>
  <c r="Q812" i="1"/>
  <c r="S812" i="1" s="1"/>
  <c r="Q813" i="1"/>
  <c r="S813" i="1" s="1"/>
  <c r="Q814" i="1"/>
  <c r="S814" i="1" s="1"/>
  <c r="Q815" i="1"/>
  <c r="S815" i="1" s="1"/>
  <c r="Q816" i="1"/>
  <c r="S816" i="1" s="1"/>
  <c r="Q817" i="1"/>
  <c r="S817" i="1" s="1"/>
  <c r="Q818" i="1"/>
  <c r="S818" i="1" s="1"/>
  <c r="Q819" i="1"/>
  <c r="S819" i="1" s="1"/>
  <c r="Q820" i="1"/>
  <c r="S820" i="1" s="1"/>
  <c r="Q821" i="1"/>
  <c r="S821" i="1" s="1"/>
  <c r="Q822" i="1"/>
  <c r="S822" i="1" s="1"/>
  <c r="Q823" i="1"/>
  <c r="S823" i="1" s="1"/>
  <c r="Q824" i="1"/>
  <c r="S824" i="1" s="1"/>
  <c r="Q825" i="1"/>
  <c r="S825" i="1" s="1"/>
  <c r="Q826" i="1"/>
  <c r="S826" i="1" s="1"/>
  <c r="Q827" i="1"/>
  <c r="S827" i="1" s="1"/>
  <c r="Q828" i="1"/>
  <c r="S828" i="1" s="1"/>
  <c r="Q829" i="1"/>
  <c r="S829" i="1" s="1"/>
  <c r="Q830" i="1"/>
  <c r="S830" i="1" s="1"/>
  <c r="Q831" i="1"/>
  <c r="S831" i="1" s="1"/>
  <c r="Q832" i="1"/>
  <c r="S832" i="1" s="1"/>
  <c r="Q833" i="1"/>
  <c r="S833" i="1" s="1"/>
  <c r="Q834" i="1"/>
  <c r="S834" i="1" s="1"/>
  <c r="Q835" i="1"/>
  <c r="S835" i="1" s="1"/>
  <c r="Q836" i="1"/>
  <c r="S836" i="1" s="1"/>
  <c r="Q837" i="1"/>
  <c r="S837" i="1" s="1"/>
  <c r="Q838" i="1"/>
  <c r="S838" i="1" s="1"/>
  <c r="Q839" i="1"/>
  <c r="S839" i="1" s="1"/>
  <c r="Q840" i="1"/>
  <c r="S840" i="1" s="1"/>
  <c r="Q841" i="1"/>
  <c r="S841" i="1" s="1"/>
  <c r="Q842" i="1"/>
  <c r="S842" i="1" s="1"/>
  <c r="Q843" i="1"/>
  <c r="S843" i="1" s="1"/>
  <c r="Q844" i="1"/>
  <c r="S844" i="1" s="1"/>
  <c r="Q845" i="1"/>
  <c r="S845" i="1" s="1"/>
  <c r="Q846" i="1"/>
  <c r="S846" i="1" s="1"/>
  <c r="Q847" i="1"/>
  <c r="S847" i="1" s="1"/>
  <c r="Q848" i="1"/>
  <c r="S848" i="1" s="1"/>
  <c r="Q849" i="1"/>
  <c r="S849" i="1" s="1"/>
  <c r="Q850" i="1"/>
  <c r="S850" i="1" s="1"/>
  <c r="Q851" i="1"/>
  <c r="S851" i="1" s="1"/>
  <c r="Q852" i="1"/>
  <c r="S852" i="1" s="1"/>
  <c r="Q853" i="1"/>
  <c r="S853" i="1" s="1"/>
  <c r="Q854" i="1"/>
  <c r="S854" i="1" s="1"/>
  <c r="Q855" i="1"/>
  <c r="S855" i="1" s="1"/>
  <c r="Q856" i="1"/>
  <c r="S856" i="1" s="1"/>
  <c r="Q857" i="1"/>
  <c r="S857" i="1" s="1"/>
  <c r="Q858" i="1"/>
  <c r="S858" i="1" s="1"/>
  <c r="Q859" i="1"/>
  <c r="S859" i="1" s="1"/>
  <c r="Q860" i="1"/>
  <c r="S860" i="1" s="1"/>
  <c r="Q861" i="1"/>
  <c r="S861" i="1" s="1"/>
  <c r="Q862" i="1"/>
  <c r="S862" i="1" s="1"/>
  <c r="Q863" i="1"/>
  <c r="S863" i="1" s="1"/>
  <c r="Q864" i="1"/>
  <c r="S864" i="1" s="1"/>
  <c r="Q865" i="1"/>
  <c r="S865" i="1" s="1"/>
  <c r="Q866" i="1"/>
  <c r="S866" i="1" s="1"/>
  <c r="Q867" i="1"/>
  <c r="S867" i="1" s="1"/>
  <c r="Q868" i="1"/>
  <c r="S868" i="1" s="1"/>
  <c r="Q869" i="1"/>
  <c r="S869" i="1" s="1"/>
  <c r="Q870" i="1"/>
  <c r="S870" i="1" s="1"/>
  <c r="Q871" i="1"/>
  <c r="S871" i="1" s="1"/>
  <c r="Q872" i="1"/>
  <c r="S872" i="1" s="1"/>
  <c r="Q873" i="1"/>
  <c r="S873" i="1" s="1"/>
  <c r="Q874" i="1"/>
  <c r="S874" i="1" s="1"/>
  <c r="Q875" i="1"/>
  <c r="S875" i="1" s="1"/>
  <c r="Q876" i="1"/>
  <c r="S876" i="1" s="1"/>
  <c r="Q877" i="1"/>
  <c r="S877" i="1" s="1"/>
  <c r="Q878" i="1"/>
  <c r="S878" i="1" s="1"/>
  <c r="Q879" i="1"/>
  <c r="S879" i="1" s="1"/>
  <c r="Q880" i="1"/>
  <c r="S880" i="1" s="1"/>
  <c r="Q881" i="1"/>
  <c r="S881" i="1" s="1"/>
  <c r="Q882" i="1"/>
  <c r="S882" i="1" s="1"/>
  <c r="Q883" i="1"/>
  <c r="S883" i="1" s="1"/>
  <c r="Q884" i="1"/>
  <c r="S884" i="1" s="1"/>
  <c r="Q885" i="1"/>
  <c r="S885" i="1" s="1"/>
  <c r="Q886" i="1"/>
  <c r="S886" i="1" s="1"/>
  <c r="Q887" i="1"/>
  <c r="S887" i="1" s="1"/>
  <c r="Q888" i="1"/>
  <c r="S888" i="1" s="1"/>
  <c r="Q889" i="1"/>
  <c r="S889" i="1" s="1"/>
  <c r="Q890" i="1"/>
  <c r="S890" i="1" s="1"/>
  <c r="Q891" i="1"/>
  <c r="S891" i="1" s="1"/>
  <c r="Q892" i="1"/>
  <c r="S892" i="1" s="1"/>
  <c r="Q893" i="1"/>
  <c r="S893" i="1" s="1"/>
  <c r="Q894" i="1"/>
  <c r="S894" i="1" s="1"/>
  <c r="Q895" i="1"/>
  <c r="S895" i="1" s="1"/>
  <c r="Q896" i="1"/>
  <c r="S896" i="1" s="1"/>
  <c r="Q897" i="1"/>
  <c r="S897" i="1" s="1"/>
  <c r="Q898" i="1"/>
  <c r="S898" i="1" s="1"/>
  <c r="Q899" i="1"/>
  <c r="S899" i="1" s="1"/>
  <c r="Q900" i="1"/>
  <c r="S900" i="1" s="1"/>
  <c r="Q901" i="1"/>
  <c r="S901" i="1" s="1"/>
  <c r="Q902" i="1"/>
  <c r="S902" i="1" s="1"/>
  <c r="Q903" i="1"/>
  <c r="S903" i="1" s="1"/>
  <c r="Q904" i="1"/>
  <c r="S904" i="1" s="1"/>
  <c r="Q905" i="1"/>
  <c r="S905" i="1" s="1"/>
  <c r="Q906" i="1"/>
  <c r="S906" i="1" s="1"/>
  <c r="Q907" i="1"/>
  <c r="S907" i="1" s="1"/>
  <c r="Q908" i="1"/>
  <c r="S908" i="1" s="1"/>
  <c r="Q909" i="1"/>
  <c r="S909" i="1" s="1"/>
  <c r="Q910" i="1"/>
  <c r="S910" i="1" s="1"/>
  <c r="Q911" i="1"/>
  <c r="S911" i="1" s="1"/>
  <c r="Q912" i="1"/>
  <c r="S912" i="1" s="1"/>
  <c r="Q913" i="1"/>
  <c r="S913" i="1" s="1"/>
  <c r="Q914" i="1"/>
  <c r="S914" i="1" s="1"/>
  <c r="Q915" i="1"/>
  <c r="S915" i="1" s="1"/>
  <c r="Q916" i="1"/>
  <c r="S916" i="1" s="1"/>
  <c r="Q917" i="1"/>
  <c r="S917" i="1" s="1"/>
  <c r="Q918" i="1"/>
  <c r="S918" i="1" s="1"/>
  <c r="Q919" i="1"/>
  <c r="S919" i="1" s="1"/>
  <c r="Q920" i="1"/>
  <c r="S920" i="1" s="1"/>
  <c r="Q921" i="1"/>
  <c r="S921" i="1" s="1"/>
  <c r="Q922" i="1"/>
  <c r="S922" i="1" s="1"/>
  <c r="Q923" i="1"/>
  <c r="S923" i="1" s="1"/>
  <c r="Q924" i="1"/>
  <c r="S924" i="1" s="1"/>
  <c r="Q925" i="1"/>
  <c r="S925" i="1" s="1"/>
  <c r="Q926" i="1"/>
  <c r="S926" i="1" s="1"/>
  <c r="Q927" i="1"/>
  <c r="S927" i="1" s="1"/>
  <c r="Q928" i="1"/>
  <c r="S928" i="1" s="1"/>
  <c r="Q929" i="1"/>
  <c r="S929" i="1" s="1"/>
  <c r="Q930" i="1"/>
  <c r="S930" i="1" s="1"/>
  <c r="Q931" i="1"/>
  <c r="S931" i="1" s="1"/>
  <c r="Q932" i="1"/>
  <c r="S932" i="1" s="1"/>
  <c r="Q933" i="1"/>
  <c r="S933" i="1" s="1"/>
  <c r="Q934" i="1"/>
  <c r="S934" i="1" s="1"/>
  <c r="Q935" i="1"/>
  <c r="S935" i="1" s="1"/>
  <c r="Q936" i="1"/>
  <c r="S936" i="1" s="1"/>
  <c r="Q937" i="1"/>
  <c r="S937" i="1" s="1"/>
  <c r="Q938" i="1"/>
  <c r="S938" i="1" s="1"/>
  <c r="Q939" i="1"/>
  <c r="S939" i="1" s="1"/>
  <c r="Q940" i="1"/>
  <c r="S940" i="1" s="1"/>
  <c r="Q941" i="1"/>
  <c r="S941" i="1" s="1"/>
  <c r="Q942" i="1"/>
  <c r="S942" i="1" s="1"/>
  <c r="Q943" i="1"/>
  <c r="S943" i="1" s="1"/>
  <c r="Q944" i="1"/>
  <c r="S944" i="1" s="1"/>
  <c r="Q945" i="1"/>
  <c r="S945" i="1" s="1"/>
  <c r="Q946" i="1"/>
  <c r="S946" i="1" s="1"/>
  <c r="Q947" i="1"/>
  <c r="S947" i="1" s="1"/>
  <c r="Q948" i="1"/>
  <c r="S948" i="1" s="1"/>
  <c r="Q949" i="1"/>
  <c r="S949" i="1" s="1"/>
  <c r="Q950" i="1"/>
  <c r="S950" i="1" s="1"/>
  <c r="Q951" i="1"/>
  <c r="S951" i="1" s="1"/>
  <c r="Q952" i="1"/>
  <c r="S952" i="1" s="1"/>
  <c r="Q953" i="1"/>
  <c r="S953" i="1" s="1"/>
  <c r="Q954" i="1"/>
  <c r="S954" i="1" s="1"/>
  <c r="Q955" i="1"/>
  <c r="S955" i="1" s="1"/>
  <c r="Q956" i="1"/>
  <c r="S956" i="1" s="1"/>
  <c r="Q957" i="1"/>
  <c r="S957" i="1" s="1"/>
  <c r="Q958" i="1"/>
  <c r="S958" i="1" s="1"/>
  <c r="Q959" i="1"/>
  <c r="S959" i="1" s="1"/>
  <c r="Q960" i="1"/>
  <c r="S960" i="1" s="1"/>
  <c r="Q961" i="1"/>
  <c r="S961" i="1" s="1"/>
  <c r="Q962" i="1"/>
  <c r="S962" i="1" s="1"/>
  <c r="Q963" i="1"/>
  <c r="S963" i="1" s="1"/>
  <c r="Q964" i="1"/>
  <c r="S964" i="1" s="1"/>
  <c r="Q965" i="1"/>
  <c r="S965" i="1" s="1"/>
  <c r="Q966" i="1"/>
  <c r="S966" i="1" s="1"/>
  <c r="Q967" i="1"/>
  <c r="S967" i="1" s="1"/>
  <c r="Q968" i="1"/>
  <c r="S968" i="1" s="1"/>
  <c r="Q969" i="1"/>
  <c r="S969" i="1" s="1"/>
  <c r="Q970" i="1"/>
  <c r="S970" i="1" s="1"/>
  <c r="Q971" i="1"/>
  <c r="S971" i="1" s="1"/>
  <c r="Q972" i="1"/>
  <c r="S972" i="1" s="1"/>
  <c r="Q973" i="1"/>
  <c r="S973" i="1" s="1"/>
  <c r="Q974" i="1"/>
  <c r="S974" i="1" s="1"/>
  <c r="Q975" i="1"/>
  <c r="S975" i="1" s="1"/>
  <c r="Q976" i="1"/>
  <c r="S976" i="1" s="1"/>
  <c r="Q977" i="1"/>
  <c r="S977" i="1" s="1"/>
  <c r="Q978" i="1"/>
  <c r="S978" i="1" s="1"/>
  <c r="Q979" i="1"/>
  <c r="S979" i="1" s="1"/>
  <c r="Q980" i="1"/>
  <c r="S980" i="1" s="1"/>
  <c r="Q981" i="1"/>
  <c r="S981" i="1" s="1"/>
  <c r="Q982" i="1"/>
  <c r="S982" i="1" s="1"/>
  <c r="Q983" i="1"/>
  <c r="S983" i="1" s="1"/>
  <c r="Q984" i="1"/>
  <c r="S984" i="1" s="1"/>
  <c r="Q985" i="1"/>
  <c r="S985" i="1" s="1"/>
  <c r="Q986" i="1"/>
  <c r="S986" i="1" s="1"/>
  <c r="Q987" i="1"/>
  <c r="S987" i="1" s="1"/>
  <c r="Q988" i="1"/>
  <c r="S988" i="1" s="1"/>
  <c r="Q989" i="1"/>
  <c r="S989" i="1" s="1"/>
  <c r="Q990" i="1"/>
  <c r="S990" i="1" s="1"/>
  <c r="Q991" i="1"/>
  <c r="S991" i="1" s="1"/>
  <c r="Q992" i="1"/>
  <c r="S992" i="1" s="1"/>
  <c r="Q993" i="1"/>
  <c r="S993" i="1" s="1"/>
  <c r="Q994" i="1"/>
  <c r="S994" i="1" s="1"/>
  <c r="Q995" i="1"/>
  <c r="S995" i="1" s="1"/>
  <c r="Q996" i="1"/>
  <c r="S996" i="1" s="1"/>
  <c r="Q997" i="1"/>
  <c r="S997" i="1" s="1"/>
  <c r="Q998" i="1"/>
  <c r="S998" i="1" s="1"/>
  <c r="Q999" i="1"/>
  <c r="S999" i="1" s="1"/>
  <c r="Q1000" i="1"/>
  <c r="S1000" i="1" s="1"/>
  <c r="Q1001" i="1"/>
  <c r="S1001" i="1" s="1"/>
  <c r="Q1002" i="1"/>
  <c r="S1002" i="1" s="1"/>
  <c r="Q1003" i="1"/>
  <c r="S1003" i="1" s="1"/>
  <c r="Q1004" i="1"/>
  <c r="S1004" i="1" s="1"/>
  <c r="Q1005" i="1"/>
  <c r="S1005" i="1" s="1"/>
  <c r="Q1006" i="1"/>
  <c r="S1006" i="1" s="1"/>
  <c r="Q1007" i="1"/>
  <c r="S1007" i="1" s="1"/>
  <c r="Q1008" i="1"/>
  <c r="S1008" i="1" s="1"/>
  <c r="Q1009" i="1"/>
  <c r="S1009" i="1" s="1"/>
  <c r="Q1010" i="1"/>
  <c r="S1010" i="1" s="1"/>
  <c r="Q1011" i="1"/>
  <c r="S1011" i="1" s="1"/>
  <c r="Q1012" i="1"/>
  <c r="S1012" i="1" s="1"/>
  <c r="Q1013" i="1"/>
  <c r="S1013" i="1" s="1"/>
  <c r="Q1014" i="1"/>
  <c r="S1014" i="1" s="1"/>
  <c r="Q1015" i="1"/>
  <c r="S1015" i="1" s="1"/>
  <c r="Q1016" i="1"/>
  <c r="S1016" i="1" s="1"/>
  <c r="Q1017" i="1"/>
  <c r="S1017" i="1" s="1"/>
  <c r="Q1018" i="1"/>
  <c r="S1018" i="1" s="1"/>
  <c r="Q1019" i="1"/>
  <c r="S1019" i="1" s="1"/>
  <c r="Q1020" i="1"/>
  <c r="S1020" i="1" s="1"/>
  <c r="Q1021" i="1"/>
  <c r="S1021" i="1" s="1"/>
  <c r="Q1022" i="1"/>
  <c r="S1022" i="1" s="1"/>
  <c r="Q1023" i="1"/>
  <c r="S1023" i="1" s="1"/>
  <c r="Q1024" i="1"/>
  <c r="S1024" i="1" s="1"/>
  <c r="Q1025" i="1"/>
  <c r="S1025" i="1" s="1"/>
  <c r="Q1026" i="1"/>
  <c r="S1026" i="1" s="1"/>
  <c r="Q1027" i="1"/>
  <c r="S1027" i="1" s="1"/>
  <c r="Q1028" i="1"/>
  <c r="S1028" i="1" s="1"/>
  <c r="Q1029" i="1"/>
  <c r="S1029" i="1" s="1"/>
  <c r="Q1030" i="1"/>
  <c r="S1030" i="1" s="1"/>
  <c r="Q1031" i="1"/>
  <c r="S1031" i="1" s="1"/>
  <c r="Q1032" i="1"/>
  <c r="S1032" i="1" s="1"/>
  <c r="Q1033" i="1"/>
  <c r="S1033" i="1" s="1"/>
  <c r="Q1034" i="1"/>
  <c r="S1034" i="1" s="1"/>
  <c r="Q1035" i="1"/>
  <c r="S1035" i="1" s="1"/>
  <c r="Q1036" i="1"/>
  <c r="S1036" i="1" s="1"/>
  <c r="Q1037" i="1"/>
  <c r="S1037" i="1" s="1"/>
  <c r="Q1038" i="1"/>
  <c r="S1038" i="1" s="1"/>
  <c r="Q1039" i="1"/>
  <c r="S1039" i="1" s="1"/>
  <c r="Q1040" i="1"/>
  <c r="S1040" i="1" s="1"/>
  <c r="Q1041" i="1"/>
  <c r="S1041" i="1" s="1"/>
  <c r="Q1042" i="1"/>
  <c r="S1042" i="1" s="1"/>
  <c r="Q1043" i="1"/>
  <c r="S1043" i="1" s="1"/>
  <c r="Q1044" i="1"/>
  <c r="S1044" i="1" s="1"/>
  <c r="Q1045" i="1"/>
  <c r="S1045" i="1" s="1"/>
  <c r="Q1046" i="1"/>
  <c r="S1046" i="1" s="1"/>
  <c r="Q1047" i="1"/>
  <c r="S1047" i="1" s="1"/>
  <c r="Q1048" i="1"/>
  <c r="S1048" i="1" s="1"/>
  <c r="Q1049" i="1"/>
  <c r="S1049" i="1" s="1"/>
  <c r="Q1050" i="1"/>
  <c r="S1050" i="1" s="1"/>
  <c r="Q1051" i="1"/>
  <c r="S1051" i="1" s="1"/>
  <c r="Q1052" i="1"/>
  <c r="S1052" i="1" s="1"/>
  <c r="Q1053" i="1"/>
  <c r="S1053" i="1" s="1"/>
  <c r="Q1054" i="1"/>
  <c r="S1054" i="1" s="1"/>
  <c r="Q1055" i="1"/>
  <c r="S1055" i="1" s="1"/>
  <c r="Q1056" i="1"/>
  <c r="S1056" i="1" s="1"/>
  <c r="Q1057" i="1"/>
  <c r="S1057" i="1" s="1"/>
  <c r="Q1058" i="1"/>
  <c r="S1058" i="1" s="1"/>
  <c r="Q1059" i="1"/>
  <c r="S1059" i="1" s="1"/>
  <c r="Q1060" i="1"/>
  <c r="S1060" i="1" s="1"/>
  <c r="Q1061" i="1"/>
  <c r="S1061" i="1" s="1"/>
  <c r="Q1062" i="1"/>
  <c r="S1062" i="1" s="1"/>
  <c r="Q1063" i="1"/>
  <c r="S1063" i="1" s="1"/>
  <c r="Q1064" i="1"/>
  <c r="S1064" i="1" s="1"/>
  <c r="Q1065" i="1"/>
  <c r="S1065" i="1" s="1"/>
  <c r="Q1066" i="1"/>
  <c r="S1066" i="1" s="1"/>
  <c r="Q1067" i="1"/>
  <c r="S1067" i="1" s="1"/>
  <c r="Q1068" i="1"/>
  <c r="S1068" i="1" s="1"/>
  <c r="Q1069" i="1"/>
  <c r="S1069" i="1" s="1"/>
  <c r="Q1070" i="1"/>
  <c r="S1070" i="1" s="1"/>
  <c r="Q1071" i="1"/>
  <c r="S1071" i="1" s="1"/>
  <c r="Q1072" i="1"/>
  <c r="S1072" i="1" s="1"/>
  <c r="Q1073" i="1"/>
  <c r="S1073" i="1" s="1"/>
  <c r="Q1074" i="1"/>
  <c r="S1074" i="1" s="1"/>
  <c r="Q1075" i="1"/>
  <c r="S1075" i="1" s="1"/>
  <c r="Q1076" i="1"/>
  <c r="S1076" i="1" s="1"/>
  <c r="Q1077" i="1"/>
  <c r="S1077" i="1" s="1"/>
  <c r="Q1078" i="1"/>
  <c r="S1078" i="1" s="1"/>
  <c r="Q2" i="1"/>
  <c r="S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80" i="1"/>
  <c r="N781" i="1"/>
  <c r="N782" i="1"/>
  <c r="N783" i="1"/>
  <c r="N784" i="1"/>
  <c r="N787" i="1"/>
  <c r="N788" i="1"/>
  <c r="N789" i="1"/>
  <c r="N790" i="1"/>
  <c r="N791" i="1"/>
  <c r="N792" i="1"/>
  <c r="N795" i="1"/>
  <c r="N796" i="1"/>
  <c r="N797" i="1"/>
  <c r="N798" i="1"/>
  <c r="N799" i="1"/>
  <c r="N802" i="1"/>
  <c r="N803" i="1"/>
  <c r="N804" i="1"/>
  <c r="N805" i="1"/>
  <c r="N806" i="1"/>
  <c r="N807" i="1"/>
  <c r="N810" i="1"/>
  <c r="N811" i="1"/>
  <c r="N812" i="1"/>
  <c r="N813" i="1"/>
  <c r="N814" i="1"/>
  <c r="N815" i="1"/>
  <c r="N818" i="1"/>
  <c r="N819" i="1"/>
  <c r="N820" i="1"/>
  <c r="N821" i="1"/>
  <c r="N822" i="1"/>
  <c r="N823" i="1"/>
  <c r="N826" i="1"/>
  <c r="N827" i="1"/>
  <c r="N828" i="1"/>
  <c r="N829" i="1"/>
  <c r="N830" i="1"/>
  <c r="N833" i="1"/>
  <c r="N834" i="1"/>
  <c r="N835" i="1"/>
  <c r="N836" i="1"/>
  <c r="N837" i="1"/>
  <c r="N838" i="1"/>
  <c r="N841" i="1"/>
  <c r="N842" i="1"/>
  <c r="N843" i="1"/>
  <c r="N844" i="1"/>
  <c r="N845" i="1"/>
  <c r="N846" i="1"/>
  <c r="N849" i="1"/>
  <c r="N850" i="1"/>
  <c r="N851" i="1"/>
  <c r="N852" i="1"/>
  <c r="N853" i="1"/>
  <c r="N854" i="1"/>
  <c r="N857" i="1"/>
  <c r="N858" i="1"/>
  <c r="N859" i="1"/>
  <c r="N860" i="1"/>
  <c r="N861" i="1"/>
  <c r="N862" i="1"/>
  <c r="N865" i="1"/>
  <c r="N866" i="1"/>
  <c r="N867" i="1"/>
  <c r="N868" i="1"/>
  <c r="N869" i="1"/>
  <c r="N872" i="1"/>
  <c r="N873" i="1"/>
  <c r="N874" i="1"/>
  <c r="N875" i="1"/>
  <c r="N876" i="1"/>
  <c r="N877" i="1"/>
  <c r="N880" i="1"/>
  <c r="N881" i="1"/>
  <c r="N882" i="1"/>
  <c r="N883" i="1"/>
  <c r="N884" i="1"/>
  <c r="N885" i="1"/>
  <c r="N888" i="1"/>
  <c r="N889" i="1"/>
  <c r="N890" i="1"/>
  <c r="N891" i="1"/>
  <c r="N892" i="1"/>
  <c r="N893" i="1"/>
  <c r="N896" i="1"/>
  <c r="N897" i="1"/>
  <c r="N898" i="1"/>
  <c r="N899" i="1"/>
  <c r="N900" i="1"/>
  <c r="N901" i="1"/>
  <c r="N904" i="1"/>
  <c r="N905" i="1"/>
  <c r="N906" i="1"/>
  <c r="N907" i="1"/>
  <c r="N908" i="1"/>
  <c r="N911" i="1"/>
  <c r="N912" i="1"/>
  <c r="N913" i="1"/>
  <c r="N914" i="1"/>
  <c r="N915" i="1"/>
  <c r="N916" i="1"/>
  <c r="N919" i="1"/>
  <c r="N920" i="1"/>
  <c r="N921" i="1"/>
  <c r="N922" i="1"/>
  <c r="N923" i="1"/>
  <c r="N924" i="1"/>
  <c r="N927" i="1"/>
  <c r="N928" i="1"/>
  <c r="N929" i="1"/>
  <c r="N930" i="1"/>
  <c r="N931" i="1"/>
  <c r="N932" i="1"/>
  <c r="N935" i="1"/>
  <c r="N936" i="1"/>
  <c r="N937" i="1"/>
  <c r="N938" i="1"/>
  <c r="N939" i="1"/>
  <c r="N940" i="1"/>
  <c r="N943" i="1"/>
  <c r="N944" i="1"/>
  <c r="N945" i="1"/>
  <c r="N946" i="1"/>
  <c r="N947" i="1"/>
  <c r="N948" i="1"/>
  <c r="N951" i="1"/>
  <c r="N952" i="1"/>
  <c r="N953" i="1"/>
  <c r="N954" i="1"/>
  <c r="N955" i="1"/>
  <c r="N956" i="1"/>
  <c r="N959" i="1"/>
  <c r="N960" i="1"/>
  <c r="N961" i="1"/>
  <c r="N962" i="1"/>
  <c r="N963" i="1"/>
  <c r="N964" i="1"/>
  <c r="N967" i="1"/>
  <c r="N968" i="1"/>
  <c r="N969" i="1"/>
  <c r="N970" i="1"/>
  <c r="N971" i="1"/>
  <c r="N972" i="1"/>
  <c r="N975" i="1"/>
  <c r="N976" i="1"/>
  <c r="N977" i="1"/>
  <c r="N978" i="1"/>
  <c r="N979" i="1"/>
  <c r="N980" i="1"/>
  <c r="N983" i="1"/>
  <c r="N984" i="1"/>
  <c r="N985" i="1"/>
  <c r="N986" i="1"/>
  <c r="N987" i="1"/>
  <c r="N988" i="1"/>
  <c r="N991" i="1"/>
  <c r="N992" i="1"/>
  <c r="N993" i="1"/>
  <c r="N994" i="1"/>
  <c r="N995" i="1"/>
  <c r="N998" i="1"/>
  <c r="N999" i="1"/>
  <c r="N1000" i="1"/>
  <c r="N1001" i="1"/>
  <c r="N1002" i="1"/>
  <c r="N1003" i="1"/>
  <c r="N1006" i="1"/>
  <c r="N1007" i="1"/>
  <c r="N1008" i="1"/>
  <c r="N1009" i="1"/>
  <c r="N1010" i="1"/>
  <c r="N1011" i="1"/>
  <c r="N1014" i="1"/>
  <c r="N1015" i="1"/>
  <c r="N1016" i="1"/>
  <c r="N1017" i="1"/>
  <c r="N1018" i="1"/>
  <c r="N1019" i="1"/>
  <c r="N1022" i="1"/>
  <c r="N1023" i="1"/>
  <c r="N1024" i="1"/>
  <c r="N1025" i="1"/>
  <c r="N1026" i="1"/>
  <c r="N1029" i="1"/>
  <c r="N1030" i="1"/>
  <c r="N1031" i="1"/>
  <c r="N1034" i="1"/>
  <c r="N1035" i="1"/>
  <c r="N1036" i="1"/>
  <c r="N1037" i="1"/>
  <c r="N1038" i="1"/>
  <c r="N1041" i="1"/>
  <c r="N1042" i="1"/>
  <c r="N1043" i="1"/>
  <c r="N1044" i="1"/>
  <c r="N1045" i="1"/>
  <c r="N1046" i="1"/>
  <c r="N1049" i="1"/>
  <c r="N1050" i="1"/>
  <c r="N1051" i="1"/>
  <c r="N1052" i="1"/>
  <c r="N1053" i="1"/>
  <c r="N1054" i="1"/>
  <c r="N1057" i="1"/>
  <c r="N1058" i="1"/>
  <c r="N1059" i="1"/>
  <c r="N1060" i="1"/>
  <c r="N1061" i="1"/>
  <c r="N1062" i="1"/>
  <c r="N1065" i="1"/>
  <c r="N1066" i="1"/>
  <c r="N1067" i="1"/>
  <c r="N1068" i="1"/>
  <c r="N1069" i="1"/>
  <c r="N1070" i="1"/>
  <c r="N1073" i="1"/>
  <c r="N1074" i="1"/>
  <c r="N1075" i="1"/>
  <c r="N1076" i="1"/>
  <c r="N1077" i="1"/>
  <c r="N1078" i="1"/>
  <c r="N2" i="1"/>
</calcChain>
</file>

<file path=xl/sharedStrings.xml><?xml version="1.0" encoding="utf-8"?>
<sst xmlns="http://schemas.openxmlformats.org/spreadsheetml/2006/main" count="5414" uniqueCount="1400">
  <si>
    <t>Title</t>
  </si>
  <si>
    <t>Release date</t>
  </si>
  <si>
    <t>Year</t>
  </si>
  <si>
    <t>Month</t>
  </si>
  <si>
    <t>Season</t>
  </si>
  <si>
    <t>runTime</t>
  </si>
  <si>
    <t>Genre</t>
  </si>
  <si>
    <t>MPAA_Rating</t>
  </si>
  <si>
    <t>is_original</t>
  </si>
  <si>
    <t>is_franchise</t>
  </si>
  <si>
    <t>averageRating</t>
  </si>
  <si>
    <t>numVotes</t>
  </si>
  <si>
    <t>performance</t>
  </si>
  <si>
    <t>Ghost Stories</t>
  </si>
  <si>
    <t>Winter</t>
  </si>
  <si>
    <t>Horror anthology</t>
  </si>
  <si>
    <t>NR</t>
  </si>
  <si>
    <t>Streaming-flop</t>
  </si>
  <si>
    <t>A Fall from Grace</t>
  </si>
  <si>
    <t>Thriller</t>
  </si>
  <si>
    <t>Airplane Mode</t>
  </si>
  <si>
    <t>Comedy</t>
  </si>
  <si>
    <t>Horse Girl</t>
  </si>
  <si>
    <t>Psychological drama</t>
  </si>
  <si>
    <t>R</t>
  </si>
  <si>
    <t>To All the Boys: P.S. I Still Love You</t>
  </si>
  <si>
    <t>Teen romantic comedy</t>
  </si>
  <si>
    <t>PG-13</t>
  </si>
  <si>
    <t>Isi &amp; Ossi</t>
  </si>
  <si>
    <t>Romantic comedy</t>
  </si>
  <si>
    <t>Not Rated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</si>
  <si>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</si>
  <si>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</si>
  <si>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</si>
  <si>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</si>
  <si>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</si>
  <si>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</si>
  <si>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</si>
  <si>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Spring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</si>
  <si>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</si>
  <si>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</si>
  <si>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</si>
  <si>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</si>
  <si>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</si>
  <si>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</si>
  <si>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</si>
  <si>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</si>
  <si>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</si>
  <si>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</si>
  <si>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</si>
  <si>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</si>
  <si>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</si>
  <si>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</si>
  <si>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</si>
  <si>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</si>
  <si>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</si>
  <si>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PG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</si>
  <si>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</si>
  <si>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</si>
  <si>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</si>
  <si>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</si>
  <si>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</si>
  <si>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</si>
  <si>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</si>
  <si>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</si>
  <si>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</si>
  <si>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</si>
  <si>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Dangerous Lies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</si>
  <si>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</si>
  <si>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</si>
  <si>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</si>
  <si>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</si>
  <si>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</si>
  <si>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</si>
  <si>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</si>
  <si>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Intuition</t>
  </si>
  <si>
    <t>Crime thriller</t>
  </si>
  <si>
    <t>The Last Days of American Crime</t>
  </si>
  <si>
    <t>Summer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</si>
  <si>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</si>
  <si>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</si>
  <si>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</si>
  <si>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</si>
  <si>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</si>
  <si>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</si>
  <si>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</si>
  <si>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G</t>
  </si>
  <si>
    <t>Lost Bullet</t>
  </si>
  <si>
    <t>Streaming-hit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</si>
  <si>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</si>
  <si>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</si>
  <si>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</si>
  <si>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</si>
  <si>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</si>
  <si>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</si>
  <si>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</si>
  <si>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</si>
  <si>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</si>
  <si>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</si>
  <si>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</si>
  <si>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</si>
  <si>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</si>
  <si>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</si>
  <si>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</si>
  <si>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</si>
  <si>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</si>
  <si>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</si>
  <si>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</si>
  <si>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</si>
  <si>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</si>
  <si>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</si>
  <si>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</si>
  <si>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</si>
  <si>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</si>
  <si>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</si>
  <si>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</si>
  <si>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</si>
  <si>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</si>
  <si>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</si>
  <si>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</si>
  <si>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</si>
  <si>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</si>
  <si>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</si>
  <si>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</si>
  <si>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Love, Guaranteed</t>
  </si>
  <si>
    <t>Fall/Autumn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</si>
  <si>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</si>
  <si>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</si>
  <si>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</si>
  <si>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</si>
  <si>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</si>
  <si>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</si>
  <si>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</si>
  <si>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Whipped</t>
  </si>
  <si>
    <t>The Boys in the Band</t>
  </si>
  <si>
    <t>All Because of You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</si>
  <si>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</si>
  <si>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</si>
  <si>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</si>
  <si>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</si>
  <si>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</si>
  <si>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</si>
  <si>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</si>
  <si>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</si>
  <si>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</si>
  <si>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</si>
  <si>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</si>
  <si>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</si>
  <si>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</si>
  <si>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</si>
  <si>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</si>
  <si>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</si>
  <si>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</si>
  <si>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</si>
  <si>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</si>
  <si>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</si>
  <si>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</si>
  <si>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</si>
  <si>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</si>
  <si>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</si>
  <si>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</si>
  <si>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</si>
  <si>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</si>
  <si>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</si>
  <si>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</si>
  <si>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</si>
  <si>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</si>
  <si>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</si>
  <si>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</si>
  <si>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</si>
  <si>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</si>
  <si>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</si>
  <si>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</si>
  <si>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</si>
  <si>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</si>
  <si>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</si>
  <si>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</si>
  <si>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</si>
  <si>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</si>
  <si>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</si>
  <si>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</si>
  <si>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</si>
  <si>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</si>
  <si>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</si>
  <si>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</si>
  <si>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</si>
  <si>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</si>
  <si>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</si>
  <si>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</si>
  <si>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</si>
  <si>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</si>
  <si>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</si>
  <si>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</si>
  <si>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</si>
  <si>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</si>
  <si>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</si>
  <si>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</si>
  <si>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Stuck Apart</t>
  </si>
  <si>
    <t>The Heartbreak Club</t>
  </si>
  <si>
    <t>Double Dad</t>
  </si>
  <si>
    <t>Outside the Wire</t>
  </si>
  <si>
    <t>Action / science fiction</t>
  </si>
  <si>
    <t>The White Tiger</t>
  </si>
  <si>
    <t>The Dig</t>
  </si>
  <si>
    <t>Below Zero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</si>
  <si>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</si>
  <si>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</si>
  <si>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</si>
  <si>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</si>
  <si>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</si>
  <si>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</si>
  <si>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</si>
  <si>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</si>
  <si>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</si>
  <si>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</si>
  <si>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</si>
  <si>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</si>
  <si>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</si>
  <si>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</si>
  <si>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</si>
  <si>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</si>
  <si>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</si>
  <si>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</si>
  <si>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</si>
  <si>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</si>
  <si>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</si>
  <si>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Just Say Yes</t>
  </si>
  <si>
    <t>Madame Claude</t>
  </si>
  <si>
    <t>Have You Ever Seen Fireflies?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</si>
  <si>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</si>
  <si>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</si>
  <si>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</si>
  <si>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</si>
  <si>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</si>
  <si>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</si>
  <si>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</si>
  <si>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</si>
  <si>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</si>
  <si>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</si>
  <si>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</si>
  <si>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</si>
  <si>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</si>
  <si>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</si>
  <si>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</si>
  <si>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</si>
  <si>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</si>
  <si>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</si>
  <si>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</si>
  <si>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</si>
  <si>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</si>
  <si>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</si>
  <si>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</si>
  <si>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</si>
  <si>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</si>
  <si>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Skater Girl</t>
  </si>
  <si>
    <t>Coming-of-age sports drama</t>
  </si>
  <si>
    <t>Jagame Thandhiram</t>
  </si>
  <si>
    <t>Good on Paper</t>
  </si>
  <si>
    <t>America: The Motion Picture</t>
  </si>
  <si>
    <t>Animation / comedy / historical fiction</t>
  </si>
  <si>
    <t>The 8th Night</t>
  </si>
  <si>
    <t>Thriller film</t>
  </si>
  <si>
    <t>Haseen Dillruba</t>
  </si>
  <si>
    <t>Last Summer</t>
  </si>
  <si>
    <t>A Classic Horror Story</t>
  </si>
  <si>
    <t>NC-17</t>
  </si>
  <si>
    <t>A Perfect Fit</t>
  </si>
  <si>
    <t>Romantic comedy / drama</t>
  </si>
  <si>
    <t>My Amanda</t>
  </si>
  <si>
    <t>Romance</t>
  </si>
  <si>
    <t>Deep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</si>
  <si>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</si>
  <si>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</si>
  <si>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</si>
  <si>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</si>
  <si>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</si>
  <si>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</si>
  <si>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</si>
  <si>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</si>
  <si>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</si>
  <si>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</si>
  <si>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</si>
  <si>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</si>
  <si>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</si>
  <si>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</si>
  <si>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</si>
  <si>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</si>
  <si>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</si>
  <si>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</si>
  <si>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</si>
  <si>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</si>
  <si>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</si>
  <si>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</si>
  <si>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</si>
  <si>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</si>
  <si>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</si>
  <si>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</si>
  <si>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</si>
  <si>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</si>
  <si>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</si>
  <si>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</si>
  <si>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</si>
  <si>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</si>
  <si>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</si>
  <si>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</si>
  <si>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</si>
  <si>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</si>
  <si>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</si>
  <si>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</si>
  <si>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</si>
  <si>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</si>
  <si>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</si>
  <si>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</si>
  <si>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</si>
  <si>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</si>
  <si>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</si>
  <si>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</si>
  <si>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</si>
  <si>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</si>
  <si>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</si>
  <si>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</si>
  <si>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</si>
  <si>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</si>
  <si>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</si>
  <si>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</si>
  <si>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</si>
  <si>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</si>
  <si>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</si>
  <si>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</si>
  <si>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</si>
  <si>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</si>
  <si>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</si>
  <si>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Dhamaka</t>
  </si>
  <si>
    <t>Love Me Instead</t>
  </si>
  <si>
    <t>Tick, Tick... Boom!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</si>
  <si>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</si>
  <si>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</si>
  <si>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</si>
  <si>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</si>
  <si>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</si>
  <si>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</si>
  <si>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</si>
  <si>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</si>
  <si>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</si>
  <si>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</si>
  <si>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</si>
  <si>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</si>
  <si>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</si>
  <si>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</si>
  <si>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</si>
  <si>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</si>
  <si>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</si>
  <si>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</si>
  <si>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</si>
  <si>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</si>
  <si>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</si>
  <si>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</si>
  <si>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Lulli</t>
  </si>
  <si>
    <t>How I Fell in Love with a Gangster</t>
  </si>
  <si>
    <t>Brazen</t>
  </si>
  <si>
    <t>The Royal Treatment</t>
  </si>
  <si>
    <t>Amandla</t>
  </si>
  <si>
    <t>My Father's Violin</t>
  </si>
  <si>
    <t>Home Team</t>
  </si>
  <si>
    <t>Looop Lapeta</t>
  </si>
  <si>
    <t>Through My Window</t>
  </si>
  <si>
    <t>The Privilege</t>
  </si>
  <si>
    <t>Into the Wind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</si>
  <si>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</si>
  <si>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</si>
  <si>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</si>
  <si>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</si>
  <si>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</si>
  <si>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</si>
  <si>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UFO</t>
  </si>
  <si>
    <t>Restless</t>
  </si>
  <si>
    <t>Against the Ice</t>
  </si>
  <si>
    <t>Survival</t>
  </si>
  <si>
    <t>The Weekend Away</t>
  </si>
  <si>
    <t>The Adam Project</t>
  </si>
  <si>
    <t>Rescued by Ruby</t>
  </si>
  <si>
    <t>Black Crab</t>
  </si>
  <si>
    <t>Windfall</t>
  </si>
  <si>
    <t>In Good Hands</t>
  </si>
  <si>
    <t>Love Like the Falling Petals</t>
  </si>
  <si>
    <t>All Hail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</si>
  <si>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</si>
  <si>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</si>
  <si>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</si>
  <si>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</si>
  <si>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</si>
  <si>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</si>
  <si>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</si>
  <si>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</si>
  <si>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Choose or Die</t>
  </si>
  <si>
    <t>Man of God</t>
  </si>
  <si>
    <t>365 Days: This Day</t>
  </si>
  <si>
    <t>Erotic thriller</t>
  </si>
  <si>
    <t>Silverton Siege</t>
  </si>
  <si>
    <t>Bubble</t>
  </si>
  <si>
    <t>Anime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</si>
  <si>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</si>
  <si>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</si>
  <si>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</si>
  <si>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</si>
  <si>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</si>
  <si>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</si>
  <si>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</si>
  <si>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</si>
  <si>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</si>
  <si>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</si>
  <si>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</si>
  <si>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</si>
  <si>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</si>
  <si>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</si>
  <si>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</si>
  <si>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</si>
  <si>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</si>
  <si>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</si>
  <si>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</si>
  <si>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</si>
  <si>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</si>
  <si>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</si>
  <si>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</si>
  <si>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</si>
  <si>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</si>
  <si>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</si>
  <si>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</si>
  <si>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</si>
  <si>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</si>
  <si>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</si>
  <si>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</si>
  <si>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</si>
  <si>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</si>
  <si>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</si>
  <si>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</si>
  <si>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</si>
  <si>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</si>
  <si>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</si>
  <si>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</si>
  <si>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</si>
  <si>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</si>
  <si>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</si>
  <si>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</si>
  <si>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</si>
  <si>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</si>
  <si>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</si>
  <si>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</si>
  <si>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</si>
  <si>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</si>
  <si>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</si>
  <si>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</si>
  <si>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</si>
  <si>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</si>
  <si>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</si>
  <si>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</si>
  <si>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</si>
  <si>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</si>
  <si>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</si>
  <si>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</si>
  <si>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</si>
  <si>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</si>
  <si>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</si>
  <si>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</si>
  <si>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</si>
  <si>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</si>
  <si>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</si>
  <si>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</si>
  <si>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</si>
  <si>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</si>
  <si>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</si>
  <si>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Plan A Plan B</t>
  </si>
  <si>
    <t>Rainbow</t>
  </si>
  <si>
    <t>Fantasy drama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</si>
  <si>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</si>
  <si>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</si>
  <si>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</si>
  <si>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</si>
  <si>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</si>
  <si>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</si>
  <si>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</si>
  <si>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</si>
  <si>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</si>
  <si>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</si>
  <si>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</si>
  <si>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</si>
  <si>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</si>
  <si>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</si>
  <si>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</si>
  <si>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</si>
  <si>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</si>
  <si>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</si>
  <si>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</si>
  <si>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</si>
  <si>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</si>
  <si>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</si>
  <si>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</si>
  <si>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</si>
  <si>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</si>
  <si>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</si>
  <si>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</si>
  <si>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</si>
  <si>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</si>
  <si>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</si>
  <si>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</si>
  <si>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</si>
  <si>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</si>
  <si>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</si>
  <si>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</si>
  <si>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</si>
  <si>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</si>
  <si>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</si>
  <si>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</si>
  <si>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</si>
  <si>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</si>
  <si>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</si>
  <si>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</si>
  <si>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</si>
  <si>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</si>
  <si>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</si>
  <si>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</si>
  <si>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</si>
  <si>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Monster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</si>
  <si>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</si>
  <si>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</si>
  <si>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</si>
  <si>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</si>
  <si>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</si>
  <si>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</si>
  <si>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</si>
  <si>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</si>
  <si>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</si>
  <si>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</si>
  <si>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</si>
  <si>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Private Lesson</t>
  </si>
  <si>
    <t>A Not So Merry Christmas</t>
  </si>
  <si>
    <t>A Night at the Kindergarten</t>
  </si>
  <si>
    <t>White Noise</t>
  </si>
  <si>
    <t>Dog Gone</t>
  </si>
  <si>
    <t>Family drama</t>
  </si>
  <si>
    <t>Mission Majnu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</si>
  <si>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</si>
  <si>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</si>
  <si>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</si>
  <si>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</si>
  <si>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</si>
  <si>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</si>
  <si>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</si>
  <si>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</si>
  <si>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</si>
  <si>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</si>
  <si>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</si>
  <si>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</si>
  <si>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</si>
  <si>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</si>
  <si>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</si>
  <si>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Faraway</t>
  </si>
  <si>
    <t>Have a Nice Day!</t>
  </si>
  <si>
    <t>Luther: The Fallen Sun</t>
  </si>
  <si>
    <t>In His Shadow</t>
  </si>
  <si>
    <t>Noise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</si>
  <si>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</si>
  <si>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</si>
  <si>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</si>
  <si>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</si>
  <si>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</si>
  <si>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</si>
  <si>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</si>
  <si>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</si>
  <si>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</si>
  <si>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Queens on the Run</t>
  </si>
  <si>
    <t>Phenomena</t>
  </si>
  <si>
    <t>A Tourist's Guide to Love</t>
  </si>
  <si>
    <t>Chokehold</t>
  </si>
  <si>
    <t>One More Time</t>
  </si>
  <si>
    <t>The Matchmaker</t>
  </si>
  <si>
    <t>AKA</t>
  </si>
  <si>
    <t>Royalteen: Princess Margrethe</t>
  </si>
  <si>
    <t>The Mother</t>
  </si>
  <si>
    <t>Fanfic</t>
  </si>
  <si>
    <t>Hard Feelings</t>
  </si>
  <si>
    <t>Mother's Day</t>
  </si>
  <si>
    <t>Where the Tracks End</t>
  </si>
  <si>
    <t>Family film</t>
  </si>
  <si>
    <t>A Beautiful Life</t>
  </si>
  <si>
    <t>Missed Connections</t>
  </si>
  <si>
    <t>Rich in Love 2</t>
  </si>
  <si>
    <t>You Do You</t>
  </si>
  <si>
    <t>Black Clover: Sword of the Wizard King</t>
  </si>
  <si>
    <t>iNumber Number: Jozi Gold</t>
  </si>
  <si>
    <t>Make Me Believe</t>
  </si>
  <si>
    <t>The Perfect Find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</si>
  <si>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</si>
  <si>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</si>
  <si>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</si>
  <si>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</si>
  <si>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</si>
  <si>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</si>
  <si>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</si>
  <si>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</si>
  <si>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</si>
  <si>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</si>
  <si>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</si>
  <si>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</si>
  <si>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</si>
  <si>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</si>
  <si>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</si>
  <si>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</si>
  <si>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</si>
  <si>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</si>
  <si>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</si>
  <si>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</si>
  <si>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</si>
  <si>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</si>
  <si>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</si>
  <si>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</si>
  <si>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</si>
  <si>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</si>
  <si>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</si>
  <si>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</si>
  <si>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</si>
  <si>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</si>
  <si>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</si>
  <si>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</si>
  <si>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</si>
  <si>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</si>
  <si>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</si>
  <si>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</si>
  <si>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</si>
  <si>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</si>
  <si>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</si>
  <si>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</si>
  <si>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</si>
  <si>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</si>
  <si>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</si>
  <si>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</si>
  <si>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</si>
  <si>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</si>
  <si>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</si>
  <si>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</si>
  <si>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</si>
  <si>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</si>
  <si>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</si>
  <si>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</si>
  <si>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</si>
  <si>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</si>
  <si>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</si>
  <si>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</si>
  <si>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</si>
  <si>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</si>
  <si>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</si>
  <si>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</si>
  <si>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</si>
  <si>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</si>
  <si>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</si>
  <si>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</si>
  <si>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</si>
  <si>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</si>
  <si>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</si>
  <si>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</si>
  <si>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</si>
  <si>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</si>
  <si>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</si>
  <si>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</si>
  <si>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</si>
  <si>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</si>
  <si>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</si>
  <si>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</si>
  <si>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</si>
  <si>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</si>
  <si>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</si>
  <si>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</si>
  <si>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</si>
  <si>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</si>
  <si>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</si>
  <si>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</si>
  <si>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</si>
  <si>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</si>
  <si>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</si>
  <si>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</si>
  <si>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</si>
  <si>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</si>
  <si>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</si>
  <si>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</si>
  <si>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</si>
  <si>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</si>
  <si>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</si>
  <si>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</si>
  <si>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</si>
  <si>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</si>
  <si>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</si>
  <si>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</si>
  <si>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</si>
  <si>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</si>
  <si>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A Vampire in the Family</t>
  </si>
  <si>
    <t>Kho Gaye Hum Kahan</t>
  </si>
  <si>
    <t>Thank You, I'm Sorry</t>
  </si>
  <si>
    <t>Lift</t>
  </si>
  <si>
    <t>Action comedy-thriller</t>
  </si>
  <si>
    <t>From the Ashes</t>
  </si>
  <si>
    <t>Sixty Minutes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</si>
  <si>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</si>
  <si>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</si>
  <si>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</si>
  <si>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</si>
  <si>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</si>
  <si>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</si>
  <si>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</si>
  <si>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</si>
  <si>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The Heartbreak Agency</t>
  </si>
  <si>
    <t>Code 8: Part II</t>
  </si>
  <si>
    <t>The Parades</t>
  </si>
  <si>
    <t>My Name Is Loh Kiwan</t>
  </si>
  <si>
    <t>Spaceman</t>
  </si>
  <si>
    <t>Science fiction drama</t>
  </si>
  <si>
    <t>Damsel</t>
  </si>
  <si>
    <t>Fantasy action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</si>
  <si>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</si>
  <si>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</si>
  <si>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</si>
  <si>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</si>
  <si>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</si>
  <si>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</si>
  <si>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</si>
  <si>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</si>
  <si>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</si>
  <si>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</si>
  <si>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</si>
  <si>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</si>
  <si>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</si>
  <si>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</si>
  <si>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</si>
  <si>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</si>
  <si>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</si>
  <si>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</si>
  <si>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</si>
  <si>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</si>
  <si>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</si>
  <si>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</si>
  <si>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</si>
  <si>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</si>
  <si>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</si>
  <si>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</si>
  <si>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</si>
  <si>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</si>
  <si>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</si>
  <si>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</si>
  <si>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</si>
  <si>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</si>
  <si>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</si>
  <si>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</si>
  <si>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</si>
  <si>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</si>
  <si>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Coming-of-age drama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</si>
  <si>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</si>
  <si>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</si>
  <si>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</si>
  <si>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</si>
  <si>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</si>
  <si>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</si>
  <si>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</si>
  <si>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</si>
  <si>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</si>
  <si>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</si>
  <si>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</si>
  <si>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</si>
  <si>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</si>
  <si>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</si>
  <si>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</si>
  <si>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</si>
  <si>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</si>
  <si>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</si>
  <si>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</si>
  <si>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</si>
  <si>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</si>
  <si>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</si>
  <si>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</si>
  <si>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</si>
  <si>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</si>
  <si>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</si>
  <si>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</si>
  <si>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</si>
  <si>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</si>
  <si>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</si>
  <si>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</si>
  <si>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</si>
  <si>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</si>
  <si>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</si>
  <si>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</si>
  <si>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</si>
  <si>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</si>
  <si>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</si>
  <si>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</si>
  <si>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</si>
  <si>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</si>
  <si>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</si>
  <si>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</si>
  <si>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</si>
  <si>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</si>
  <si>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</si>
  <si>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</si>
  <si>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</si>
  <si>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</si>
  <si>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</si>
  <si>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</si>
  <si>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</si>
  <si>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</si>
  <si>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</si>
  <si>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</si>
  <si>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</si>
  <si>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</si>
  <si>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</si>
  <si>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</si>
  <si>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</si>
  <si>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</si>
  <si>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</si>
  <si>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</si>
  <si>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</si>
  <si>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</si>
  <si>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</si>
  <si>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</si>
  <si>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</si>
  <si>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</si>
  <si>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PÃ¡ramo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</si>
  <si>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</si>
  <si>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</si>
  <si>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</si>
  <si>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</si>
  <si>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</si>
  <si>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</si>
  <si>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</si>
  <si>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</si>
  <si>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</si>
  <si>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</si>
  <si>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</si>
  <si>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</si>
  <si>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</si>
  <si>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</si>
  <si>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</si>
  <si>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</si>
  <si>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</si>
  <si>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</si>
  <si>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</si>
  <si>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</si>
  <si>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</si>
  <si>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</si>
  <si>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</si>
  <si>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</si>
  <si>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</si>
  <si>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</si>
  <si>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Ad Vitam</t>
  </si>
  <si>
    <t>Back in Action</t>
  </si>
  <si>
    <t>Lucca's World</t>
  </si>
  <si>
    <t>Kinda Pregnant</t>
  </si>
  <si>
    <t>The Witcher: Sirens of the Deep</t>
  </si>
  <si>
    <t>Animation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</si>
  <si>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</si>
  <si>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</si>
  <si>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</si>
  <si>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</si>
  <si>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</si>
  <si>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</si>
  <si>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</si>
  <si>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</si>
  <si>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</si>
  <si>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</si>
  <si>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</si>
  <si>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</si>
  <si>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</si>
  <si>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</si>
  <si>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</si>
  <si>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</si>
  <si>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</si>
  <si>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</si>
  <si>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</si>
  <si>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</si>
  <si>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</si>
  <si>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</si>
  <si>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</si>
  <si>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</si>
  <si>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</si>
  <si>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</si>
  <si>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</si>
  <si>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</si>
  <si>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</si>
  <si>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</si>
  <si>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</si>
  <si>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</si>
  <si>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</si>
  <si>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</si>
  <si>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</si>
  <si>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</si>
  <si>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</si>
  <si>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</si>
  <si>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</si>
  <si>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</si>
  <si>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</si>
  <si>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</si>
  <si>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</si>
  <si>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</si>
  <si>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</si>
  <si>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</si>
  <si>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</si>
  <si>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</si>
  <si>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</si>
  <si>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</si>
  <si>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</si>
  <si>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</si>
  <si>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</si>
  <si>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</si>
  <si>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</si>
  <si>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</si>
  <si>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</si>
  <si>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</si>
  <si>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</si>
  <si>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</si>
  <si>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</si>
  <si>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</si>
  <si>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</si>
  <si>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</si>
  <si>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</si>
  <si>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</si>
  <si>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</si>
  <si>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</si>
  <si>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</si>
  <si>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</si>
  <si>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</si>
  <si>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</si>
  <si>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</si>
  <si>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</si>
  <si>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</si>
  <si>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</si>
  <si>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</si>
  <si>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</si>
  <si>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</si>
  <si>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</si>
  <si>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</si>
  <si>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</si>
  <si>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</si>
  <si>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</si>
  <si>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</si>
  <si>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</si>
  <si>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</si>
  <si>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</si>
  <si>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</si>
  <si>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</si>
  <si>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</si>
  <si>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</si>
  <si>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</si>
  <si>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</si>
  <si>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</si>
  <si>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</si>
  <si>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</si>
  <si>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</si>
  <si>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</si>
  <si>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Frankenstein</t>
  </si>
  <si>
    <t>Gothic science fiction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</si>
  <si>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</si>
  <si>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</si>
  <si>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</si>
  <si>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</si>
  <si>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</si>
  <si>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</si>
  <si>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</si>
  <si>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</si>
  <si>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</si>
  <si>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</si>
  <si>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</si>
  <si>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</si>
  <si>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</si>
  <si>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</si>
  <si>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</si>
  <si>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</si>
  <si>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</si>
  <si>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</si>
  <si>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</si>
  <si>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</si>
  <si>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</si>
  <si>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A Time for Bravery</t>
  </si>
  <si>
    <t>The Great Flood</t>
  </si>
  <si>
    <t>Goodbye June</t>
  </si>
  <si>
    <t>The Tax Collector</t>
  </si>
  <si>
    <t>Action,Crime,Drama</t>
  </si>
  <si>
    <t>cinema-flop</t>
  </si>
  <si>
    <t>The Man in the Hat</t>
  </si>
  <si>
    <t>Comedy,Drama</t>
  </si>
  <si>
    <t>TV-MA</t>
  </si>
  <si>
    <t>Host</t>
  </si>
  <si>
    <t>Horror,Mystery</t>
  </si>
  <si>
    <t>cinema-hit</t>
  </si>
  <si>
    <t>The Reckoning</t>
  </si>
  <si>
    <t>Drama,Mystery,Thriller</t>
  </si>
  <si>
    <t>The House Next Door: Meet the Blacks 2</t>
  </si>
  <si>
    <t>Action,Comedy,Horror</t>
  </si>
  <si>
    <t>Annaatthe</t>
  </si>
  <si>
    <t>Action,Comedy,Drama</t>
  </si>
  <si>
    <t>Terrifier 2</t>
  </si>
  <si>
    <t>The Lair</t>
  </si>
  <si>
    <t>Action,Horror,Sci-Fi</t>
  </si>
  <si>
    <t>Jeanne du Barry</t>
  </si>
  <si>
    <t>Biography,Drama,History</t>
  </si>
  <si>
    <t>Dicks: The Musical</t>
  </si>
  <si>
    <t>Comedy,Musical</t>
  </si>
  <si>
    <t>Hanu Man</t>
  </si>
  <si>
    <t>Action,Adventure,Fantasy</t>
  </si>
  <si>
    <t>Devara Part 1</t>
  </si>
  <si>
    <t>Action,Adventure,Drama</t>
  </si>
  <si>
    <t>PAW Patrol: The Movie</t>
  </si>
  <si>
    <t>Action,Adventure,Animation</t>
  </si>
  <si>
    <t>The Wretched</t>
  </si>
  <si>
    <t>Terrifier 3</t>
  </si>
  <si>
    <t>The Call of the Wild</t>
  </si>
  <si>
    <t>Adventure,Drama,Family</t>
  </si>
  <si>
    <t>Dolittle</t>
  </si>
  <si>
    <t>Adventure,Comedy,Family</t>
  </si>
  <si>
    <t>Emma.</t>
  </si>
  <si>
    <t>Comedy,Drama,Romance</t>
  </si>
  <si>
    <t>Onward</t>
  </si>
  <si>
    <t>Adventure,Animation,Comedy</t>
  </si>
  <si>
    <t>I Still Believe</t>
  </si>
  <si>
    <t>Biography,Drama,Music</t>
  </si>
  <si>
    <t>Summerland</t>
  </si>
  <si>
    <t>Drama,Romance,War</t>
  </si>
  <si>
    <t>The Secret: Dare to Dream</t>
  </si>
  <si>
    <t>Drama,Romance</t>
  </si>
  <si>
    <t>The SpongeBob Movie: Sponge on the Run</t>
  </si>
  <si>
    <t>The War with Grandpa</t>
  </si>
  <si>
    <t>Comedy,Drama,Family</t>
  </si>
  <si>
    <t>Wolfwalkers</t>
  </si>
  <si>
    <t>The Croods: A New Age</t>
  </si>
  <si>
    <t>Lena and Snowball</t>
  </si>
  <si>
    <t>Tom and Jerry</t>
  </si>
  <si>
    <t>Spirit Untamed</t>
  </si>
  <si>
    <t>Peter Rabbit 2: The Runaway</t>
  </si>
  <si>
    <t>The Boss Baby: Family Business</t>
  </si>
  <si>
    <t>Space Jam: A New Legacy</t>
  </si>
  <si>
    <t>Clifford the Big Red Dog</t>
  </si>
  <si>
    <t>Encanto</t>
  </si>
  <si>
    <t>Animation,Comedy,Family</t>
  </si>
  <si>
    <t>Sing 2</t>
  </si>
  <si>
    <t>Turning Red</t>
  </si>
  <si>
    <t>The Bad Guys</t>
  </si>
  <si>
    <t>Sonic the Hedgehog 2</t>
  </si>
  <si>
    <t>Action,Adventure,Comedy</t>
  </si>
  <si>
    <t>Lightyear</t>
  </si>
  <si>
    <t>Minions: The Rise of Gru</t>
  </si>
  <si>
    <t>Paws of Fury: The Legend of Hank</t>
  </si>
  <si>
    <t>Mrs. Harris Goes to Paris</t>
  </si>
  <si>
    <t>Lyle, Lyle, Crocodile</t>
  </si>
  <si>
    <t>Strange World</t>
  </si>
  <si>
    <t>I Heard the Bells</t>
  </si>
  <si>
    <t>Biography,Drama,Family</t>
  </si>
  <si>
    <t>Puss in Boots: The Last Wish</t>
  </si>
  <si>
    <t>The Super Mario Bros. Movie</t>
  </si>
  <si>
    <t>The Little Mermaid</t>
  </si>
  <si>
    <t>Adventure,Family,Fantasy</t>
  </si>
  <si>
    <t>Animation,Comedy,Drama</t>
  </si>
  <si>
    <t>Spider-Man: Across the Spider-Verse</t>
  </si>
  <si>
    <t>Elemental</t>
  </si>
  <si>
    <t>Teenage Mutant Ninja Turtles: Mutant Mayhem</t>
  </si>
  <si>
    <t>PAW Patrol: The Mighty Movie</t>
  </si>
  <si>
    <t>Trolls Band Together</t>
  </si>
  <si>
    <t>Journey to Bethlehem</t>
  </si>
  <si>
    <t>Adventure,Family,Musical</t>
  </si>
  <si>
    <t>Wish</t>
  </si>
  <si>
    <t>Migration</t>
  </si>
  <si>
    <t>Wonka</t>
  </si>
  <si>
    <t>Kung Fu Panda 4</t>
  </si>
  <si>
    <t>Unsung Hero</t>
  </si>
  <si>
    <t>The Garfield Movie</t>
  </si>
  <si>
    <t>IF</t>
  </si>
  <si>
    <t>Inside Out 2</t>
  </si>
  <si>
    <t>Despicable Me 4</t>
  </si>
  <si>
    <t>Harold and the Purple Crayon</t>
  </si>
  <si>
    <t>The Forge</t>
  </si>
  <si>
    <t>Drama,Family</t>
  </si>
  <si>
    <t>Transformers One</t>
  </si>
  <si>
    <t>The Wild Robot</t>
  </si>
  <si>
    <t>Adventure,Animation,Family</t>
  </si>
  <si>
    <t>Wicked</t>
  </si>
  <si>
    <t>Fantasy,Musical,Romance</t>
  </si>
  <si>
    <t>Moana 2</t>
  </si>
  <si>
    <t>Mufasa: The Lion King</t>
  </si>
  <si>
    <t>Adventure,Animation,Drama</t>
  </si>
  <si>
    <t>Sonic the Hedgehog 3</t>
  </si>
  <si>
    <t>My Spy</t>
  </si>
  <si>
    <t>Action,Comedy</t>
  </si>
  <si>
    <t>The Turning</t>
  </si>
  <si>
    <t>Drama,Horror,Mystery</t>
  </si>
  <si>
    <t>Gretel &amp; Hansel</t>
  </si>
  <si>
    <t>Fantasy,Horror,Mystery</t>
  </si>
  <si>
    <t>Fantasy Island</t>
  </si>
  <si>
    <t>The Photograph</t>
  </si>
  <si>
    <t>Monster Hunter</t>
  </si>
  <si>
    <t>Brahms: The Boy II</t>
  </si>
  <si>
    <t>Impractical Jokers: The Movie</t>
  </si>
  <si>
    <t>The Banker</t>
  </si>
  <si>
    <t>Biography,Drama</t>
  </si>
  <si>
    <t>Greenland</t>
  </si>
  <si>
    <t>Action,Adventure,Thriller</t>
  </si>
  <si>
    <t>Words on Bathroom Walls</t>
  </si>
  <si>
    <t>Bill &amp; Ted Face the Music</t>
  </si>
  <si>
    <t>Adventure,Comedy,Music</t>
  </si>
  <si>
    <t>The New Mutants</t>
  </si>
  <si>
    <t>Action,Horror,Mystery</t>
  </si>
  <si>
    <t>Tenet</t>
  </si>
  <si>
    <t>Action,Sci-Fi,Thriller</t>
  </si>
  <si>
    <t>Mulan</t>
  </si>
  <si>
    <t>Honest Thief</t>
  </si>
  <si>
    <t>Love and Monsters</t>
  </si>
  <si>
    <t>All My Life</t>
  </si>
  <si>
    <t>Come Play</t>
  </si>
  <si>
    <t>Adventure,Drama,Sci-Fi</t>
  </si>
  <si>
    <t>Minari</t>
  </si>
  <si>
    <t>Wonder Woman 1984</t>
  </si>
  <si>
    <t>The Father</t>
  </si>
  <si>
    <t>Drama,Mystery</t>
  </si>
  <si>
    <t>News of the World</t>
  </si>
  <si>
    <t>The Marksman</t>
  </si>
  <si>
    <t>Action,Drama,Thriller</t>
  </si>
  <si>
    <t>Chaos Walking</t>
  </si>
  <si>
    <t>Godzilla vs. Kong</t>
  </si>
  <si>
    <t>The Unholy</t>
  </si>
  <si>
    <t>Voyagers</t>
  </si>
  <si>
    <t>Adventure,Mystery,Sci-Fi</t>
  </si>
  <si>
    <t>F9: The Fast Saga</t>
  </si>
  <si>
    <t>Action,Crime,Thriller</t>
  </si>
  <si>
    <t>In the Heights</t>
  </si>
  <si>
    <t>Drama,Musical,Romance</t>
  </si>
  <si>
    <t>Escape Room: Tournament of Champions</t>
  </si>
  <si>
    <t>Action,Adventure,Horror</t>
  </si>
  <si>
    <t>The Tomorrow War</t>
  </si>
  <si>
    <t>Black Widow</t>
  </si>
  <si>
    <t>Action,Adventure,Sci-Fi</t>
  </si>
  <si>
    <t>Old</t>
  </si>
  <si>
    <t>Jungle Cruise</t>
  </si>
  <si>
    <t>CODA</t>
  </si>
  <si>
    <t>Comedy,Drama,Music</t>
  </si>
  <si>
    <t>Reminiscence</t>
  </si>
  <si>
    <t>Mystery,Romance,Sci-Fi</t>
  </si>
  <si>
    <t>Shang-Chi and the Legend of the Ten Rings</t>
  </si>
  <si>
    <t>No Time to Die</t>
  </si>
  <si>
    <t>Eternals</t>
  </si>
  <si>
    <t>Action,Comedy,Thriller</t>
  </si>
  <si>
    <t>King Richard</t>
  </si>
  <si>
    <t>Biography,Drama,Sport</t>
  </si>
  <si>
    <t>Ghostbusters: Afterlife</t>
  </si>
  <si>
    <t>Adventure,Comedy,Fantasy</t>
  </si>
  <si>
    <t>Flee</t>
  </si>
  <si>
    <t>Animation,Biography,Documentary</t>
  </si>
  <si>
    <t>West Side Story</t>
  </si>
  <si>
    <t>Crime,Drama,Musical</t>
  </si>
  <si>
    <t>Spider-Man: No Way Home</t>
  </si>
  <si>
    <t>A Journal for Jordan</t>
  </si>
  <si>
    <t>The 355</t>
  </si>
  <si>
    <t>Action,Thriller</t>
  </si>
  <si>
    <t>Moonfall</t>
  </si>
  <si>
    <t>Death on the Nile</t>
  </si>
  <si>
    <t>Crime,Drama,Mystery</t>
  </si>
  <si>
    <t>Marry Me</t>
  </si>
  <si>
    <t>Comedy,Music,Romance</t>
  </si>
  <si>
    <t>Blacklight</t>
  </si>
  <si>
    <t>Uncharted</t>
  </si>
  <si>
    <t>Action,Adventure</t>
  </si>
  <si>
    <t>Dog</t>
  </si>
  <si>
    <t>Drama,Thriller</t>
  </si>
  <si>
    <t>The Batman</t>
  </si>
  <si>
    <t>The Lost City</t>
  </si>
  <si>
    <t>Morbius</t>
  </si>
  <si>
    <t>Fantastic Beasts: The Secrets of Dumbledore</t>
  </si>
  <si>
    <t>Adventure,Fantasy</t>
  </si>
  <si>
    <t>Doctor Strange in the Multiverse of Madness</t>
  </si>
  <si>
    <t>Top Gun: Maverick</t>
  </si>
  <si>
    <t>Action,Drama</t>
  </si>
  <si>
    <t>Jurassic World: Dominion</t>
  </si>
  <si>
    <t>Elvis</t>
  </si>
  <si>
    <t>Thor: Love and Thunder</t>
  </si>
  <si>
    <t>Action,Mystery,Thriller</t>
  </si>
  <si>
    <t>Where the Crawdads Sing</t>
  </si>
  <si>
    <t>Drama,Mystery,Romance</t>
  </si>
  <si>
    <t>Ticket to Paradise</t>
  </si>
  <si>
    <t>The Woman King</t>
  </si>
  <si>
    <t>Action,Drama,History</t>
  </si>
  <si>
    <t>Black Adam</t>
  </si>
  <si>
    <t>Black Panther: Wakanda Forever</t>
  </si>
  <si>
    <t>Avatar: The Way of Water</t>
  </si>
  <si>
    <t>A Man Called Otto</t>
  </si>
  <si>
    <t>M3GAN</t>
  </si>
  <si>
    <t>Horror,Sci-Fi,Thriller</t>
  </si>
  <si>
    <t>80 for Brady</t>
  </si>
  <si>
    <t>Comedy,Drama,Sport</t>
  </si>
  <si>
    <t>Ant-Man and the Wasp: Quantumania</t>
  </si>
  <si>
    <t>Jesus Revolution</t>
  </si>
  <si>
    <t>Creed III</t>
  </si>
  <si>
    <t>Action,Drama,Sport</t>
  </si>
  <si>
    <t>Dungeons &amp; Dragons: Honor Among Thieves</t>
  </si>
  <si>
    <t>Shazam! Fury of the Gods</t>
  </si>
  <si>
    <t>Knights of the Zodiac</t>
  </si>
  <si>
    <t>His Only Son</t>
  </si>
  <si>
    <t>Drama,History</t>
  </si>
  <si>
    <t>Fast X</t>
  </si>
  <si>
    <t>Action,Adventure,Crime</t>
  </si>
  <si>
    <t>Past Lives</t>
  </si>
  <si>
    <t>Transformers: Rise of the Beasts</t>
  </si>
  <si>
    <t>The Flash</t>
  </si>
  <si>
    <t>Indiana Jones and the Dial of Destiny</t>
  </si>
  <si>
    <t>Sound of Freedom</t>
  </si>
  <si>
    <t>Biography,Crime,Drama</t>
  </si>
  <si>
    <t>Insidious: The Red Door</t>
  </si>
  <si>
    <t>Horror,Mystery,Thriller</t>
  </si>
  <si>
    <t>Barbie</t>
  </si>
  <si>
    <t>Haunted Mansion</t>
  </si>
  <si>
    <t>Meg 2: The Trench</t>
  </si>
  <si>
    <t>Blue Beetle</t>
  </si>
  <si>
    <t>The Creator</t>
  </si>
  <si>
    <t>The Marvels</t>
  </si>
  <si>
    <t>The Hunger Games: The Ballad of Songbirds &amp; Snakes</t>
  </si>
  <si>
    <t>Next Goal Wins</t>
  </si>
  <si>
    <t>Occupied City</t>
  </si>
  <si>
    <t>Documentary,History,War</t>
  </si>
  <si>
    <t>Aquaman and the Lost Kingdom</t>
  </si>
  <si>
    <t>Mean Girls</t>
  </si>
  <si>
    <t>Argylle</t>
  </si>
  <si>
    <t>Madame Web</t>
  </si>
  <si>
    <t>Dune: Part Two</t>
  </si>
  <si>
    <t>The Fall Guy</t>
  </si>
  <si>
    <t>Imaginary</t>
  </si>
  <si>
    <t>Cabrini</t>
  </si>
  <si>
    <t>Arthur the King</t>
  </si>
  <si>
    <t>Adventure,Drama,Sport</t>
  </si>
  <si>
    <t>Ghostbusters: Frozen Empire</t>
  </si>
  <si>
    <t>Godzilla x Kong: The New Empire</t>
  </si>
  <si>
    <t>Tarot</t>
  </si>
  <si>
    <t>Kingdom of the Planet of the Apes</t>
  </si>
  <si>
    <t>The Watchers</t>
  </si>
  <si>
    <t>A Quiet Place: Day One</t>
  </si>
  <si>
    <t>Drama,Horror,Sci-Fi</t>
  </si>
  <si>
    <t>Sound of Hope: The Story of Possum Trot</t>
  </si>
  <si>
    <t>Fly Me to the Moon</t>
  </si>
  <si>
    <t>Comedy,Romance</t>
  </si>
  <si>
    <t>Twisters</t>
  </si>
  <si>
    <t>Afraid</t>
  </si>
  <si>
    <t>Horror,Mystery,Sci-Fi</t>
  </si>
  <si>
    <t>Reagan</t>
  </si>
  <si>
    <t>Beetlejuice Beetlejuice</t>
  </si>
  <si>
    <t>Comedy,Fantasy,Horror</t>
  </si>
  <si>
    <t>Am I Racist?</t>
  </si>
  <si>
    <t>Comedy,Documentary</t>
  </si>
  <si>
    <t>Venom: The Last Dance</t>
  </si>
  <si>
    <t>Action,Fantasy,Horror</t>
  </si>
  <si>
    <t>Here</t>
  </si>
  <si>
    <t>Red One</t>
  </si>
  <si>
    <t>The Lord of the Rings: The War of the Rohirrim</t>
  </si>
  <si>
    <t>Like a Boss</t>
  </si>
  <si>
    <t>The Assistant</t>
  </si>
  <si>
    <t>The Rhythm Section</t>
  </si>
  <si>
    <t>Action,Drama,Mystery</t>
  </si>
  <si>
    <t>The Invisible Man</t>
  </si>
  <si>
    <t>The Way Back</t>
  </si>
  <si>
    <t>Drama,Sport</t>
  </si>
  <si>
    <t>The Hunt</t>
  </si>
  <si>
    <t>Action,Horror,Thriller</t>
  </si>
  <si>
    <t>Firestarter</t>
  </si>
  <si>
    <t>Documentary</t>
  </si>
  <si>
    <t>Palm Springs</t>
  </si>
  <si>
    <t>Comedy,Fantasy,Mystery</t>
  </si>
  <si>
    <t>Unhinged</t>
  </si>
  <si>
    <t>Cut Throat City</t>
  </si>
  <si>
    <t>The Killing of Two Lovers</t>
  </si>
  <si>
    <t>Drama,History,Thriller</t>
  </si>
  <si>
    <t>Freaky</t>
  </si>
  <si>
    <t>Comedy,Horror,Thriller</t>
  </si>
  <si>
    <t>Echo Boomers</t>
  </si>
  <si>
    <t>The Little Things</t>
  </si>
  <si>
    <t>Judas and the Black Messiah</t>
  </si>
  <si>
    <t>The Conjuring: The Devil Made Me Do It</t>
  </si>
  <si>
    <t>Nobody</t>
  </si>
  <si>
    <t>Mortal Kombat</t>
  </si>
  <si>
    <t>Wrath of Man</t>
  </si>
  <si>
    <t>Spiral</t>
  </si>
  <si>
    <t>Lansky</t>
  </si>
  <si>
    <t>The Forever Purge</t>
  </si>
  <si>
    <t>Annette</t>
  </si>
  <si>
    <t>Midnight in the Switchgrass</t>
  </si>
  <si>
    <t>Crime,Mystery,Thriller</t>
  </si>
  <si>
    <t>The Suicide Squad</t>
  </si>
  <si>
    <t>The Green Knight</t>
  </si>
  <si>
    <t>Adventure,Drama,Fantasy</t>
  </si>
  <si>
    <t>Malignant</t>
  </si>
  <si>
    <t>Crime,Horror,Mystery</t>
  </si>
  <si>
    <t>The Many Saints of Newark</t>
  </si>
  <si>
    <t>Crime,Drama</t>
  </si>
  <si>
    <t>The Last Duel</t>
  </si>
  <si>
    <t>Halloween Kills</t>
  </si>
  <si>
    <t>Action,Drama,Horror</t>
  </si>
  <si>
    <t>Last Night in Soho</t>
  </si>
  <si>
    <t>A Mouthful of Air</t>
  </si>
  <si>
    <t>Drama,Western</t>
  </si>
  <si>
    <t>Resident Evil: Welcome to Raccoon City</t>
  </si>
  <si>
    <t>House of Gucci</t>
  </si>
  <si>
    <t>Licorice Pizza</t>
  </si>
  <si>
    <t>National Champions</t>
  </si>
  <si>
    <t>The Matrix Resurrections</t>
  </si>
  <si>
    <t>Action,Sci-Fi</t>
  </si>
  <si>
    <t>Nightmare Alley</t>
  </si>
  <si>
    <t>Crime,Drama,Thriller</t>
  </si>
  <si>
    <t>Scream</t>
  </si>
  <si>
    <t>A Day to Die</t>
  </si>
  <si>
    <t>Ambulance</t>
  </si>
  <si>
    <t>X</t>
  </si>
  <si>
    <t>The Outfit</t>
  </si>
  <si>
    <t>The Unbearable Weight of Massive Talent</t>
  </si>
  <si>
    <t>Action,Comedy,Crime</t>
  </si>
  <si>
    <t>Father Stu</t>
  </si>
  <si>
    <t>Good Luck to You, Leo Grande</t>
  </si>
  <si>
    <t>Bullet Train</t>
  </si>
  <si>
    <t>Nope</t>
  </si>
  <si>
    <t>Triangle of Sadness</t>
  </si>
  <si>
    <t>Beast</t>
  </si>
  <si>
    <t>Three Thousand Years of Longing</t>
  </si>
  <si>
    <t>Drama,Fantasy,Romance</t>
  </si>
  <si>
    <t>Barbarian</t>
  </si>
  <si>
    <t>Armageddon Time</t>
  </si>
  <si>
    <t>Smile</t>
  </si>
  <si>
    <t>Amsterdam</t>
  </si>
  <si>
    <t>Comedy,Drama,History</t>
  </si>
  <si>
    <t>Halloween Ends</t>
  </si>
  <si>
    <t>Horror,Mystery,Romance</t>
  </si>
  <si>
    <t>The Banshees of Inisherin</t>
  </si>
  <si>
    <t>The Menu</t>
  </si>
  <si>
    <t>The Inspection</t>
  </si>
  <si>
    <t>Violent Night</t>
  </si>
  <si>
    <t>The Whale</t>
  </si>
  <si>
    <t>Babylon</t>
  </si>
  <si>
    <t>Knock at the Cabin</t>
  </si>
  <si>
    <t>Scream VI</t>
  </si>
  <si>
    <t>John Wick: Chapter 4</t>
  </si>
  <si>
    <t>Renfield</t>
  </si>
  <si>
    <t>Action,Comedy,Fantasy</t>
  </si>
  <si>
    <t>Mafia Mamma</t>
  </si>
  <si>
    <t>The Machine</t>
  </si>
  <si>
    <t>No Hard Feelings</t>
  </si>
  <si>
    <t>Oppenheimer</t>
  </si>
  <si>
    <t>Strays</t>
  </si>
  <si>
    <t>Adventure,Comedy</t>
  </si>
  <si>
    <t>The Last Voyage of the Demeter</t>
  </si>
  <si>
    <t>Fantasy,Horror,Thriller</t>
  </si>
  <si>
    <t>Bottoms</t>
  </si>
  <si>
    <t>Dumb Money</t>
  </si>
  <si>
    <t>Biography,Comedy,Drama</t>
  </si>
  <si>
    <t>Saw X</t>
  </si>
  <si>
    <t>The Exorcist: Believer</t>
  </si>
  <si>
    <t>Killers of the Flower Moon</t>
  </si>
  <si>
    <t>Crime,Drama,History</t>
  </si>
  <si>
    <t>Priscilla</t>
  </si>
  <si>
    <t>Thanksgiving</t>
  </si>
  <si>
    <t>Napoleon</t>
  </si>
  <si>
    <t>Action,Adventure,Biography</t>
  </si>
  <si>
    <t>Ferrari</t>
  </si>
  <si>
    <t>American Fiction</t>
  </si>
  <si>
    <t>The Iron Claw</t>
  </si>
  <si>
    <t>Anyone But You</t>
  </si>
  <si>
    <t>Civil War</t>
  </si>
  <si>
    <t>Action,Thriller,War</t>
  </si>
  <si>
    <t>Abigail</t>
  </si>
  <si>
    <t>Challengers</t>
  </si>
  <si>
    <t>The Strangers: Chapter 1</t>
  </si>
  <si>
    <t>Furiosa: A Mad Max Saga</t>
  </si>
  <si>
    <t>Bad Boys: Ride or Die</t>
  </si>
  <si>
    <t>Deadpool &amp; Wolverine</t>
  </si>
  <si>
    <t>Speak No Evil</t>
  </si>
  <si>
    <t>Drama,Horror,Thriller</t>
  </si>
  <si>
    <t>Alien: Romulus</t>
  </si>
  <si>
    <t>The Crow</t>
  </si>
  <si>
    <t>Action,Crime,Fantasy</t>
  </si>
  <si>
    <t>Kraven the Hunter</t>
  </si>
  <si>
    <t>Never Let Go</t>
  </si>
  <si>
    <t>Joker: Folie Ã  Deux</t>
  </si>
  <si>
    <t>Drama,Musical,Thriller</t>
  </si>
  <si>
    <t>The Apprentice</t>
  </si>
  <si>
    <t>Gladiator II</t>
  </si>
  <si>
    <t>Putin</t>
  </si>
  <si>
    <t>One of Them Days</t>
  </si>
  <si>
    <t>Flight Risk</t>
  </si>
  <si>
    <t>distributor</t>
  </si>
  <si>
    <t>Original</t>
  </si>
  <si>
    <t>Franchise</t>
  </si>
  <si>
    <t>combined</t>
  </si>
  <si>
    <t>commitment_logic</t>
  </si>
  <si>
    <t>conveninec logic</t>
  </si>
  <si>
    <t>quadrant</t>
  </si>
  <si>
    <t>Movie Title</t>
  </si>
  <si>
    <t>IMDb rating</t>
  </si>
  <si>
    <t>IMDb numvotes</t>
  </si>
  <si>
    <t>Run time (mins)</t>
  </si>
  <si>
    <t>Primary Genre</t>
  </si>
  <si>
    <t>old</t>
  </si>
  <si>
    <t>Fields</t>
  </si>
  <si>
    <t>Input</t>
  </si>
  <si>
    <t>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</si>
</sst>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5B60-7E2F-4284-9C2B-FFDD5413AC09}">
  <dimension ref="A1:T1078"/>
  <sheetViews>
    <sheetView tabSelected="1" topLeftCell="I1064" workbookViewId="0">
      <selection activeCell="T1071" sqref="T1071"/>
    </sheetView>
  </sheetViews>
  <sheetFormatPr defaultRowHeight="14.5" x14ac:dyDescent="0.35"/>
  <cols>
    <col min="2" max="2" width="11.26953125" bestFit="1" customWidth="1"/>
    <col min="7" max="7" width="40.26953125" bestFit="1" customWidth="1"/>
    <col min="8" max="8" width="11.453125" bestFit="1" customWidth="1"/>
    <col min="13" max="13" width="12.6328125" bestFit="1" customWidth="1"/>
    <col min="14" max="14" width="9.1796875" bestFit="1" customWidth="1"/>
    <col min="15" max="15" width="10.36328125" bestFit="1" customWidth="1"/>
    <col min="16" max="16" width="12.1796875" customWidth="1"/>
    <col min="17" max="17" width="8.81640625" bestFit="1" customWidth="1"/>
    <col min="20" max="20" width="37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1384</v>
      </c>
      <c r="O1" t="s">
        <v>1385</v>
      </c>
      <c r="P1" t="s">
        <v>1386</v>
      </c>
      <c r="Q1" t="s">
        <v>1387</v>
      </c>
      <c r="R1" t="s">
        <v>1388</v>
      </c>
      <c r="S1" t="s">
        <v>1389</v>
      </c>
      <c r="T1" t="s">
        <v>1390</v>
      </c>
    </row>
    <row r="2" spans="1:20" x14ac:dyDescent="0.35">
      <c r="A2" t="s">
        <v>13</v>
      </c>
      <c r="B2" s="1">
        <v>43831</v>
      </c>
      <c r="C2">
        <v>2020</v>
      </c>
      <c r="D2">
        <v>1</v>
      </c>
      <c r="E2" t="s">
        <v>14</v>
      </c>
      <c r="F2">
        <v>144</v>
      </c>
      <c r="G2" t="s">
        <v>15</v>
      </c>
      <c r="H2" t="s">
        <v>16</v>
      </c>
      <c r="I2">
        <v>0</v>
      </c>
      <c r="J2">
        <v>0</v>
      </c>
      <c r="K2">
        <v>4.5</v>
      </c>
      <c r="L2">
        <v>6261</v>
      </c>
      <c r="M2" t="s">
        <v>17</v>
      </c>
      <c r="N2" t="str">
        <f>IF(ISNUMBER(SEARCH("Streaming", M2)), "streaming", "cinema")</f>
        <v>streaming</v>
      </c>
      <c r="O2" t="str">
        <f>IF(I2=1, "non-original", "original")</f>
        <v>original</v>
      </c>
      <c r="P2" t="str">
        <f>IF(J2 = 1, "franchise", "non-franchise")</f>
        <v>non-franchise</v>
      </c>
      <c r="Q2" t="str">
        <f>IF(OR(I2 = 1,J2 =1), "old", "new")</f>
        <v>new</v>
      </c>
      <c r="R2">
        <f>IF(Q2="old",1.5,1)*(LOG10(L2)/LOG10(MAX($L$2:$L$1078)))*(MIN(F2,180)/180)</f>
        <v>0.50592344309442583</v>
      </c>
      <c r="S2">
        <f>IF(Q2="new",1.5,1)*(K2/10)*(1-(MIN(F2,180)/180))</f>
        <v>0.13499999999999998</v>
      </c>
      <c r="T2" t="str">
        <f>IF(AND(R2&gt;=AVERAGE($R$2:$R$1078),S2&gt;=AVERAGE($S$2:$S$1078)),"Scenario 4: Hybrid Logic",
 IF(AND(R2&gt;=AVERAGE($R$2:$R$1078),S2&lt;AVERAGE($S$2:$S$1078)),"Scenario 1: Strong Commitment",
  IF(AND(R2&lt;AVERAGE($R$2:$R$1078),S2&gt;=AVERAGE($S$2:$S$1078)),"Scenario 3: Strong Convenience",
   "Scenario 2: Weak Commitment/Convenience")))</f>
        <v>Scenario 1: Strong Commitment</v>
      </c>
    </row>
    <row r="3" spans="1:20" x14ac:dyDescent="0.35">
      <c r="A3" t="s">
        <v>18</v>
      </c>
      <c r="B3" s="1">
        <v>43847</v>
      </c>
      <c r="C3">
        <v>2020</v>
      </c>
      <c r="D3">
        <v>1</v>
      </c>
      <c r="E3" t="s">
        <v>14</v>
      </c>
      <c r="F3">
        <v>120</v>
      </c>
      <c r="G3" t="s">
        <v>19</v>
      </c>
      <c r="H3" t="s">
        <v>16</v>
      </c>
      <c r="I3">
        <v>0</v>
      </c>
      <c r="J3">
        <v>0</v>
      </c>
      <c r="K3">
        <v>5.9</v>
      </c>
      <c r="L3">
        <v>18626</v>
      </c>
      <c r="M3" t="s">
        <v>17</v>
      </c>
      <c r="N3" t="str">
        <f>IF(ISNUMBER(SEARCH("Streaming", M3)), "streaming", "cinema")</f>
        <v>streaming</v>
      </c>
      <c r="O3" t="str">
        <f>IF(I3=1, "non-original", "original")</f>
        <v>original</v>
      </c>
      <c r="P3" t="str">
        <f>IF(J3 = 1, "franchise", "non-franchise")</f>
        <v>non-franchise</v>
      </c>
      <c r="Q3" t="str">
        <f>IF(OR(I3 = 1,J3 =1), "old", "new")</f>
        <v>new</v>
      </c>
      <c r="R3">
        <f t="shared" ref="R3:R66" si="0">IF(Q3="old",1.5,1)*(LOG10(L3)/LOG10(MAX($L$2:$L$1078)))*(MIN(F3,180)/180)</f>
        <v>0.47418056980267165</v>
      </c>
      <c r="S3">
        <f>IF(Q3="new",1.5,1)*(K3/10)*(1-(MIN(F3,180)/180))</f>
        <v>0.2950000000000001</v>
      </c>
      <c r="T3" t="str">
        <f t="shared" ref="T3:T66" si="1">IF(AND(R3&gt;=AVERAGE($R$2:$R$1078),S3&gt;=AVERAGE($S$2:$S$1078)),"Scenario 4: Hybrid Logic",
 IF(AND(R3&gt;=AVERAGE($R$2:$R$1078),S3&lt;AVERAGE($S$2:$S$1078)),"Scenario 1: Strong Commitment",
  IF(AND(R3&lt;AVERAGE($R$2:$R$1078),S3&gt;=AVERAGE($S$2:$S$1078)),"Scenario 3: Strong Convenience",
   "Scenario 2: Weak Commitment/Convenience")))</f>
        <v>Scenario 2: Weak Commitment/Convenience</v>
      </c>
    </row>
    <row r="4" spans="1:20" x14ac:dyDescent="0.35">
      <c r="A4" t="s">
        <v>20</v>
      </c>
      <c r="B4" s="1">
        <v>43853</v>
      </c>
      <c r="C4">
        <v>2020</v>
      </c>
      <c r="D4">
        <v>1</v>
      </c>
      <c r="E4" t="s">
        <v>14</v>
      </c>
      <c r="F4">
        <v>96</v>
      </c>
      <c r="G4" t="s">
        <v>21</v>
      </c>
      <c r="H4" t="s">
        <v>16</v>
      </c>
      <c r="I4">
        <v>0</v>
      </c>
      <c r="J4">
        <v>0</v>
      </c>
      <c r="K4">
        <v>5.2</v>
      </c>
      <c r="L4">
        <v>3235</v>
      </c>
      <c r="M4" t="s">
        <v>17</v>
      </c>
      <c r="N4" t="str">
        <f>IF(ISNUMBER(SEARCH("Streaming", M4)), "streaming", "cinema")</f>
        <v>streaming</v>
      </c>
      <c r="O4" t="str">
        <f>IF(I4=1, "non-original", "original")</f>
        <v>original</v>
      </c>
      <c r="P4" t="str">
        <f>IF(J4 = 1, "franchise", "non-franchise")</f>
        <v>non-franchise</v>
      </c>
      <c r="Q4" t="str">
        <f>IF(OR(I4 = 1,J4 =1), "old", "new")</f>
        <v>new</v>
      </c>
      <c r="R4">
        <f t="shared" si="0"/>
        <v>0.31180657121408528</v>
      </c>
      <c r="S4">
        <f>IF(Q4="new",1.5,1)*(K4/10)*(1-(MIN(F4,180)/180))</f>
        <v>0.36400000000000005</v>
      </c>
      <c r="T4" t="str">
        <f t="shared" si="1"/>
        <v>Scenario 3: Strong Convenience</v>
      </c>
    </row>
    <row r="5" spans="1:20" x14ac:dyDescent="0.35">
      <c r="A5" t="s">
        <v>22</v>
      </c>
      <c r="B5" s="1">
        <v>43868</v>
      </c>
      <c r="C5">
        <v>2020</v>
      </c>
      <c r="D5">
        <v>2</v>
      </c>
      <c r="E5" t="s">
        <v>14</v>
      </c>
      <c r="F5">
        <v>104</v>
      </c>
      <c r="G5" t="s">
        <v>23</v>
      </c>
      <c r="H5" t="s">
        <v>24</v>
      </c>
      <c r="I5">
        <v>0</v>
      </c>
      <c r="J5">
        <v>0</v>
      </c>
      <c r="K5">
        <v>6</v>
      </c>
      <c r="L5">
        <v>21793</v>
      </c>
      <c r="M5" t="s">
        <v>17</v>
      </c>
      <c r="N5" t="str">
        <f>IF(ISNUMBER(SEARCH("Streaming", M5)), "streaming", "cinema")</f>
        <v>streaming</v>
      </c>
      <c r="O5" t="str">
        <f>IF(I5=1, "non-original", "original")</f>
        <v>original</v>
      </c>
      <c r="P5" t="str">
        <f>IF(J5 = 1, "franchise", "non-franchise")</f>
        <v>non-franchise</v>
      </c>
      <c r="Q5" t="str">
        <f>IF(OR(I5 = 1,J5 =1), "old", "new")</f>
        <v>new</v>
      </c>
      <c r="R5">
        <f t="shared" si="0"/>
        <v>0.41751981648558911</v>
      </c>
      <c r="S5">
        <f>IF(Q5="new",1.5,1)*(K5/10)*(1-(MIN(F5,180)/180))</f>
        <v>0.38</v>
      </c>
      <c r="T5" t="str">
        <f t="shared" si="1"/>
        <v>Scenario 3: Strong Convenience</v>
      </c>
    </row>
    <row r="6" spans="1:20" x14ac:dyDescent="0.35">
      <c r="A6" t="s">
        <v>25</v>
      </c>
      <c r="B6" s="1">
        <v>43873</v>
      </c>
      <c r="C6">
        <v>2020</v>
      </c>
      <c r="D6">
        <v>2</v>
      </c>
      <c r="E6" t="s">
        <v>14</v>
      </c>
      <c r="F6">
        <v>102</v>
      </c>
      <c r="G6" t="s">
        <v>26</v>
      </c>
      <c r="H6" t="s">
        <v>27</v>
      </c>
      <c r="I6">
        <v>0</v>
      </c>
      <c r="J6">
        <v>1</v>
      </c>
      <c r="K6">
        <v>6.1</v>
      </c>
      <c r="L6">
        <v>53000</v>
      </c>
      <c r="M6" t="s">
        <v>17</v>
      </c>
      <c r="N6" t="str">
        <f>IF(ISNUMBER(SEARCH("Streaming", M6)), "streaming", "cinema")</f>
        <v>streaming</v>
      </c>
      <c r="O6" t="str">
        <f>IF(I6=1, "non-original", "original")</f>
        <v>original</v>
      </c>
      <c r="P6" t="str">
        <f>IF(J6 = 1, "franchise", "non-franchise")</f>
        <v>franchise</v>
      </c>
      <c r="Q6" t="str">
        <f>IF(OR(I6 = 1,J6 =1), "old", "new")</f>
        <v>old</v>
      </c>
      <c r="R6">
        <f t="shared" si="0"/>
        <v>0.66888144683535122</v>
      </c>
      <c r="S6">
        <f>IF(Q6="new",1.5,1)*(K6/10)*(1-(MIN(F6,180)/180))</f>
        <v>0.26433333333333331</v>
      </c>
      <c r="T6" t="str">
        <f t="shared" si="1"/>
        <v>Scenario 1: Strong Commitment</v>
      </c>
    </row>
    <row r="7" spans="1:20" x14ac:dyDescent="0.35">
      <c r="A7" t="s">
        <v>28</v>
      </c>
      <c r="B7" s="1">
        <v>43875</v>
      </c>
      <c r="C7">
        <v>2020</v>
      </c>
      <c r="D7">
        <v>2</v>
      </c>
      <c r="E7" t="s">
        <v>14</v>
      </c>
      <c r="F7">
        <v>113</v>
      </c>
      <c r="G7" t="s">
        <v>29</v>
      </c>
      <c r="H7" t="s">
        <v>30</v>
      </c>
      <c r="I7">
        <v>0</v>
      </c>
      <c r="J7">
        <v>0</v>
      </c>
      <c r="K7">
        <v>6.4</v>
      </c>
      <c r="L7">
        <v>11398</v>
      </c>
      <c r="M7" t="s">
        <v>17</v>
      </c>
      <c r="N7" t="str">
        <f>IF(ISNUMBER(SEARCH("Streaming", M7)), "streaming", "cinema")</f>
        <v>streaming</v>
      </c>
      <c r="O7" t="str">
        <f>IF(I7=1, "non-original", "original")</f>
        <v>original</v>
      </c>
      <c r="P7" t="str">
        <f>IF(J7 = 1, "franchise", "non-franchise")</f>
        <v>non-franchise</v>
      </c>
      <c r="Q7" t="str">
        <f>IF(OR(I7 = 1,J7 =1), "old", "new")</f>
        <v>new</v>
      </c>
      <c r="R7">
        <f t="shared" si="0"/>
        <v>0.42421652051533709</v>
      </c>
      <c r="S7">
        <f>IF(Q7="new",1.5,1)*(K7/10)*(1-(MIN(F7,180)/180))</f>
        <v>0.35733333333333334</v>
      </c>
      <c r="T7" t="str">
        <f t="shared" si="1"/>
        <v>Scenario 3: Strong Convenience</v>
      </c>
    </row>
    <row r="8" spans="1:20" x14ac:dyDescent="0.35">
      <c r="A8" t="s">
        <v>31</v>
      </c>
      <c r="B8" s="1">
        <v>43882</v>
      </c>
      <c r="C8">
        <v>2020</v>
      </c>
      <c r="D8">
        <v>2</v>
      </c>
      <c r="E8" t="s">
        <v>14</v>
      </c>
      <c r="F8">
        <v>115</v>
      </c>
      <c r="G8" t="s">
        <v>32</v>
      </c>
      <c r="H8" t="s">
        <v>24</v>
      </c>
      <c r="I8">
        <v>0</v>
      </c>
      <c r="J8">
        <v>0</v>
      </c>
      <c r="K8">
        <v>4.4000000000000004</v>
      </c>
      <c r="L8">
        <v>17351</v>
      </c>
      <c r="M8" t="s">
        <v>17</v>
      </c>
      <c r="N8" t="str">
        <f>IF(ISNUMBER(SEARCH("Streaming", M8)), "streaming", "cinema")</f>
        <v>streaming</v>
      </c>
      <c r="O8" t="str">
        <f>IF(I8=1, "non-original", "original")</f>
        <v>original</v>
      </c>
      <c r="P8" t="str">
        <f>IF(J8 = 1, "franchise", "non-franchise")</f>
        <v>non-franchise</v>
      </c>
      <c r="Q8" t="str">
        <f>IF(OR(I8 = 1,J8 =1), "old", "new")</f>
        <v>new</v>
      </c>
      <c r="R8">
        <f t="shared" si="0"/>
        <v>0.451145854931429</v>
      </c>
      <c r="S8">
        <f>IF(Q8="new",1.5,1)*(K8/10)*(1-(MIN(F8,180)/180))</f>
        <v>0.23833333333333342</v>
      </c>
      <c r="T8" t="str">
        <f t="shared" si="1"/>
        <v>Scenario 2: Weak Commitment/Convenience</v>
      </c>
    </row>
    <row r="9" spans="1:20" x14ac:dyDescent="0.35">
      <c r="A9" t="s">
        <v>33</v>
      </c>
      <c r="B9" s="1">
        <v>43882</v>
      </c>
      <c r="C9">
        <v>2020</v>
      </c>
      <c r="D9">
        <v>2</v>
      </c>
      <c r="E9" t="s">
        <v>14</v>
      </c>
      <c r="F9">
        <v>117</v>
      </c>
      <c r="G9" t="s">
        <v>34</v>
      </c>
      <c r="H9" t="s">
        <v>27</v>
      </c>
      <c r="I9">
        <v>0</v>
      </c>
      <c r="J9">
        <v>0</v>
      </c>
      <c r="K9">
        <v>7.5</v>
      </c>
      <c r="L9">
        <v>1628</v>
      </c>
      <c r="M9" t="s">
        <v>17</v>
      </c>
      <c r="N9" t="str">
        <f>IF(ISNUMBER(SEARCH("Streaming", M9)), "streaming", "cinema")</f>
        <v>streaming</v>
      </c>
      <c r="O9" t="str">
        <f>IF(I9=1, "non-original", "original")</f>
        <v>original</v>
      </c>
      <c r="P9" t="str">
        <f>IF(J9 = 1, "franchise", "non-franchise")</f>
        <v>non-franchise</v>
      </c>
      <c r="Q9" t="str">
        <f>IF(OR(I9 = 1,J9 =1), "old", "new")</f>
        <v>new</v>
      </c>
      <c r="R9">
        <f t="shared" si="0"/>
        <v>0.34772597734785238</v>
      </c>
      <c r="S9">
        <f>IF(Q9="new",1.5,1)*(K9/10)*(1-(MIN(F9,180)/180))</f>
        <v>0.39374999999999999</v>
      </c>
      <c r="T9" t="str">
        <f t="shared" si="1"/>
        <v>Scenario 3: Strong Convenience</v>
      </c>
    </row>
    <row r="10" spans="1:20" x14ac:dyDescent="0.35">
      <c r="A10" t="s">
        <v>35</v>
      </c>
      <c r="B10" s="1">
        <v>43889</v>
      </c>
      <c r="C10">
        <v>2020</v>
      </c>
      <c r="D10">
        <v>2</v>
      </c>
      <c r="E10" t="s">
        <v>14</v>
      </c>
      <c r="F10">
        <v>108</v>
      </c>
      <c r="G10" t="s">
        <v>36</v>
      </c>
      <c r="H10" t="s">
        <v>24</v>
      </c>
      <c r="I10">
        <v>0</v>
      </c>
      <c r="J10">
        <v>0</v>
      </c>
      <c r="K10">
        <v>6.6</v>
      </c>
      <c r="L10">
        <v>44174</v>
      </c>
      <c r="M10" t="s">
        <v>17</v>
      </c>
      <c r="N10" t="str">
        <f>IF(ISNUMBER(SEARCH("Streaming", M10)), "streaming", "cinema")</f>
        <v>streaming</v>
      </c>
      <c r="O10" t="str">
        <f>IF(I10=1, "non-original", "original")</f>
        <v>original</v>
      </c>
      <c r="P10" t="str">
        <f>IF(J10 = 1, "franchise", "non-franchise")</f>
        <v>non-franchise</v>
      </c>
      <c r="Q10" t="str">
        <f>IF(OR(I10 = 1,J10 =1), "old", "new")</f>
        <v>new</v>
      </c>
      <c r="R10">
        <f t="shared" si="0"/>
        <v>0.46424531656358564</v>
      </c>
      <c r="S10">
        <f>IF(Q10="new",1.5,1)*(K10/10)*(1-(MIN(F10,180)/180))</f>
        <v>0.39599999999999996</v>
      </c>
      <c r="T10" t="str">
        <f t="shared" si="1"/>
        <v>Scenario 3: Strong Convenience</v>
      </c>
    </row>
    <row r="11" spans="1:20" x14ac:dyDescent="0.35">
      <c r="A11" t="s">
        <v>37</v>
      </c>
      <c r="B11" s="1">
        <v>43896</v>
      </c>
      <c r="C11">
        <v>2020</v>
      </c>
      <c r="D11">
        <v>3</v>
      </c>
      <c r="E11" t="s">
        <v>38</v>
      </c>
      <c r="F11">
        <v>119</v>
      </c>
      <c r="G11" t="s">
        <v>39</v>
      </c>
      <c r="H11" t="s">
        <v>30</v>
      </c>
      <c r="I11">
        <v>0</v>
      </c>
      <c r="J11">
        <v>0</v>
      </c>
      <c r="K11">
        <v>5.4</v>
      </c>
      <c r="L11">
        <v>4961</v>
      </c>
      <c r="M11" t="s">
        <v>17</v>
      </c>
      <c r="N11" t="str">
        <f>IF(ISNUMBER(SEARCH("Streaming", M11)), "streaming", "cinema")</f>
        <v>streaming</v>
      </c>
      <c r="O11" t="str">
        <f>IF(I11=1, "non-original", "original")</f>
        <v>original</v>
      </c>
      <c r="P11" t="str">
        <f>IF(J11 = 1, "franchise", "non-franchise")</f>
        <v>non-franchise</v>
      </c>
      <c r="Q11" t="str">
        <f>IF(OR(I11 = 1,J11 =1), "old", "new")</f>
        <v>new</v>
      </c>
      <c r="R11">
        <f t="shared" si="0"/>
        <v>0.40695910789823714</v>
      </c>
      <c r="S11">
        <f>IF(Q11="new",1.5,1)*(K11/10)*(1-(MIN(F11,180)/180))</f>
        <v>0.27450000000000002</v>
      </c>
      <c r="T11" t="str">
        <f t="shared" si="1"/>
        <v>Scenario 2: Weak Commitment/Convenience</v>
      </c>
    </row>
    <row r="12" spans="1:20" x14ac:dyDescent="0.35">
      <c r="A12" t="s">
        <v>40</v>
      </c>
      <c r="B12" s="1">
        <v>43896</v>
      </c>
      <c r="C12">
        <v>2020</v>
      </c>
      <c r="D12">
        <v>3</v>
      </c>
      <c r="E12" t="s">
        <v>38</v>
      </c>
      <c r="F12">
        <v>111</v>
      </c>
      <c r="G12" t="s">
        <v>41</v>
      </c>
      <c r="H12" t="s">
        <v>24</v>
      </c>
      <c r="I12">
        <v>0</v>
      </c>
      <c r="J12">
        <v>0</v>
      </c>
      <c r="K12">
        <v>6.2</v>
      </c>
      <c r="L12">
        <v>105879</v>
      </c>
      <c r="M12" t="s">
        <v>17</v>
      </c>
      <c r="N12" t="str">
        <f>IF(ISNUMBER(SEARCH("Streaming", M12)), "streaming", "cinema")</f>
        <v>streaming</v>
      </c>
      <c r="O12" t="str">
        <f>IF(I12=1, "non-original", "original")</f>
        <v>original</v>
      </c>
      <c r="P12" t="str">
        <f>IF(J12 = 1, "franchise", "non-franchise")</f>
        <v>non-franchise</v>
      </c>
      <c r="Q12" t="str">
        <f>IF(OR(I12 = 1,J12 =1), "old", "new")</f>
        <v>new</v>
      </c>
      <c r="R12">
        <f t="shared" si="0"/>
        <v>0.51613710077326369</v>
      </c>
      <c r="S12">
        <f>IF(Q12="new",1.5,1)*(K12/10)*(1-(MIN(F12,180)/180))</f>
        <v>0.35649999999999993</v>
      </c>
      <c r="T12" t="str">
        <f t="shared" si="1"/>
        <v>Scenario 4: Hybrid Logic</v>
      </c>
    </row>
    <row r="13" spans="1:20" x14ac:dyDescent="0.35">
      <c r="A13" t="s">
        <v>42</v>
      </c>
      <c r="B13" s="1">
        <v>43903</v>
      </c>
      <c r="C13">
        <v>2020</v>
      </c>
      <c r="D13">
        <v>3</v>
      </c>
      <c r="E13" t="s">
        <v>38</v>
      </c>
      <c r="F13">
        <v>95</v>
      </c>
      <c r="G13" t="s">
        <v>43</v>
      </c>
      <c r="H13" t="s">
        <v>24</v>
      </c>
      <c r="I13">
        <v>0</v>
      </c>
      <c r="J13">
        <v>0</v>
      </c>
      <c r="K13">
        <v>6.2</v>
      </c>
      <c r="L13">
        <v>27143</v>
      </c>
      <c r="M13" t="s">
        <v>17</v>
      </c>
      <c r="N13" t="str">
        <f>IF(ISNUMBER(SEARCH("Streaming", M13)), "streaming", "cinema")</f>
        <v>streaming</v>
      </c>
      <c r="O13" t="str">
        <f>IF(I13=1, "non-original", "original")</f>
        <v>original</v>
      </c>
      <c r="P13" t="str">
        <f>IF(J13 = 1, "franchise", "non-franchise")</f>
        <v>non-franchise</v>
      </c>
      <c r="Q13" t="str">
        <f>IF(OR(I13 = 1,J13 =1), "old", "new")</f>
        <v>new</v>
      </c>
      <c r="R13">
        <f t="shared" si="0"/>
        <v>0.38976985650436879</v>
      </c>
      <c r="S13">
        <f>IF(Q13="new",1.5,1)*(K13/10)*(1-(MIN(F13,180)/180))</f>
        <v>0.43916666666666665</v>
      </c>
      <c r="T13" t="str">
        <f t="shared" si="1"/>
        <v>Scenario 3: Strong Convenience</v>
      </c>
    </row>
    <row r="14" spans="1:20" x14ac:dyDescent="0.35">
      <c r="A14" t="s">
        <v>44</v>
      </c>
      <c r="B14" s="1">
        <v>43910</v>
      </c>
      <c r="C14">
        <v>2020</v>
      </c>
      <c r="D14">
        <v>3</v>
      </c>
      <c r="E14" t="s">
        <v>38</v>
      </c>
      <c r="F14">
        <v>109</v>
      </c>
      <c r="G14" t="s">
        <v>45</v>
      </c>
      <c r="H14" t="s">
        <v>30</v>
      </c>
      <c r="I14">
        <v>0</v>
      </c>
      <c r="J14">
        <v>0</v>
      </c>
      <c r="K14">
        <v>6.2</v>
      </c>
      <c r="L14">
        <v>5813</v>
      </c>
      <c r="M14" t="s">
        <v>17</v>
      </c>
      <c r="N14" t="str">
        <f>IF(ISNUMBER(SEARCH("Streaming", M14)), "streaming", "cinema")</f>
        <v>streaming</v>
      </c>
      <c r="O14" t="str">
        <f>IF(I14=1, "non-original", "original")</f>
        <v>original</v>
      </c>
      <c r="P14" t="str">
        <f>IF(J14 = 1, "franchise", "non-franchise")</f>
        <v>non-franchise</v>
      </c>
      <c r="Q14" t="str">
        <f>IF(OR(I14 = 1,J14 =1), "old", "new")</f>
        <v>new</v>
      </c>
      <c r="R14">
        <f t="shared" si="0"/>
        <v>0.37970364749727858</v>
      </c>
      <c r="S14">
        <f>IF(Q14="new",1.5,1)*(K14/10)*(1-(MIN(F14,180)/180))</f>
        <v>0.36683333333333334</v>
      </c>
      <c r="T14" t="str">
        <f t="shared" si="1"/>
        <v>Scenario 3: Strong Convenience</v>
      </c>
    </row>
    <row r="15" spans="1:20" x14ac:dyDescent="0.35">
      <c r="A15" t="s">
        <v>46</v>
      </c>
      <c r="B15" s="1">
        <v>43915</v>
      </c>
      <c r="C15">
        <v>2020</v>
      </c>
      <c r="D15">
        <v>3</v>
      </c>
      <c r="E15" t="s">
        <v>38</v>
      </c>
      <c r="F15">
        <v>103</v>
      </c>
      <c r="G15" t="s">
        <v>19</v>
      </c>
      <c r="H15" t="s">
        <v>24</v>
      </c>
      <c r="I15">
        <v>0</v>
      </c>
      <c r="J15">
        <v>0</v>
      </c>
      <c r="K15">
        <v>6.4</v>
      </c>
      <c r="L15">
        <v>21399</v>
      </c>
      <c r="M15" t="s">
        <v>17</v>
      </c>
      <c r="N15" t="str">
        <f>IF(ISNUMBER(SEARCH("Streaming", M15)), "streaming", "cinema")</f>
        <v>streaming</v>
      </c>
      <c r="O15" t="str">
        <f>IF(I15=1, "non-original", "original")</f>
        <v>original</v>
      </c>
      <c r="P15" t="str">
        <f>IF(J15 = 1, "franchise", "non-franchise")</f>
        <v>non-franchise</v>
      </c>
      <c r="Q15" t="str">
        <f>IF(OR(I15 = 1,J15 =1), "old", "new")</f>
        <v>new</v>
      </c>
      <c r="R15">
        <f t="shared" si="0"/>
        <v>0.41274997334959385</v>
      </c>
      <c r="S15">
        <f>IF(Q15="new",1.5,1)*(K15/10)*(1-(MIN(F15,180)/180))</f>
        <v>0.41066666666666668</v>
      </c>
      <c r="T15" t="str">
        <f t="shared" si="1"/>
        <v>Scenario 3: Strong Convenience</v>
      </c>
    </row>
    <row r="16" spans="1:20" x14ac:dyDescent="0.35">
      <c r="A16" t="s">
        <v>47</v>
      </c>
      <c r="B16" s="1">
        <v>43917</v>
      </c>
      <c r="C16">
        <v>2020</v>
      </c>
      <c r="D16">
        <v>3</v>
      </c>
      <c r="E16" t="s">
        <v>38</v>
      </c>
      <c r="F16">
        <v>111</v>
      </c>
      <c r="G16" t="s">
        <v>29</v>
      </c>
      <c r="H16" t="s">
        <v>30</v>
      </c>
      <c r="I16">
        <v>0</v>
      </c>
      <c r="J16">
        <v>0</v>
      </c>
      <c r="K16">
        <v>5.9</v>
      </c>
      <c r="L16">
        <v>1631</v>
      </c>
      <c r="M16" t="s">
        <v>17</v>
      </c>
      <c r="N16" t="str">
        <f>IF(ISNUMBER(SEARCH("Streaming", M16)), "streaming", "cinema")</f>
        <v>streaming</v>
      </c>
      <c r="O16" t="str">
        <f>IF(I16=1, "non-original", "original")</f>
        <v>original</v>
      </c>
      <c r="P16" t="str">
        <f>IF(J16 = 1, "franchise", "non-franchise")</f>
        <v>non-franchise</v>
      </c>
      <c r="Q16" t="str">
        <f>IF(OR(I16 = 1,J16 =1), "old", "new")</f>
        <v>new</v>
      </c>
      <c r="R16">
        <f t="shared" si="0"/>
        <v>0.3299760049901968</v>
      </c>
      <c r="S16">
        <f>IF(Q16="new",1.5,1)*(K16/10)*(1-(MIN(F16,180)/180))</f>
        <v>0.33925</v>
      </c>
      <c r="T16" t="str">
        <f t="shared" si="1"/>
        <v>Scenario 3: Strong Convenience</v>
      </c>
    </row>
    <row r="17" spans="1:20" x14ac:dyDescent="0.35">
      <c r="A17" t="s">
        <v>48</v>
      </c>
      <c r="B17" s="1">
        <v>43917</v>
      </c>
      <c r="C17">
        <v>2020</v>
      </c>
      <c r="D17">
        <v>3</v>
      </c>
      <c r="E17" t="s">
        <v>38</v>
      </c>
      <c r="F17">
        <v>83</v>
      </c>
      <c r="G17" t="s">
        <v>49</v>
      </c>
      <c r="H17" t="s">
        <v>24</v>
      </c>
      <c r="I17">
        <v>0</v>
      </c>
      <c r="J17">
        <v>0</v>
      </c>
      <c r="K17">
        <v>6</v>
      </c>
      <c r="L17">
        <v>10556</v>
      </c>
      <c r="M17" t="s">
        <v>17</v>
      </c>
      <c r="N17" t="str">
        <f>IF(ISNUMBER(SEARCH("Streaming", M17)), "streaming", "cinema")</f>
        <v>streaming</v>
      </c>
      <c r="O17" t="str">
        <f>IF(I17=1, "non-original", "original")</f>
        <v>original</v>
      </c>
      <c r="P17" t="str">
        <f>IF(J17 = 1, "franchise", "non-franchise")</f>
        <v>non-franchise</v>
      </c>
      <c r="Q17" t="str">
        <f>IF(OR(I17 = 1,J17 =1), "old", "new")</f>
        <v>new</v>
      </c>
      <c r="R17">
        <f t="shared" si="0"/>
        <v>0.30903274560642396</v>
      </c>
      <c r="S17">
        <f>IF(Q17="new",1.5,1)*(K17/10)*(1-(MIN(F17,180)/180))</f>
        <v>0.48499999999999993</v>
      </c>
      <c r="T17" t="str">
        <f t="shared" si="1"/>
        <v>Scenario 3: Strong Convenience</v>
      </c>
    </row>
    <row r="18" spans="1:20" x14ac:dyDescent="0.35">
      <c r="A18" t="s">
        <v>50</v>
      </c>
      <c r="B18" s="1">
        <v>43917</v>
      </c>
      <c r="C18">
        <v>2020</v>
      </c>
      <c r="D18">
        <v>3</v>
      </c>
      <c r="E18" t="s">
        <v>38</v>
      </c>
      <c r="F18">
        <v>104</v>
      </c>
      <c r="G18" t="s">
        <v>34</v>
      </c>
      <c r="H18" t="s">
        <v>30</v>
      </c>
      <c r="I18">
        <v>0</v>
      </c>
      <c r="J18">
        <v>0</v>
      </c>
      <c r="K18">
        <v>6.4</v>
      </c>
      <c r="L18">
        <v>7421</v>
      </c>
      <c r="M18" t="s">
        <v>17</v>
      </c>
      <c r="N18" t="str">
        <f>IF(ISNUMBER(SEARCH("Streaming", M18)), "streaming", "cinema")</f>
        <v>streaming</v>
      </c>
      <c r="O18" t="str">
        <f>IF(I18=1, "non-original", "original")</f>
        <v>original</v>
      </c>
      <c r="P18" t="str">
        <f>IF(J18 = 1, "franchise", "non-franchise")</f>
        <v>non-franchise</v>
      </c>
      <c r="Q18" t="str">
        <f>IF(OR(I18 = 1,J18 =1), "old", "new")</f>
        <v>new</v>
      </c>
      <c r="R18">
        <f t="shared" si="0"/>
        <v>0.37249347088475665</v>
      </c>
      <c r="S18">
        <f>IF(Q18="new",1.5,1)*(K18/10)*(1-(MIN(F18,180)/180))</f>
        <v>0.40533333333333338</v>
      </c>
      <c r="T18" t="str">
        <f t="shared" si="1"/>
        <v>Scenario 3: Strong Convenience</v>
      </c>
    </row>
    <row r="19" spans="1:20" x14ac:dyDescent="0.35">
      <c r="A19" t="s">
        <v>51</v>
      </c>
      <c r="B19" s="1">
        <v>43924</v>
      </c>
      <c r="C19">
        <v>2020</v>
      </c>
      <c r="D19">
        <v>4</v>
      </c>
      <c r="E19" t="s">
        <v>38</v>
      </c>
      <c r="F19">
        <v>88</v>
      </c>
      <c r="G19" t="s">
        <v>41</v>
      </c>
      <c r="H19" t="s">
        <v>24</v>
      </c>
      <c r="I19">
        <v>0</v>
      </c>
      <c r="J19">
        <v>0</v>
      </c>
      <c r="K19">
        <v>5.2</v>
      </c>
      <c r="L19">
        <v>15285</v>
      </c>
      <c r="M19" t="s">
        <v>17</v>
      </c>
      <c r="N19" t="str">
        <f>IF(ISNUMBER(SEARCH("Streaming", M19)), "streaming", "cinema")</f>
        <v>streaming</v>
      </c>
      <c r="O19" t="str">
        <f>IF(I19=1, "non-original", "original")</f>
        <v>original</v>
      </c>
      <c r="P19" t="str">
        <f>IF(J19 = 1, "franchise", "non-franchise")</f>
        <v>non-franchise</v>
      </c>
      <c r="Q19" t="str">
        <f>IF(OR(I19 = 1,J19 =1), "old", "new")</f>
        <v>new</v>
      </c>
      <c r="R19">
        <f t="shared" si="0"/>
        <v>0.34074098063551428</v>
      </c>
      <c r="S19">
        <f>IF(Q19="new",1.5,1)*(K19/10)*(1-(MIN(F19,180)/180))</f>
        <v>0.39866666666666667</v>
      </c>
      <c r="T19" t="str">
        <f t="shared" si="1"/>
        <v>Scenario 3: Strong Convenience</v>
      </c>
    </row>
    <row r="20" spans="1:20" x14ac:dyDescent="0.35">
      <c r="A20" t="s">
        <v>52</v>
      </c>
      <c r="B20" s="1">
        <v>43931</v>
      </c>
      <c r="C20">
        <v>2020</v>
      </c>
      <c r="D20">
        <v>4</v>
      </c>
      <c r="E20" t="s">
        <v>38</v>
      </c>
      <c r="F20">
        <v>103</v>
      </c>
      <c r="G20" t="s">
        <v>53</v>
      </c>
      <c r="H20" t="s">
        <v>30</v>
      </c>
      <c r="I20">
        <v>0</v>
      </c>
      <c r="J20">
        <v>0</v>
      </c>
      <c r="K20">
        <v>4.8</v>
      </c>
      <c r="L20">
        <v>2930</v>
      </c>
      <c r="M20" t="s">
        <v>17</v>
      </c>
      <c r="N20" t="str">
        <f>IF(ISNUMBER(SEARCH("Streaming", M20)), "streaming", "cinema")</f>
        <v>streaming</v>
      </c>
      <c r="O20" t="str">
        <f>IF(I20=1, "non-original", "original")</f>
        <v>original</v>
      </c>
      <c r="P20" t="str">
        <f>IF(J20 = 1, "franchise", "non-franchise")</f>
        <v>non-franchise</v>
      </c>
      <c r="Q20" t="str">
        <f>IF(OR(I20 = 1,J20 =1), "old", "new")</f>
        <v>new</v>
      </c>
      <c r="R20">
        <f t="shared" si="0"/>
        <v>0.33044330149969953</v>
      </c>
      <c r="S20">
        <f>IF(Q20="new",1.5,1)*(K20/10)*(1-(MIN(F20,180)/180))</f>
        <v>0.308</v>
      </c>
      <c r="T20" t="str">
        <f t="shared" si="1"/>
        <v>Scenario 2: Weak Commitment/Convenience</v>
      </c>
    </row>
    <row r="21" spans="1:20" x14ac:dyDescent="0.35">
      <c r="A21" t="s">
        <v>54</v>
      </c>
      <c r="B21" s="1">
        <v>43931</v>
      </c>
      <c r="C21">
        <v>2020</v>
      </c>
      <c r="D21">
        <v>4</v>
      </c>
      <c r="E21" t="s">
        <v>38</v>
      </c>
      <c r="F21">
        <v>100</v>
      </c>
      <c r="G21" t="s">
        <v>29</v>
      </c>
      <c r="H21" t="s">
        <v>30</v>
      </c>
      <c r="I21">
        <v>0</v>
      </c>
      <c r="J21">
        <v>0</v>
      </c>
      <c r="K21">
        <v>5.6</v>
      </c>
      <c r="L21">
        <v>23163</v>
      </c>
      <c r="M21" t="s">
        <v>17</v>
      </c>
      <c r="N21" t="str">
        <f>IF(ISNUMBER(SEARCH("Streaming", M21)), "streaming", "cinema")</f>
        <v>streaming</v>
      </c>
      <c r="O21" t="str">
        <f>IF(I21=1, "non-original", "original")</f>
        <v>original</v>
      </c>
      <c r="P21" t="str">
        <f>IF(J21 = 1, "franchise", "non-franchise")</f>
        <v>non-franchise</v>
      </c>
      <c r="Q21" t="str">
        <f>IF(OR(I21 = 1,J21 =1), "old", "new")</f>
        <v>new</v>
      </c>
      <c r="R21">
        <f t="shared" si="0"/>
        <v>0.40391157689645885</v>
      </c>
      <c r="S21">
        <f>IF(Q21="new",1.5,1)*(K21/10)*(1-(MIN(F21,180)/180))</f>
        <v>0.37333333333333324</v>
      </c>
      <c r="T21" t="str">
        <f t="shared" si="1"/>
        <v>Scenario 3: Strong Convenience</v>
      </c>
    </row>
    <row r="22" spans="1:20" x14ac:dyDescent="0.35">
      <c r="A22" t="s">
        <v>55</v>
      </c>
      <c r="B22" s="1">
        <v>43931</v>
      </c>
      <c r="C22">
        <v>2020</v>
      </c>
      <c r="D22">
        <v>4</v>
      </c>
      <c r="E22" t="s">
        <v>38</v>
      </c>
      <c r="F22">
        <v>91</v>
      </c>
      <c r="G22" t="s">
        <v>34</v>
      </c>
      <c r="H22" t="s">
        <v>56</v>
      </c>
      <c r="I22">
        <v>0</v>
      </c>
      <c r="J22">
        <v>0</v>
      </c>
      <c r="K22">
        <v>6.6</v>
      </c>
      <c r="L22">
        <v>3995</v>
      </c>
      <c r="M22" t="s">
        <v>17</v>
      </c>
      <c r="N22" t="str">
        <f>IF(ISNUMBER(SEARCH("Streaming", M22)), "streaming", "cinema")</f>
        <v>streaming</v>
      </c>
      <c r="O22" t="str">
        <f>IF(I22=1, "non-original", "original")</f>
        <v>original</v>
      </c>
      <c r="P22" t="str">
        <f>IF(J22 = 1, "franchise", "non-franchise")</f>
        <v>non-franchise</v>
      </c>
      <c r="Q22" t="str">
        <f>IF(OR(I22 = 1,J22 =1), "old", "new")</f>
        <v>new</v>
      </c>
      <c r="R22">
        <f t="shared" si="0"/>
        <v>0.30328386388979017</v>
      </c>
      <c r="S22">
        <f>IF(Q22="new",1.5,1)*(K22/10)*(1-(MIN(F22,180)/180))</f>
        <v>0.48949999999999994</v>
      </c>
      <c r="T22" t="str">
        <f t="shared" si="1"/>
        <v>Scenario 3: Strong Convenience</v>
      </c>
    </row>
    <row r="23" spans="1:20" x14ac:dyDescent="0.35">
      <c r="A23" t="s">
        <v>57</v>
      </c>
      <c r="B23" s="1">
        <v>43938</v>
      </c>
      <c r="C23">
        <v>2020</v>
      </c>
      <c r="D23">
        <v>4</v>
      </c>
      <c r="E23" t="s">
        <v>38</v>
      </c>
      <c r="F23">
        <v>80</v>
      </c>
      <c r="G23" t="s">
        <v>58</v>
      </c>
      <c r="H23" t="s">
        <v>30</v>
      </c>
      <c r="I23">
        <v>0</v>
      </c>
      <c r="J23">
        <v>0</v>
      </c>
      <c r="K23">
        <v>5.2</v>
      </c>
      <c r="L23">
        <v>3068</v>
      </c>
      <c r="M23" t="s">
        <v>17</v>
      </c>
      <c r="N23" t="str">
        <f>IF(ISNUMBER(SEARCH("Streaming", M23)), "streaming", "cinema")</f>
        <v>streaming</v>
      </c>
      <c r="O23" t="str">
        <f>IF(I23=1, "non-original", "original")</f>
        <v>original</v>
      </c>
      <c r="P23" t="str">
        <f>IF(J23 = 1, "franchise", "non-franchise")</f>
        <v>non-franchise</v>
      </c>
      <c r="Q23" t="str">
        <f>IF(OR(I23 = 1,J23 =1), "old", "new")</f>
        <v>new</v>
      </c>
      <c r="R23">
        <f t="shared" si="0"/>
        <v>0.25813469950888213</v>
      </c>
      <c r="S23">
        <f>IF(Q23="new",1.5,1)*(K23/10)*(1-(MIN(F23,180)/180))</f>
        <v>0.43333333333333335</v>
      </c>
      <c r="T23" t="str">
        <f t="shared" si="1"/>
        <v>Scenario 3: Strong Convenience</v>
      </c>
    </row>
    <row r="24" spans="1:20" x14ac:dyDescent="0.35">
      <c r="A24" t="s">
        <v>59</v>
      </c>
      <c r="B24" s="1">
        <v>43938</v>
      </c>
      <c r="C24">
        <v>2020</v>
      </c>
      <c r="D24">
        <v>4</v>
      </c>
      <c r="E24" t="s">
        <v>38</v>
      </c>
      <c r="F24">
        <v>94</v>
      </c>
      <c r="G24" t="s">
        <v>60</v>
      </c>
      <c r="H24" t="s">
        <v>30</v>
      </c>
      <c r="I24">
        <v>0</v>
      </c>
      <c r="J24">
        <v>0</v>
      </c>
      <c r="K24">
        <v>6</v>
      </c>
      <c r="L24">
        <v>6144</v>
      </c>
      <c r="M24" t="s">
        <v>17</v>
      </c>
      <c r="N24" t="str">
        <f>IF(ISNUMBER(SEARCH("Streaming", M24)), "streaming", "cinema")</f>
        <v>streaming</v>
      </c>
      <c r="O24" t="str">
        <f>IF(I24=1, "non-original", "original")</f>
        <v>original</v>
      </c>
      <c r="P24" t="str">
        <f>IF(J24 = 1, "franchise", "non-franchise")</f>
        <v>non-franchise</v>
      </c>
      <c r="Q24" t="str">
        <f>IF(OR(I24 = 1,J24 =1), "old", "new")</f>
        <v>new</v>
      </c>
      <c r="R24">
        <f t="shared" si="0"/>
        <v>0.32954294680668866</v>
      </c>
      <c r="S24">
        <f>IF(Q24="new",1.5,1)*(K24/10)*(1-(MIN(F24,180)/180))</f>
        <v>0.42999999999999994</v>
      </c>
      <c r="T24" t="str">
        <f t="shared" si="1"/>
        <v>Scenario 3: Strong Convenience</v>
      </c>
    </row>
    <row r="25" spans="1:20" x14ac:dyDescent="0.35">
      <c r="A25" t="s">
        <v>61</v>
      </c>
      <c r="B25" s="1">
        <v>43938</v>
      </c>
      <c r="C25">
        <v>2020</v>
      </c>
      <c r="D25">
        <v>4</v>
      </c>
      <c r="E25" t="s">
        <v>38</v>
      </c>
      <c r="F25">
        <v>118</v>
      </c>
      <c r="G25" t="s">
        <v>62</v>
      </c>
      <c r="H25" t="s">
        <v>24</v>
      </c>
      <c r="I25">
        <v>0</v>
      </c>
      <c r="J25">
        <v>0</v>
      </c>
      <c r="K25">
        <v>6.2</v>
      </c>
      <c r="L25">
        <v>11933</v>
      </c>
      <c r="M25" t="s">
        <v>17</v>
      </c>
      <c r="N25" t="str">
        <f>IF(ISNUMBER(SEARCH("Streaming", M25)), "streaming", "cinema")</f>
        <v>streaming</v>
      </c>
      <c r="O25" t="str">
        <f>IF(I25=1, "non-original", "original")</f>
        <v>original</v>
      </c>
      <c r="P25" t="str">
        <f>IF(J25 = 1, "franchise", "non-franchise")</f>
        <v>non-franchise</v>
      </c>
      <c r="Q25" t="str">
        <f>IF(OR(I25 = 1,J25 =1), "old", "new")</f>
        <v>new</v>
      </c>
      <c r="R25">
        <f t="shared" si="0"/>
        <v>0.44516244393322679</v>
      </c>
      <c r="S25">
        <f>IF(Q25="new",1.5,1)*(K25/10)*(1-(MIN(F25,180)/180))</f>
        <v>0.3203333333333333</v>
      </c>
      <c r="T25" t="str">
        <f t="shared" si="1"/>
        <v>Scenario 3: Strong Convenience</v>
      </c>
    </row>
    <row r="26" spans="1:20" x14ac:dyDescent="0.35">
      <c r="A26" t="s">
        <v>63</v>
      </c>
      <c r="B26" s="1">
        <v>43943</v>
      </c>
      <c r="C26">
        <v>2020</v>
      </c>
      <c r="D26">
        <v>4</v>
      </c>
      <c r="E26" t="s">
        <v>38</v>
      </c>
      <c r="F26">
        <v>92</v>
      </c>
      <c r="G26" t="s">
        <v>64</v>
      </c>
      <c r="H26" t="s">
        <v>56</v>
      </c>
      <c r="I26">
        <v>0</v>
      </c>
      <c r="J26">
        <v>0</v>
      </c>
      <c r="K26">
        <v>6.4</v>
      </c>
      <c r="L26">
        <v>23312</v>
      </c>
      <c r="M26" t="s">
        <v>17</v>
      </c>
      <c r="N26" t="str">
        <f>IF(ISNUMBER(SEARCH("Streaming", M26)), "streaming", "cinema")</f>
        <v>streaming</v>
      </c>
      <c r="O26" t="str">
        <f>IF(I26=1, "non-original", "original")</f>
        <v>original</v>
      </c>
      <c r="P26" t="str">
        <f>IF(J26 = 1, "franchise", "non-franchise")</f>
        <v>non-franchise</v>
      </c>
      <c r="Q26" t="str">
        <f>IF(OR(I26 = 1,J26 =1), "old", "new")</f>
        <v>new</v>
      </c>
      <c r="R26">
        <f t="shared" si="0"/>
        <v>0.37183572967632489</v>
      </c>
      <c r="S26">
        <f>IF(Q26="new",1.5,1)*(K26/10)*(1-(MIN(F26,180)/180))</f>
        <v>0.46933333333333338</v>
      </c>
      <c r="T26" t="str">
        <f t="shared" si="1"/>
        <v>Scenario 3: Strong Convenience</v>
      </c>
    </row>
    <row r="27" spans="1:20" x14ac:dyDescent="0.35">
      <c r="A27" t="s">
        <v>65</v>
      </c>
      <c r="B27" s="1">
        <v>43944</v>
      </c>
      <c r="C27">
        <v>2020</v>
      </c>
      <c r="D27">
        <v>4</v>
      </c>
      <c r="E27" t="s">
        <v>38</v>
      </c>
      <c r="F27">
        <v>135</v>
      </c>
      <c r="G27" t="s">
        <v>49</v>
      </c>
      <c r="H27" t="s">
        <v>30</v>
      </c>
      <c r="I27">
        <v>0</v>
      </c>
      <c r="J27">
        <v>0</v>
      </c>
      <c r="K27">
        <v>6.3</v>
      </c>
      <c r="L27">
        <v>7670</v>
      </c>
      <c r="M27" t="s">
        <v>17</v>
      </c>
      <c r="N27" t="str">
        <f>IF(ISNUMBER(SEARCH("Streaming", M27)), "streaming", "cinema")</f>
        <v>streaming</v>
      </c>
      <c r="O27" t="str">
        <f>IF(I27=1, "non-original", "original")</f>
        <v>original</v>
      </c>
      <c r="P27" t="str">
        <f>IF(J27 = 1, "franchise", "non-franchise")</f>
        <v>non-franchise</v>
      </c>
      <c r="Q27" t="str">
        <f>IF(OR(I27 = 1,J27 =1), "old", "new")</f>
        <v>new</v>
      </c>
      <c r="R27">
        <f t="shared" si="0"/>
        <v>0.48531574849095249</v>
      </c>
      <c r="S27">
        <f>IF(Q27="new",1.5,1)*(K27/10)*(1-(MIN(F27,180)/180))</f>
        <v>0.23625000000000002</v>
      </c>
      <c r="T27" t="str">
        <f t="shared" si="1"/>
        <v>Scenario 1: Strong Commitment</v>
      </c>
    </row>
    <row r="28" spans="1:20" x14ac:dyDescent="0.35">
      <c r="A28" t="s">
        <v>66</v>
      </c>
      <c r="B28" s="1">
        <v>43945</v>
      </c>
      <c r="C28">
        <v>2020</v>
      </c>
      <c r="D28">
        <v>4</v>
      </c>
      <c r="E28" t="s">
        <v>38</v>
      </c>
      <c r="F28">
        <v>117</v>
      </c>
      <c r="G28" t="s">
        <v>58</v>
      </c>
      <c r="H28" t="s">
        <v>24</v>
      </c>
      <c r="I28">
        <v>1</v>
      </c>
      <c r="J28">
        <v>0</v>
      </c>
      <c r="K28">
        <v>6.8</v>
      </c>
      <c r="L28">
        <v>287546</v>
      </c>
      <c r="M28" t="s">
        <v>17</v>
      </c>
      <c r="N28" t="str">
        <f>IF(ISNUMBER(SEARCH("Streaming", M28)), "streaming", "cinema")</f>
        <v>streaming</v>
      </c>
      <c r="O28" t="str">
        <f>IF(I28=1, "non-original", "original")</f>
        <v>non-original</v>
      </c>
      <c r="P28" t="str">
        <f>IF(J28 = 1, "franchise", "non-franchise")</f>
        <v>non-franchise</v>
      </c>
      <c r="Q28" t="str">
        <f>IF(OR(I28 = 1,J28 =1), "old", "new")</f>
        <v>old</v>
      </c>
      <c r="R28">
        <f t="shared" si="0"/>
        <v>0.88652176021324069</v>
      </c>
      <c r="S28">
        <f>IF(Q28="new",1.5,1)*(K28/10)*(1-(MIN(F28,180)/180))</f>
        <v>0.23799999999999996</v>
      </c>
      <c r="T28" t="str">
        <f t="shared" si="1"/>
        <v>Scenario 1: Strong Commitment</v>
      </c>
    </row>
    <row r="29" spans="1:20" x14ac:dyDescent="0.35">
      <c r="A29" t="s">
        <v>67</v>
      </c>
      <c r="B29" s="1">
        <v>43951</v>
      </c>
      <c r="C29">
        <v>2020</v>
      </c>
      <c r="D29">
        <v>4</v>
      </c>
      <c r="E29" t="s">
        <v>38</v>
      </c>
      <c r="F29">
        <v>97</v>
      </c>
      <c r="G29" t="s">
        <v>19</v>
      </c>
      <c r="H29" t="s">
        <v>30</v>
      </c>
      <c r="I29">
        <v>0</v>
      </c>
      <c r="J29">
        <v>0</v>
      </c>
      <c r="K29">
        <v>5.4</v>
      </c>
      <c r="L29">
        <v>19953</v>
      </c>
      <c r="M29" t="s">
        <v>17</v>
      </c>
      <c r="N29" t="str">
        <f>IF(ISNUMBER(SEARCH("Streaming", M29)), "streaming", "cinema")</f>
        <v>streaming</v>
      </c>
      <c r="O29" t="str">
        <f>IF(I29=1, "non-original", "original")</f>
        <v>original</v>
      </c>
      <c r="P29" t="str">
        <f>IF(J29 = 1, "franchise", "non-franchise")</f>
        <v>non-franchise</v>
      </c>
      <c r="Q29" t="str">
        <f>IF(OR(I29 = 1,J29 =1), "old", "new")</f>
        <v>new</v>
      </c>
      <c r="R29">
        <f t="shared" si="0"/>
        <v>0.38597883185237641</v>
      </c>
      <c r="S29">
        <f>IF(Q29="new",1.5,1)*(K29/10)*(1-(MIN(F29,180)/180))</f>
        <v>0.37350000000000005</v>
      </c>
      <c r="T29" t="str">
        <f t="shared" si="1"/>
        <v>Scenario 3: Strong Convenience</v>
      </c>
    </row>
    <row r="30" spans="1:20" x14ac:dyDescent="0.35">
      <c r="A30" t="s">
        <v>68</v>
      </c>
      <c r="B30" s="1">
        <v>43952</v>
      </c>
      <c r="C30">
        <v>2020</v>
      </c>
      <c r="D30">
        <v>5</v>
      </c>
      <c r="E30" t="s">
        <v>38</v>
      </c>
      <c r="F30">
        <v>121</v>
      </c>
      <c r="G30" t="s">
        <v>34</v>
      </c>
      <c r="H30" t="s">
        <v>24</v>
      </c>
      <c r="I30">
        <v>0</v>
      </c>
      <c r="J30">
        <v>0</v>
      </c>
      <c r="K30">
        <v>6</v>
      </c>
      <c r="L30">
        <v>4802</v>
      </c>
      <c r="M30" t="s">
        <v>17</v>
      </c>
      <c r="N30" t="str">
        <f>IF(ISNUMBER(SEARCH("Streaming", M30)), "streaming", "cinema")</f>
        <v>streaming</v>
      </c>
      <c r="O30" t="str">
        <f>IF(I30=1, "non-original", "original")</f>
        <v>original</v>
      </c>
      <c r="P30" t="str">
        <f>IF(J30 = 1, "franchise", "non-franchise")</f>
        <v>non-franchise</v>
      </c>
      <c r="Q30" t="str">
        <f>IF(OR(I30 = 1,J30 =1), "old", "new")</f>
        <v>new</v>
      </c>
      <c r="R30">
        <f t="shared" si="0"/>
        <v>0.41221468672266448</v>
      </c>
      <c r="S30">
        <f>IF(Q30="new",1.5,1)*(K30/10)*(1-(MIN(F30,180)/180))</f>
        <v>0.29499999999999993</v>
      </c>
      <c r="T30" t="str">
        <f t="shared" si="1"/>
        <v>Scenario 2: Weak Commitment/Convenience</v>
      </c>
    </row>
    <row r="31" spans="1:20" x14ac:dyDescent="0.35">
      <c r="A31" t="s">
        <v>69</v>
      </c>
      <c r="B31" s="1">
        <v>43952</v>
      </c>
      <c r="C31">
        <v>2020</v>
      </c>
      <c r="D31">
        <v>5</v>
      </c>
      <c r="E31" t="s">
        <v>38</v>
      </c>
      <c r="F31">
        <v>107</v>
      </c>
      <c r="G31" t="s">
        <v>70</v>
      </c>
      <c r="H31" t="s">
        <v>30</v>
      </c>
      <c r="I31">
        <v>0</v>
      </c>
      <c r="J31">
        <v>0</v>
      </c>
      <c r="K31">
        <v>4</v>
      </c>
      <c r="L31">
        <v>19136</v>
      </c>
      <c r="M31" t="s">
        <v>17</v>
      </c>
      <c r="N31" t="str">
        <f>IF(ISNUMBER(SEARCH("Streaming", M31)), "streaming", "cinema")</f>
        <v>streaming</v>
      </c>
      <c r="O31" t="str">
        <f>IF(I31=1, "non-original", "original")</f>
        <v>original</v>
      </c>
      <c r="P31" t="str">
        <f>IF(J31 = 1, "franchise", "non-franchise")</f>
        <v>non-franchise</v>
      </c>
      <c r="Q31" t="str">
        <f>IF(OR(I31 = 1,J31 =1), "old", "new")</f>
        <v>new</v>
      </c>
      <c r="R31">
        <f t="shared" si="0"/>
        <v>0.42397262290830562</v>
      </c>
      <c r="S31">
        <f>IF(Q31="new",1.5,1)*(K31/10)*(1-(MIN(F31,180)/180))</f>
        <v>0.24333333333333337</v>
      </c>
      <c r="T31" t="str">
        <f t="shared" si="1"/>
        <v>Scenario 2: Weak Commitment/Convenience</v>
      </c>
    </row>
    <row r="32" spans="1:20" x14ac:dyDescent="0.35">
      <c r="A32" t="s">
        <v>71</v>
      </c>
      <c r="B32" s="1">
        <v>43952</v>
      </c>
      <c r="C32">
        <v>2020</v>
      </c>
      <c r="D32">
        <v>5</v>
      </c>
      <c r="E32" t="s">
        <v>38</v>
      </c>
      <c r="F32">
        <v>105</v>
      </c>
      <c r="G32" t="s">
        <v>36</v>
      </c>
      <c r="H32" t="s">
        <v>27</v>
      </c>
      <c r="I32">
        <v>0</v>
      </c>
      <c r="J32">
        <v>0</v>
      </c>
      <c r="K32">
        <v>6.9</v>
      </c>
      <c r="L32">
        <v>47033</v>
      </c>
      <c r="M32" t="s">
        <v>17</v>
      </c>
      <c r="N32" t="str">
        <f>IF(ISNUMBER(SEARCH("Streaming", M32)), "streaming", "cinema")</f>
        <v>streaming</v>
      </c>
      <c r="O32" t="str">
        <f>IF(I32=1, "non-original", "original")</f>
        <v>original</v>
      </c>
      <c r="P32" t="str">
        <f>IF(J32 = 1, "franchise", "non-franchise")</f>
        <v>non-franchise</v>
      </c>
      <c r="Q32" t="str">
        <f>IF(OR(I32 = 1,J32 =1), "old", "new")</f>
        <v>new</v>
      </c>
      <c r="R32">
        <f t="shared" si="0"/>
        <v>0.45399600647983179</v>
      </c>
      <c r="S32">
        <f>IF(Q32="new",1.5,1)*(K32/10)*(1-(MIN(F32,180)/180))</f>
        <v>0.43125000000000002</v>
      </c>
      <c r="T32" t="str">
        <f t="shared" si="1"/>
        <v>Scenario 3: Strong Convenience</v>
      </c>
    </row>
    <row r="33" spans="1:20" x14ac:dyDescent="0.35">
      <c r="A33" t="s">
        <v>72</v>
      </c>
      <c r="B33" s="1">
        <v>43964</v>
      </c>
      <c r="C33">
        <v>2020</v>
      </c>
      <c r="D33">
        <v>5</v>
      </c>
      <c r="E33" t="s">
        <v>38</v>
      </c>
      <c r="F33">
        <v>90</v>
      </c>
      <c r="G33" t="s">
        <v>73</v>
      </c>
      <c r="H33" t="s">
        <v>24</v>
      </c>
      <c r="I33">
        <v>0</v>
      </c>
      <c r="J33">
        <v>0</v>
      </c>
      <c r="K33">
        <v>5.8</v>
      </c>
      <c r="L33">
        <v>50196</v>
      </c>
      <c r="M33" t="s">
        <v>17</v>
      </c>
      <c r="N33" t="str">
        <f>IF(ISNUMBER(SEARCH("Streaming", M33)), "streaming", "cinema")</f>
        <v>streaming</v>
      </c>
      <c r="O33" t="str">
        <f>IF(I33=1, "non-original", "original")</f>
        <v>original</v>
      </c>
      <c r="P33" t="str">
        <f>IF(J33 = 1, "franchise", "non-franchise")</f>
        <v>non-franchise</v>
      </c>
      <c r="Q33" t="str">
        <f>IF(OR(I33 = 1,J33 =1), "old", "new")</f>
        <v>new</v>
      </c>
      <c r="R33">
        <f t="shared" si="0"/>
        <v>0.39149359388887695</v>
      </c>
      <c r="S33">
        <f>IF(Q33="new",1.5,1)*(K33/10)*(1-(MIN(F33,180)/180))</f>
        <v>0.43499999999999994</v>
      </c>
      <c r="T33" t="str">
        <f t="shared" si="1"/>
        <v>Scenario 3: Strong Convenience</v>
      </c>
    </row>
    <row r="34" spans="1:20" x14ac:dyDescent="0.35">
      <c r="A34" t="s">
        <v>74</v>
      </c>
      <c r="B34" s="1">
        <v>43973</v>
      </c>
      <c r="C34">
        <v>2020</v>
      </c>
      <c r="D34">
        <v>5</v>
      </c>
      <c r="E34" t="s">
        <v>38</v>
      </c>
      <c r="F34">
        <v>87</v>
      </c>
      <c r="G34" t="s">
        <v>29</v>
      </c>
      <c r="H34" t="s">
        <v>24</v>
      </c>
      <c r="I34">
        <v>0</v>
      </c>
      <c r="J34">
        <v>0</v>
      </c>
      <c r="K34">
        <v>6.1</v>
      </c>
      <c r="L34">
        <v>29043</v>
      </c>
      <c r="M34" t="s">
        <v>17</v>
      </c>
      <c r="N34" t="str">
        <f>IF(ISNUMBER(SEARCH("Streaming", M34)), "streaming", "cinema")</f>
        <v>streaming</v>
      </c>
      <c r="O34" t="str">
        <f>IF(I34=1, "non-original", "original")</f>
        <v>original</v>
      </c>
      <c r="P34" t="str">
        <f>IF(J34 = 1, "franchise", "non-franchise")</f>
        <v>non-franchise</v>
      </c>
      <c r="Q34" t="str">
        <f>IF(OR(I34 = 1,J34 =1), "old", "new")</f>
        <v>new</v>
      </c>
      <c r="R34">
        <f t="shared" si="0"/>
        <v>0.35931276350010954</v>
      </c>
      <c r="S34">
        <f>IF(Q34="new",1.5,1)*(K34/10)*(1-(MIN(F34,180)/180))</f>
        <v>0.47274999999999995</v>
      </c>
      <c r="T34" t="str">
        <f t="shared" si="1"/>
        <v>Scenario 3: Strong Convenience</v>
      </c>
    </row>
    <row r="35" spans="1:20" x14ac:dyDescent="0.35">
      <c r="A35" t="s">
        <v>75</v>
      </c>
      <c r="B35" s="1">
        <v>43979</v>
      </c>
      <c r="C35">
        <v>2020</v>
      </c>
      <c r="D35">
        <v>5</v>
      </c>
      <c r="E35" t="s">
        <v>38</v>
      </c>
      <c r="F35">
        <v>116</v>
      </c>
      <c r="G35" t="s">
        <v>76</v>
      </c>
      <c r="H35" t="s">
        <v>30</v>
      </c>
      <c r="I35">
        <v>0</v>
      </c>
      <c r="J35">
        <v>0</v>
      </c>
      <c r="K35">
        <v>5.6</v>
      </c>
      <c r="L35">
        <v>3339</v>
      </c>
      <c r="M35" t="s">
        <v>17</v>
      </c>
      <c r="N35" t="str">
        <f>IF(ISNUMBER(SEARCH("Streaming", M35)), "streaming", "cinema")</f>
        <v>streaming</v>
      </c>
      <c r="O35" t="str">
        <f>IF(I35=1, "non-original", "original")</f>
        <v>original</v>
      </c>
      <c r="P35" t="str">
        <f>IF(J35 = 1, "franchise", "non-franchise")</f>
        <v>non-franchise</v>
      </c>
      <c r="Q35" t="str">
        <f>IF(OR(I35 = 1,J35 =1), "old", "new")</f>
        <v>new</v>
      </c>
      <c r="R35">
        <f t="shared" si="0"/>
        <v>0.3782414183037241</v>
      </c>
      <c r="S35">
        <f>IF(Q35="new",1.5,1)*(K35/10)*(1-(MIN(F35,180)/180))</f>
        <v>0.29866666666666658</v>
      </c>
      <c r="T35" t="str">
        <f t="shared" si="1"/>
        <v>Scenario 2: Weak Commitment/Convenience</v>
      </c>
    </row>
    <row r="36" spans="1:20" x14ac:dyDescent="0.35">
      <c r="A36" t="s">
        <v>77</v>
      </c>
      <c r="B36" s="1">
        <v>43987</v>
      </c>
      <c r="C36">
        <v>2020</v>
      </c>
      <c r="D36">
        <v>6</v>
      </c>
      <c r="E36" t="s">
        <v>78</v>
      </c>
      <c r="F36">
        <v>149</v>
      </c>
      <c r="G36" t="s">
        <v>79</v>
      </c>
      <c r="H36" t="s">
        <v>24</v>
      </c>
      <c r="I36">
        <v>0</v>
      </c>
      <c r="J36">
        <v>0</v>
      </c>
      <c r="K36">
        <v>3.8</v>
      </c>
      <c r="L36">
        <v>12917</v>
      </c>
      <c r="M36" t="s">
        <v>17</v>
      </c>
      <c r="N36" t="str">
        <f>IF(ISNUMBER(SEARCH("Streaming", M36)), "streaming", "cinema")</f>
        <v>streaming</v>
      </c>
      <c r="O36" t="str">
        <f>IF(I36=1, "non-original", "original")</f>
        <v>original</v>
      </c>
      <c r="P36" t="str">
        <f>IF(J36 = 1, "franchise", "non-franchise")</f>
        <v>non-franchise</v>
      </c>
      <c r="Q36" t="str">
        <f>IF(OR(I36 = 1,J36 =1), "old", "new")</f>
        <v>new</v>
      </c>
      <c r="R36">
        <f t="shared" si="0"/>
        <v>0.5668567102489479</v>
      </c>
      <c r="S36">
        <f>IF(Q36="new",1.5,1)*(K36/10)*(1-(MIN(F36,180)/180))</f>
        <v>9.8166666666666708E-2</v>
      </c>
      <c r="T36" t="str">
        <f t="shared" si="1"/>
        <v>Scenario 1: Strong Commitment</v>
      </c>
    </row>
    <row r="37" spans="1:20" x14ac:dyDescent="0.35">
      <c r="A37" t="s">
        <v>80</v>
      </c>
      <c r="B37" s="1">
        <v>43994</v>
      </c>
      <c r="C37">
        <v>2020</v>
      </c>
      <c r="D37">
        <v>6</v>
      </c>
      <c r="E37" t="s">
        <v>78</v>
      </c>
      <c r="F37">
        <v>155</v>
      </c>
      <c r="G37" t="s">
        <v>81</v>
      </c>
      <c r="H37" t="s">
        <v>24</v>
      </c>
      <c r="I37">
        <v>0</v>
      </c>
      <c r="J37">
        <v>0</v>
      </c>
      <c r="K37">
        <v>6.5</v>
      </c>
      <c r="L37">
        <v>57349</v>
      </c>
      <c r="M37" t="s">
        <v>17</v>
      </c>
      <c r="N37" t="str">
        <f>IF(ISNUMBER(SEARCH("Streaming", M37)), "streaming", "cinema")</f>
        <v>streaming</v>
      </c>
      <c r="O37" t="str">
        <f>IF(I37=1, "non-original", "original")</f>
        <v>original</v>
      </c>
      <c r="P37" t="str">
        <f>IF(J37 = 1, "franchise", "non-franchise")</f>
        <v>non-franchise</v>
      </c>
      <c r="Q37" t="str">
        <f>IF(OR(I37 = 1,J37 =1), "old", "new")</f>
        <v>new</v>
      </c>
      <c r="R37">
        <f t="shared" si="0"/>
        <v>0.68253763004478019</v>
      </c>
      <c r="S37">
        <f>IF(Q37="new",1.5,1)*(K37/10)*(1-(MIN(F37,180)/180))</f>
        <v>0.13541666666666663</v>
      </c>
      <c r="T37" t="str">
        <f t="shared" si="1"/>
        <v>Scenario 1: Strong Commitment</v>
      </c>
    </row>
    <row r="38" spans="1:20" x14ac:dyDescent="0.35">
      <c r="A38" t="s">
        <v>82</v>
      </c>
      <c r="B38" s="1">
        <v>44000</v>
      </c>
      <c r="C38">
        <v>2020</v>
      </c>
      <c r="D38">
        <v>6</v>
      </c>
      <c r="E38" t="s">
        <v>78</v>
      </c>
      <c r="F38">
        <v>105</v>
      </c>
      <c r="G38" t="s">
        <v>83</v>
      </c>
      <c r="H38" t="s">
        <v>56</v>
      </c>
      <c r="I38">
        <v>0</v>
      </c>
      <c r="J38">
        <v>0</v>
      </c>
      <c r="K38">
        <v>6.7</v>
      </c>
      <c r="L38">
        <v>17691</v>
      </c>
      <c r="M38" t="s">
        <v>17</v>
      </c>
      <c r="N38" t="str">
        <f>IF(ISNUMBER(SEARCH("Streaming", M38)), "streaming", "cinema")</f>
        <v>streaming</v>
      </c>
      <c r="O38" t="str">
        <f>IF(I38=1, "non-original", "original")</f>
        <v>original</v>
      </c>
      <c r="P38" t="str">
        <f>IF(J38 = 1, "franchise", "non-franchise")</f>
        <v>non-franchise</v>
      </c>
      <c r="Q38" t="str">
        <f>IF(OR(I38 = 1,J38 =1), "old", "new")</f>
        <v>new</v>
      </c>
      <c r="R38">
        <f t="shared" si="0"/>
        <v>0.41273467844885886</v>
      </c>
      <c r="S38">
        <f>IF(Q38="new",1.5,1)*(K38/10)*(1-(MIN(F38,180)/180))</f>
        <v>0.41875000000000001</v>
      </c>
      <c r="T38" t="str">
        <f t="shared" si="1"/>
        <v>Scenario 3: Strong Convenience</v>
      </c>
    </row>
    <row r="39" spans="1:20" x14ac:dyDescent="0.35">
      <c r="A39" t="s">
        <v>84</v>
      </c>
      <c r="B39" s="1">
        <v>44001</v>
      </c>
      <c r="C39">
        <v>2020</v>
      </c>
      <c r="D39">
        <v>6</v>
      </c>
      <c r="E39" t="s">
        <v>78</v>
      </c>
      <c r="F39">
        <v>109</v>
      </c>
      <c r="G39" t="s">
        <v>85</v>
      </c>
      <c r="H39" t="s">
        <v>86</v>
      </c>
      <c r="I39">
        <v>0</v>
      </c>
      <c r="J39">
        <v>0</v>
      </c>
      <c r="K39">
        <v>6.3</v>
      </c>
      <c r="L39">
        <v>15070</v>
      </c>
      <c r="M39" t="s">
        <v>17</v>
      </c>
      <c r="N39" t="str">
        <f>IF(ISNUMBER(SEARCH("Streaming", M39)), "streaming", "cinema")</f>
        <v>streaming</v>
      </c>
      <c r="O39" t="str">
        <f>IF(I39=1, "non-original", "original")</f>
        <v>original</v>
      </c>
      <c r="P39" t="str">
        <f>IF(J39 = 1, "franchise", "non-franchise")</f>
        <v>non-franchise</v>
      </c>
      <c r="Q39" t="str">
        <f>IF(OR(I39 = 1,J39 =1), "old", "new")</f>
        <v>new</v>
      </c>
      <c r="R39">
        <f t="shared" si="0"/>
        <v>0.4214336163680546</v>
      </c>
      <c r="S39">
        <f>IF(Q39="new",1.5,1)*(K39/10)*(1-(MIN(F39,180)/180))</f>
        <v>0.37275000000000008</v>
      </c>
      <c r="T39" t="str">
        <f t="shared" si="1"/>
        <v>Scenario 3: Strong Convenience</v>
      </c>
    </row>
    <row r="40" spans="1:20" x14ac:dyDescent="0.35">
      <c r="A40" t="s">
        <v>87</v>
      </c>
      <c r="B40" s="1">
        <v>44001</v>
      </c>
      <c r="C40">
        <v>2020</v>
      </c>
      <c r="D40">
        <v>6</v>
      </c>
      <c r="E40" t="s">
        <v>78</v>
      </c>
      <c r="F40">
        <v>93</v>
      </c>
      <c r="G40" t="s">
        <v>58</v>
      </c>
      <c r="H40" t="s">
        <v>30</v>
      </c>
      <c r="I40">
        <v>0</v>
      </c>
      <c r="J40">
        <v>0</v>
      </c>
      <c r="K40">
        <v>6.4</v>
      </c>
      <c r="L40">
        <v>16640</v>
      </c>
      <c r="M40" t="s">
        <v>88</v>
      </c>
      <c r="N40" t="str">
        <f>IF(ISNUMBER(SEARCH("Streaming", M40)), "streaming", "cinema")</f>
        <v>streaming</v>
      </c>
      <c r="O40" t="str">
        <f>IF(I40=1, "non-original", "original")</f>
        <v>original</v>
      </c>
      <c r="P40" t="str">
        <f>IF(J40 = 1, "franchise", "non-franchise")</f>
        <v>non-franchise</v>
      </c>
      <c r="Q40" t="str">
        <f>IF(OR(I40 = 1,J40 =1), "old", "new")</f>
        <v>new</v>
      </c>
      <c r="R40">
        <f t="shared" si="0"/>
        <v>0.36327586427769709</v>
      </c>
      <c r="S40">
        <f>IF(Q40="new",1.5,1)*(K40/10)*(1-(MIN(F40,180)/180))</f>
        <v>0.46399999999999991</v>
      </c>
      <c r="T40" t="str">
        <f t="shared" si="1"/>
        <v>Scenario 3: Strong Convenience</v>
      </c>
    </row>
    <row r="41" spans="1:20" x14ac:dyDescent="0.35">
      <c r="A41" t="s">
        <v>89</v>
      </c>
      <c r="B41" s="1">
        <v>44001</v>
      </c>
      <c r="C41">
        <v>2020</v>
      </c>
      <c r="D41">
        <v>6</v>
      </c>
      <c r="E41" t="s">
        <v>78</v>
      </c>
      <c r="F41">
        <v>90</v>
      </c>
      <c r="G41" t="s">
        <v>90</v>
      </c>
      <c r="H41" t="s">
        <v>30</v>
      </c>
      <c r="I41">
        <v>0</v>
      </c>
      <c r="J41">
        <v>0</v>
      </c>
      <c r="K41">
        <v>5.6</v>
      </c>
      <c r="L41">
        <v>5775</v>
      </c>
      <c r="M41" t="s">
        <v>17</v>
      </c>
      <c r="N41" t="str">
        <f>IF(ISNUMBER(SEARCH("Streaming", M41)), "streaming", "cinema")</f>
        <v>streaming</v>
      </c>
      <c r="O41" t="str">
        <f>IF(I41=1, "non-original", "original")</f>
        <v>original</v>
      </c>
      <c r="P41" t="str">
        <f>IF(J41 = 1, "franchise", "non-franchise")</f>
        <v>non-franchise</v>
      </c>
      <c r="Q41" t="str">
        <f>IF(OR(I41 = 1,J41 =1), "old", "new")</f>
        <v>new</v>
      </c>
      <c r="R41">
        <f t="shared" si="0"/>
        <v>0.31327955062253338</v>
      </c>
      <c r="S41">
        <f>IF(Q41="new",1.5,1)*(K41/10)*(1-(MIN(F41,180)/180))</f>
        <v>0.41999999999999993</v>
      </c>
      <c r="T41" t="str">
        <f t="shared" si="1"/>
        <v>Scenario 3: Strong Convenience</v>
      </c>
    </row>
    <row r="42" spans="1:20" x14ac:dyDescent="0.35">
      <c r="A42" t="s">
        <v>91</v>
      </c>
      <c r="B42" s="1">
        <v>44006</v>
      </c>
      <c r="C42">
        <v>2020</v>
      </c>
      <c r="D42">
        <v>6</v>
      </c>
      <c r="E42" t="s">
        <v>78</v>
      </c>
      <c r="F42">
        <v>94</v>
      </c>
      <c r="G42" t="s">
        <v>92</v>
      </c>
      <c r="H42" t="s">
        <v>30</v>
      </c>
      <c r="I42">
        <v>0</v>
      </c>
      <c r="J42">
        <v>0</v>
      </c>
      <c r="K42">
        <v>6.6</v>
      </c>
      <c r="L42">
        <v>16354</v>
      </c>
      <c r="M42" t="s">
        <v>17</v>
      </c>
      <c r="N42" t="str">
        <f>IF(ISNUMBER(SEARCH("Streaming", M42)), "streaming", "cinema")</f>
        <v>streaming</v>
      </c>
      <c r="O42" t="str">
        <f>IF(I42=1, "non-original", "original")</f>
        <v>original</v>
      </c>
      <c r="P42" t="str">
        <f>IF(J42 = 1, "franchise", "non-franchise")</f>
        <v>non-franchise</v>
      </c>
      <c r="Q42" t="str">
        <f>IF(OR(I42 = 1,J42 =1), "old", "new")</f>
        <v>new</v>
      </c>
      <c r="R42">
        <f t="shared" si="0"/>
        <v>0.36652710874338779</v>
      </c>
      <c r="S42">
        <f>IF(Q42="new",1.5,1)*(K42/10)*(1-(MIN(F42,180)/180))</f>
        <v>0.47299999999999992</v>
      </c>
      <c r="T42" t="str">
        <f t="shared" si="1"/>
        <v>Scenario 3: Strong Convenience</v>
      </c>
    </row>
    <row r="43" spans="1:20" x14ac:dyDescent="0.35">
      <c r="A43" t="s">
        <v>93</v>
      </c>
      <c r="B43" s="1">
        <v>44006</v>
      </c>
      <c r="C43">
        <v>2020</v>
      </c>
      <c r="D43">
        <v>6</v>
      </c>
      <c r="E43" t="s">
        <v>78</v>
      </c>
      <c r="F43">
        <v>91</v>
      </c>
      <c r="G43" t="s">
        <v>34</v>
      </c>
      <c r="H43" t="s">
        <v>30</v>
      </c>
      <c r="I43">
        <v>0</v>
      </c>
      <c r="J43">
        <v>0</v>
      </c>
      <c r="K43">
        <v>6.5</v>
      </c>
      <c r="L43">
        <v>5237</v>
      </c>
      <c r="M43" t="s">
        <v>17</v>
      </c>
      <c r="N43" t="str">
        <f>IF(ISNUMBER(SEARCH("Streaming", M43)), "streaming", "cinema")</f>
        <v>streaming</v>
      </c>
      <c r="O43" t="str">
        <f>IF(I43=1, "non-original", "original")</f>
        <v>original</v>
      </c>
      <c r="P43" t="str">
        <f>IF(J43 = 1, "franchise", "non-franchise")</f>
        <v>non-franchise</v>
      </c>
      <c r="Q43" t="str">
        <f>IF(OR(I43 = 1,J43 =1), "old", "new")</f>
        <v>new</v>
      </c>
      <c r="R43">
        <f t="shared" si="0"/>
        <v>0.31318408351130983</v>
      </c>
      <c r="S43">
        <f>IF(Q43="new",1.5,1)*(K43/10)*(1-(MIN(F43,180)/180))</f>
        <v>0.48208333333333342</v>
      </c>
      <c r="T43" t="str">
        <f t="shared" si="1"/>
        <v>Scenario 3: Strong Convenience</v>
      </c>
    </row>
    <row r="44" spans="1:20" x14ac:dyDescent="0.35">
      <c r="A44" t="s">
        <v>94</v>
      </c>
      <c r="B44" s="1">
        <v>44008</v>
      </c>
      <c r="C44">
        <v>2020</v>
      </c>
      <c r="D44">
        <v>6</v>
      </c>
      <c r="E44" t="s">
        <v>78</v>
      </c>
      <c r="F44">
        <v>123</v>
      </c>
      <c r="G44" t="s">
        <v>95</v>
      </c>
      <c r="H44" t="s">
        <v>27</v>
      </c>
      <c r="I44">
        <v>0</v>
      </c>
      <c r="J44">
        <v>0</v>
      </c>
      <c r="K44">
        <v>6.5</v>
      </c>
      <c r="L44">
        <v>108838</v>
      </c>
      <c r="M44" t="s">
        <v>17</v>
      </c>
      <c r="N44" t="str">
        <f>IF(ISNUMBER(SEARCH("Streaming", M44)), "streaming", "cinema")</f>
        <v>streaming</v>
      </c>
      <c r="O44" t="str">
        <f>IF(I44=1, "non-original", "original")</f>
        <v>original</v>
      </c>
      <c r="P44" t="str">
        <f>IF(J44 = 1, "franchise", "non-franchise")</f>
        <v>non-franchise</v>
      </c>
      <c r="Q44" t="str">
        <f>IF(OR(I44 = 1,J44 =1), "old", "new")</f>
        <v>new</v>
      </c>
      <c r="R44">
        <f t="shared" si="0"/>
        <v>0.57329824204724988</v>
      </c>
      <c r="S44">
        <f>IF(Q44="new",1.5,1)*(K44/10)*(1-(MIN(F44,180)/180))</f>
        <v>0.30875000000000002</v>
      </c>
      <c r="T44" t="str">
        <f t="shared" si="1"/>
        <v>Scenario 1: Strong Commitment</v>
      </c>
    </row>
    <row r="45" spans="1:20" x14ac:dyDescent="0.35">
      <c r="A45" t="s">
        <v>96</v>
      </c>
      <c r="B45" s="1">
        <v>44013</v>
      </c>
      <c r="C45">
        <v>2020</v>
      </c>
      <c r="D45">
        <v>7</v>
      </c>
      <c r="E45" t="s">
        <v>78</v>
      </c>
      <c r="F45">
        <v>102</v>
      </c>
      <c r="G45" t="s">
        <v>97</v>
      </c>
      <c r="H45" t="s">
        <v>30</v>
      </c>
      <c r="I45">
        <v>0</v>
      </c>
      <c r="J45">
        <v>0</v>
      </c>
      <c r="K45">
        <v>5.6</v>
      </c>
      <c r="L45">
        <v>3494</v>
      </c>
      <c r="M45" t="s">
        <v>17</v>
      </c>
      <c r="N45" t="str">
        <f>IF(ISNUMBER(SEARCH("Streaming", M45)), "streaming", "cinema")</f>
        <v>streaming</v>
      </c>
      <c r="O45" t="str">
        <f>IF(I45=1, "non-original", "original")</f>
        <v>original</v>
      </c>
      <c r="P45" t="str">
        <f>IF(J45 = 1, "franchise", "non-franchise")</f>
        <v>non-franchise</v>
      </c>
      <c r="Q45" t="str">
        <f>IF(OR(I45 = 1,J45 =1), "old", "new")</f>
        <v>new</v>
      </c>
      <c r="R45">
        <f t="shared" si="0"/>
        <v>0.33445167242668733</v>
      </c>
      <c r="S45">
        <f>IF(Q45="new",1.5,1)*(K45/10)*(1-(MIN(F45,180)/180))</f>
        <v>0.36399999999999993</v>
      </c>
      <c r="T45" t="str">
        <f t="shared" si="1"/>
        <v>Scenario 3: Strong Convenience</v>
      </c>
    </row>
    <row r="46" spans="1:20" x14ac:dyDescent="0.35">
      <c r="A46" t="s">
        <v>98</v>
      </c>
      <c r="B46" s="1">
        <v>44015</v>
      </c>
      <c r="C46">
        <v>2020</v>
      </c>
      <c r="D46">
        <v>7</v>
      </c>
      <c r="E46" t="s">
        <v>78</v>
      </c>
      <c r="F46">
     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r="L46">
        <v>11605</v>
      </c>
      <c r="M46" t="s">
        <v>17</v>
      </c>
      <c r="N46" t="str">
        <f>IF(ISNUMBER(SEARCH("Streaming", M46)), "streaming", "cinema")</f>
        <v>streaming</v>
      </c>
      <c r="O46" t="str">
        <f>IF(I46=1, "non-original", "original")</f>
        <v>original</v>
      </c>
      <c r="P46" t="str">
        <f>IF(J46 = 1, "franchise", "non-franchise")</f>
        <v>non-franchise</v>
      </c>
      <c r="Q46" t="str">
        <f>IF(OR(I46 = 1,J46 =1), "old", "new")</f>
        <v>new</v>
      </c>
      <c r="R46">
        <f t="shared" si="0"/>
        <v>0.39870434708512398</v>
      </c>
      <c r="S46">
        <f>IF(Q46="new",1.5,1)*(K46/10)*(1-(MIN(F46,180)/180))</f>
        <v>0.32066666666666666</v>
      </c>
      <c r="T46" t="str">
        <f t="shared" si="1"/>
        <v>Scenario 3: Strong Convenience</v>
      </c>
    </row>
    <row r="47" spans="1:20" x14ac:dyDescent="0.35">
      <c r="A47" t="s">
        <v>99</v>
      </c>
      <c r="B47" s="1">
        <v>44022</v>
      </c>
      <c r="C47">
        <v>2020</v>
      </c>
      <c r="D47">
        <v>7</v>
      </c>
      <c r="E47" t="s">
        <v>78</v>
      </c>
      <c r="F47">
        <v>125</v>
      </c>
      <c r="G47" t="s">
        <v>100</v>
      </c>
      <c r="H47" t="s">
        <v>24</v>
      </c>
      <c r="I47">
        <v>0</v>
      </c>
      <c r="J47">
        <v>0</v>
      </c>
      <c r="K47">
        <v>6.7</v>
      </c>
      <c r="L47">
        <v>208995</v>
      </c>
      <c r="M47" t="s">
        <v>17</v>
      </c>
      <c r="N47" t="str">
        <f>IF(ISNUMBER(SEARCH("Streaming", M47)), "streaming", "cinema")</f>
        <v>streaming</v>
      </c>
      <c r="O47" t="str">
        <f>IF(I47=1, "non-original", "original")</f>
        <v>original</v>
      </c>
      <c r="P47" t="str">
        <f>IF(J47 = 1, "franchise", "non-franchise")</f>
        <v>non-franchise</v>
      </c>
      <c r="Q47" t="str">
        <f>IF(OR(I47 = 1,J47 =1), "old", "new")</f>
        <v>new</v>
      </c>
      <c r="R47">
        <f t="shared" si="0"/>
        <v>0.61539676378147823</v>
      </c>
      <c r="S47">
        <f>IF(Q47="new",1.5,1)*(K47/10)*(1-(MIN(F47,180)/180))</f>
        <v>0.30708333333333337</v>
      </c>
      <c r="T47" t="str">
        <f t="shared" si="1"/>
        <v>Scenario 1: Strong Commitment</v>
      </c>
    </row>
    <row r="48" spans="1:20" x14ac:dyDescent="0.35">
      <c r="A48" t="s">
        <v>101</v>
      </c>
      <c r="B48" s="1">
        <v>44027</v>
      </c>
      <c r="C48">
        <v>2020</v>
      </c>
      <c r="D48">
        <v>7</v>
      </c>
      <c r="E48" t="s">
        <v>78</v>
      </c>
      <c r="F48">
        <v>88</v>
      </c>
      <c r="G48" t="s">
        <v>21</v>
      </c>
      <c r="H48" t="s">
        <v>24</v>
      </c>
      <c r="I48">
        <v>0</v>
      </c>
      <c r="J48">
        <v>0</v>
      </c>
      <c r="K48">
        <v>4.8</v>
      </c>
      <c r="L48">
        <v>1989</v>
      </c>
      <c r="M48" t="s">
        <v>17</v>
      </c>
      <c r="N48" t="str">
        <f>IF(ISNUMBER(SEARCH("Streaming", M48)), "streaming", "cinema")</f>
        <v>streaming</v>
      </c>
      <c r="O48" t="str">
        <f>IF(I48=1, "non-original", "original")</f>
        <v>original</v>
      </c>
      <c r="P48" t="str">
        <f>IF(J48 = 1, "franchise", "non-franchise")</f>
        <v>non-franchise</v>
      </c>
      <c r="Q48" t="str">
        <f>IF(OR(I48 = 1,J48 =1), "old", "new")</f>
        <v>new</v>
      </c>
      <c r="R48">
        <f t="shared" si="0"/>
        <v>0.26862063749418624</v>
      </c>
      <c r="S48">
        <f>IF(Q48="new",1.5,1)*(K48/10)*(1-(MIN(F48,180)/180))</f>
        <v>0.36799999999999994</v>
      </c>
      <c r="T48" t="str">
        <f t="shared" si="1"/>
        <v>Scenario 3: Strong Convenience</v>
      </c>
    </row>
    <row r="49" spans="1:20" x14ac:dyDescent="0.35">
      <c r="A49" t="s">
        <v>102</v>
      </c>
      <c r="B49" s="1">
        <v>44028</v>
      </c>
      <c r="C49">
        <v>2020</v>
      </c>
      <c r="D49">
        <v>7</v>
      </c>
      <c r="E49" t="s">
        <v>78</v>
      </c>
      <c r="F49">
        <v>89</v>
      </c>
      <c r="G49" t="s">
        <v>103</v>
      </c>
      <c r="H49" t="s">
        <v>30</v>
      </c>
      <c r="I49">
        <v>0</v>
      </c>
      <c r="J49">
        <v>0</v>
      </c>
      <c r="K49">
        <v>4.5999999999999996</v>
      </c>
      <c r="L49">
        <v>7288</v>
      </c>
      <c r="M49" t="s">
        <v>17</v>
      </c>
      <c r="N49" t="str">
        <f>IF(ISNUMBER(SEARCH("Streaming", M49)), "streaming", "cinema")</f>
        <v>streaming</v>
      </c>
      <c r="O49" t="str">
        <f>IF(I49=1, "non-original", "original")</f>
        <v>original</v>
      </c>
      <c r="P49" t="str">
        <f>IF(J49 = 1, "franchise", "non-franchise")</f>
        <v>non-franchise</v>
      </c>
      <c r="Q49" t="str">
        <f>IF(OR(I49 = 1,J49 =1), "old", "new")</f>
        <v>new</v>
      </c>
      <c r="R49">
        <f t="shared" si="0"/>
        <v>0.31812159578860688</v>
      </c>
      <c r="S49">
        <f>IF(Q49="new",1.5,1)*(K49/10)*(1-(MIN(F49,180)/180))</f>
        <v>0.34883333333333327</v>
      </c>
      <c r="T49" t="str">
        <f t="shared" si="1"/>
        <v>Scenario 3: Strong Convenience</v>
      </c>
    </row>
    <row r="50" spans="1:20" x14ac:dyDescent="0.35">
      <c r="A50" t="s">
        <v>104</v>
      </c>
      <c r="B50" s="1">
        <v>44036</v>
      </c>
      <c r="C50">
        <v>2020</v>
      </c>
      <c r="D50">
        <v>7</v>
      </c>
      <c r="E50" t="s">
        <v>78</v>
      </c>
      <c r="F50">
        <v>139</v>
      </c>
      <c r="G50" t="s">
        <v>76</v>
      </c>
      <c r="H50" t="s">
        <v>24</v>
      </c>
      <c r="I50">
        <v>0</v>
      </c>
      <c r="J50">
        <v>0</v>
      </c>
      <c r="K50">
        <v>6.2</v>
      </c>
      <c r="L50">
        <v>8364</v>
      </c>
      <c r="M50" t="s">
        <v>17</v>
      </c>
      <c r="N50" t="str">
        <f>IF(ISNUMBER(SEARCH("Streaming", M50)), "streaming", "cinema")</f>
        <v>streaming</v>
      </c>
      <c r="O50" t="str">
        <f>IF(I50=1, "non-original", "original")</f>
        <v>original</v>
      </c>
      <c r="P50" t="str">
        <f>IF(J50 = 1, "franchise", "non-franchise")</f>
        <v>non-franchise</v>
      </c>
      <c r="Q50" t="str">
        <f>IF(OR(I50 = 1,J50 =1), "old", "new")</f>
        <v>new</v>
      </c>
      <c r="R50">
        <f t="shared" si="0"/>
        <v>0.50453430692089085</v>
      </c>
      <c r="S50">
        <f>IF(Q50="new",1.5,1)*(K50/10)*(1-(MIN(F50,180)/180))</f>
        <v>0.21183333333333329</v>
      </c>
      <c r="T50" t="str">
        <f t="shared" si="1"/>
        <v>Scenario 1: Strong Commitment</v>
      </c>
    </row>
    <row r="51" spans="1:20" x14ac:dyDescent="0.35">
      <c r="A51" t="s">
        <v>105</v>
      </c>
      <c r="B51" s="1">
        <v>44036</v>
      </c>
      <c r="C51">
        <v>2020</v>
      </c>
      <c r="D51">
        <v>7</v>
      </c>
      <c r="E51" t="s">
        <v>78</v>
      </c>
      <c r="F51">
        <v>132</v>
      </c>
      <c r="G51" t="s">
        <v>26</v>
      </c>
      <c r="H51" t="s">
        <v>27</v>
      </c>
      <c r="I51">
        <v>0</v>
      </c>
      <c r="J51">
        <v>0</v>
      </c>
      <c r="K51">
        <v>5.7</v>
      </c>
      <c r="L51">
        <v>43374</v>
      </c>
      <c r="M51" t="s">
        <v>17</v>
      </c>
      <c r="N51" t="str">
        <f>IF(ISNUMBER(SEARCH("Streaming", M51)), "streaming", "cinema")</f>
        <v>streaming</v>
      </c>
      <c r="O51" t="str">
        <f>IF(I51=1, "non-original", "original")</f>
        <v>original</v>
      </c>
      <c r="P51" t="str">
        <f>IF(J51 = 1, "franchise", "non-franchise")</f>
        <v>non-franchise</v>
      </c>
      <c r="Q51" t="str">
        <f>IF(OR(I51 = 1,J51 =1), "old", "new")</f>
        <v>new</v>
      </c>
      <c r="R51">
        <f t="shared" si="0"/>
        <v>0.56644140063144988</v>
      </c>
      <c r="S51">
        <f>IF(Q51="new",1.5,1)*(K51/10)*(1-(MIN(F51,180)/180))</f>
        <v>0.22800000000000006</v>
      </c>
      <c r="T51" t="str">
        <f t="shared" si="1"/>
        <v>Scenario 1: Strong Commitment</v>
      </c>
    </row>
    <row r="52" spans="1:20" x14ac:dyDescent="0.35">
      <c r="A52" t="s">
        <v>106</v>
      </c>
      <c r="B52" s="1">
        <v>44043</v>
      </c>
      <c r="C52">
        <v>2020</v>
      </c>
      <c r="D52">
        <v>7</v>
      </c>
      <c r="E52" t="s">
        <v>78</v>
      </c>
      <c r="F52">
        <v>107</v>
      </c>
      <c r="G52" t="s">
        <v>21</v>
      </c>
      <c r="H52" t="s">
        <v>30</v>
      </c>
      <c r="I52">
        <v>0</v>
      </c>
      <c r="J52">
        <v>0</v>
      </c>
      <c r="K52">
        <v>4.5999999999999996</v>
      </c>
      <c r="L52">
        <v>1398</v>
      </c>
      <c r="M52" t="s">
        <v>17</v>
      </c>
      <c r="N52" t="str">
        <f>IF(ISNUMBER(SEARCH("Streaming", M52)), "streaming", "cinema")</f>
        <v>streaming</v>
      </c>
      <c r="O52" t="str">
        <f>IF(I52=1, "non-original", "original")</f>
        <v>original</v>
      </c>
      <c r="P52" t="str">
        <f>IF(J52 = 1, "franchise", "non-franchise")</f>
        <v>non-franchise</v>
      </c>
      <c r="Q52" t="str">
        <f>IF(OR(I52 = 1,J52 =1), "old", "new")</f>
        <v>new</v>
      </c>
      <c r="R52">
        <f t="shared" si="0"/>
        <v>0.31145616119933056</v>
      </c>
      <c r="S52">
        <f>IF(Q52="new",1.5,1)*(K52/10)*(1-(MIN(F52,180)/180))</f>
        <v>0.27983333333333332</v>
      </c>
      <c r="T52" t="str">
        <f t="shared" si="1"/>
        <v>Scenario 2: Weak Commitment/Convenience</v>
      </c>
    </row>
    <row r="53" spans="1:20" x14ac:dyDescent="0.35">
      <c r="A53" t="s">
        <v>107</v>
      </c>
      <c r="B53" s="1">
        <v>44043</v>
      </c>
      <c r="C53">
        <v>2020</v>
      </c>
      <c r="D53">
        <v>7</v>
      </c>
      <c r="E53" t="s">
        <v>78</v>
      </c>
      <c r="F53">
        <v>149</v>
      </c>
      <c r="G53" t="s">
        <v>19</v>
      </c>
      <c r="H53" t="s">
        <v>30</v>
      </c>
      <c r="I53">
        <v>0</v>
      </c>
      <c r="J53">
        <v>0</v>
      </c>
      <c r="K53">
        <v>7.2</v>
      </c>
      <c r="L53">
        <v>22543</v>
      </c>
      <c r="M53" t="s">
        <v>17</v>
      </c>
      <c r="N53" t="str">
        <f>IF(ISNUMBER(SEARCH("Streaming", M53)), "streaming", "cinema")</f>
        <v>streaming</v>
      </c>
      <c r="O53" t="str">
        <f>IF(I53=1, "non-original", "original")</f>
        <v>original</v>
      </c>
      <c r="P53" t="str">
        <f>IF(J53 = 1, "franchise", "non-franchise")</f>
        <v>non-franchise</v>
      </c>
      <c r="Q53" t="str">
        <f>IF(OR(I53 = 1,J53 =1), "old", "new")</f>
        <v>new</v>
      </c>
      <c r="R53">
        <f t="shared" si="0"/>
        <v>0.60020356836201372</v>
      </c>
      <c r="S53">
        <f>IF(Q53="new",1.5,1)*(K53/10)*(1-(MIN(F53,180)/180))</f>
        <v>0.18600000000000008</v>
      </c>
      <c r="T53" t="str">
        <f t="shared" si="1"/>
        <v>Scenario 1: Strong Commitment</v>
      </c>
    </row>
    <row r="54" spans="1:20" x14ac:dyDescent="0.35">
      <c r="A54" t="s">
        <v>108</v>
      </c>
      <c r="B54" s="1">
        <v>44050</v>
      </c>
      <c r="C54">
        <v>2020</v>
      </c>
      <c r="D54">
        <v>8</v>
      </c>
      <c r="E54" t="s">
        <v>78</v>
      </c>
      <c r="F54">
        <v>93</v>
      </c>
      <c r="G54" t="s">
        <v>109</v>
      </c>
      <c r="H54" t="s">
        <v>27</v>
      </c>
      <c r="I54">
        <v>0</v>
      </c>
      <c r="J54">
        <v>0</v>
      </c>
      <c r="K54">
        <v>6.1</v>
      </c>
      <c r="L54">
        <v>17760</v>
      </c>
      <c r="M54" t="s">
        <v>17</v>
      </c>
      <c r="N54" t="str">
        <f>IF(ISNUMBER(SEARCH("Streaming", M54)), "streaming", "cinema")</f>
        <v>streaming</v>
      </c>
      <c r="O54" t="str">
        <f>IF(I54=1, "non-original", "original")</f>
        <v>original</v>
      </c>
      <c r="P54" t="str">
        <f>IF(J54 = 1, "franchise", "non-franchise")</f>
        <v>non-franchise</v>
      </c>
      <c r="Q54" t="str">
        <f>IF(OR(I54 = 1,J54 =1), "old", "new")</f>
        <v>new</v>
      </c>
      <c r="R54">
        <f t="shared" si="0"/>
        <v>0.36571049350132934</v>
      </c>
      <c r="S54">
        <f>IF(Q54="new",1.5,1)*(K54/10)*(1-(MIN(F54,180)/180))</f>
        <v>0.44224999999999998</v>
      </c>
      <c r="T54" t="str">
        <f t="shared" si="1"/>
        <v>Scenario 3: Strong Convenience</v>
      </c>
    </row>
    <row r="55" spans="1:20" x14ac:dyDescent="0.35">
      <c r="A55" t="s">
        <v>110</v>
      </c>
      <c r="B55" s="1">
        <v>44055</v>
      </c>
      <c r="C55">
        <v>2020</v>
      </c>
      <c r="D55">
        <v>8</v>
      </c>
      <c r="E55" t="s">
        <v>78</v>
      </c>
      <c r="F55">
        <v>112</v>
      </c>
      <c r="G55" t="s">
        <v>111</v>
      </c>
      <c r="H55" t="s">
        <v>30</v>
      </c>
      <c r="I55">
        <v>0</v>
      </c>
      <c r="J55">
        <v>0</v>
      </c>
      <c r="K55">
        <v>5.6</v>
      </c>
      <c r="L55">
        <v>36226</v>
      </c>
      <c r="M55" t="s">
        <v>17</v>
      </c>
      <c r="N55" t="str">
        <f>IF(ISNUMBER(SEARCH("Streaming", M55)), "streaming", "cinema")</f>
        <v>streaming</v>
      </c>
      <c r="O55" t="str">
        <f>IF(I55=1, "non-original", "original")</f>
        <v>original</v>
      </c>
      <c r="P55" t="str">
        <f>IF(J55 = 1, "franchise", "non-franchise")</f>
        <v>non-franchise</v>
      </c>
      <c r="Q55" t="str">
        <f>IF(OR(I55 = 1,J55 =1), "old", "new")</f>
        <v>new</v>
      </c>
      <c r="R55">
        <f t="shared" si="0"/>
        <v>0.47251111139355989</v>
      </c>
      <c r="S55">
        <f>IF(Q55="new",1.5,1)*(K55/10)*(1-(MIN(F55,180)/180))</f>
        <v>0.31733333333333325</v>
      </c>
      <c r="T55" t="str">
        <f t="shared" si="1"/>
        <v>Scenario 3: Strong Convenience</v>
      </c>
    </row>
    <row r="56" spans="1:20" x14ac:dyDescent="0.35">
      <c r="A56" t="s">
        <v>112</v>
      </c>
      <c r="B56" s="1">
        <v>44057</v>
      </c>
      <c r="C56">
        <v>2020</v>
      </c>
      <c r="D56">
        <v>8</v>
      </c>
      <c r="E56" t="s">
        <v>78</v>
      </c>
      <c r="F56">
        <v>113</v>
      </c>
      <c r="G56" t="s">
        <v>100</v>
      </c>
      <c r="H56" t="s">
        <v>24</v>
      </c>
      <c r="I56">
        <v>0</v>
      </c>
      <c r="J56">
        <v>0</v>
      </c>
      <c r="K56">
        <v>6</v>
      </c>
      <c r="L56">
        <v>103227</v>
      </c>
      <c r="M56" t="s">
        <v>17</v>
      </c>
      <c r="N56" t="str">
        <f>IF(ISNUMBER(SEARCH("Streaming", M56)), "streaming", "cinema")</f>
        <v>streaming</v>
      </c>
      <c r="O56" t="str">
        <f>IF(I56=1, "non-original", "original")</f>
        <v>original</v>
      </c>
      <c r="P56" t="str">
        <f>IF(J56 = 1, "franchise", "non-franchise")</f>
        <v>non-franchise</v>
      </c>
      <c r="Q56" t="str">
        <f>IF(OR(I56 = 1,J56 =1), "old", "new")</f>
        <v>new</v>
      </c>
      <c r="R56">
        <f t="shared" si="0"/>
        <v>0.52428488678360574</v>
      </c>
      <c r="S56">
        <f>IF(Q56="new",1.5,1)*(K56/10)*(1-(MIN(F56,180)/180))</f>
        <v>0.33499999999999996</v>
      </c>
      <c r="T56" t="str">
        <f t="shared" si="1"/>
        <v>Scenario 4: Hybrid Logic</v>
      </c>
    </row>
    <row r="57" spans="1:20" x14ac:dyDescent="0.35">
      <c r="A57" t="s">
        <v>113</v>
      </c>
      <c r="B57" s="1">
        <v>44057</v>
      </c>
      <c r="C57">
        <v>2020</v>
      </c>
      <c r="D57">
        <v>8</v>
      </c>
      <c r="E57" t="s">
        <v>78</v>
      </c>
      <c r="F57">
        <v>91</v>
      </c>
      <c r="G57" t="s">
        <v>114</v>
      </c>
      <c r="H57" t="s">
        <v>56</v>
      </c>
      <c r="I57">
        <v>0</v>
      </c>
      <c r="J57">
        <v>0</v>
      </c>
      <c r="K57">
        <v>5</v>
      </c>
      <c r="L57">
        <v>2100</v>
      </c>
      <c r="M57" t="s">
        <v>17</v>
      </c>
      <c r="N57" t="str">
        <f>IF(ISNUMBER(SEARCH("Streaming", M57)), "streaming", "cinema")</f>
        <v>streaming</v>
      </c>
      <c r="O57" t="str">
        <f>IF(I57=1, "non-original", "original")</f>
        <v>original</v>
      </c>
      <c r="P57" t="str">
        <f>IF(J57 = 1, "franchise", "non-franchise")</f>
        <v>non-franchise</v>
      </c>
      <c r="Q57" t="str">
        <f>IF(OR(I57 = 1,J57 =1), "old", "new")</f>
        <v>new</v>
      </c>
      <c r="R57">
        <f t="shared" si="0"/>
        <v>0.27976421183715111</v>
      </c>
      <c r="S57">
        <f>IF(Q57="new",1.5,1)*(K57/10)*(1-(MIN(F57,180)/180))</f>
        <v>0.37083333333333335</v>
      </c>
      <c r="T57" t="str">
        <f t="shared" si="1"/>
        <v>Scenario 3: Strong Convenience</v>
      </c>
    </row>
    <row r="58" spans="1:20" x14ac:dyDescent="0.35">
      <c r="A58" t="s">
        <v>115</v>
      </c>
      <c r="B58" s="1">
        <v>44060</v>
      </c>
      <c r="C58">
        <v>2020</v>
      </c>
      <c r="D58">
        <v>8</v>
      </c>
      <c r="E58" t="s">
        <v>78</v>
      </c>
      <c r="F58">
        <v>101</v>
      </c>
      <c r="G58" t="s">
        <v>116</v>
      </c>
      <c r="H58" t="s">
        <v>30</v>
      </c>
      <c r="I58">
        <v>0</v>
      </c>
      <c r="J58">
        <v>0</v>
      </c>
      <c r="K58">
        <v>6.2</v>
      </c>
      <c r="L58">
        <v>611</v>
      </c>
      <c r="M58" t="s">
        <v>17</v>
      </c>
      <c r="N58" t="str">
        <f>IF(ISNUMBER(SEARCH("Streaming", M58)), "streaming", "cinema")</f>
        <v>streaming</v>
      </c>
      <c r="O58" t="str">
        <f>IF(I58=1, "non-original", "original")</f>
        <v>original</v>
      </c>
      <c r="P58" t="str">
        <f>IF(J58 = 1, "franchise", "non-franchise")</f>
        <v>non-franchise</v>
      </c>
      <c r="Q58" t="str">
        <f>IF(OR(I58 = 1,J58 =1), "old", "new")</f>
        <v>new</v>
      </c>
      <c r="R58">
        <f t="shared" si="0"/>
        <v>0.26039424342348638</v>
      </c>
      <c r="S58">
        <f>IF(Q58="new",1.5,1)*(K58/10)*(1-(MIN(F58,180)/180))</f>
        <v>0.40816666666666662</v>
      </c>
      <c r="T58" t="str">
        <f t="shared" si="1"/>
        <v>Scenario 3: Strong Convenience</v>
      </c>
    </row>
    <row r="59" spans="1:20" x14ac:dyDescent="0.35">
      <c r="A59" t="s">
        <v>117</v>
      </c>
      <c r="B59" s="1">
        <v>44063</v>
      </c>
      <c r="C59">
        <v>2020</v>
      </c>
      <c r="D59">
        <v>8</v>
      </c>
      <c r="E59" t="s">
        <v>78</v>
      </c>
      <c r="F59">
        <v>99</v>
      </c>
      <c r="G59" t="s">
        <v>43</v>
      </c>
      <c r="H59" t="s">
        <v>30</v>
      </c>
      <c r="I59">
        <v>0</v>
      </c>
      <c r="J59">
        <v>0</v>
      </c>
      <c r="K59">
        <v>6.7</v>
      </c>
      <c r="L59">
        <v>4872</v>
      </c>
      <c r="M59" t="s">
        <v>17</v>
      </c>
      <c r="N59" t="str">
        <f>IF(ISNUMBER(SEARCH("Streaming", M59)), "streaming", "cinema")</f>
        <v>streaming</v>
      </c>
      <c r="O59" t="str">
        <f>IF(I59=1, "non-original", "original")</f>
        <v>original</v>
      </c>
      <c r="P59" t="str">
        <f>IF(J59 = 1, "franchise", "non-franchise")</f>
        <v>non-franchise</v>
      </c>
      <c r="Q59" t="str">
        <f>IF(OR(I59 = 1,J59 =1), "old", "new")</f>
        <v>new</v>
      </c>
      <c r="R59">
        <f t="shared" si="0"/>
        <v>0.33784236166099607</v>
      </c>
      <c r="S59">
        <f>IF(Q59="new",1.5,1)*(K59/10)*(1-(MIN(F59,180)/180))</f>
        <v>0.45224999999999999</v>
      </c>
      <c r="T59" t="str">
        <f t="shared" si="1"/>
        <v>Scenario 3: Strong Convenience</v>
      </c>
    </row>
    <row r="60" spans="1:20" x14ac:dyDescent="0.35">
      <c r="A60" t="s">
        <v>118</v>
      </c>
      <c r="B60" s="1">
        <v>44064</v>
      </c>
      <c r="C60">
        <v>2020</v>
      </c>
      <c r="D60">
        <v>8</v>
      </c>
      <c r="E60" t="s">
        <v>78</v>
      </c>
      <c r="F60">
        <v>103</v>
      </c>
      <c r="G60" t="s">
        <v>41</v>
      </c>
      <c r="H60" t="s">
        <v>27</v>
      </c>
      <c r="I60">
        <v>0</v>
      </c>
      <c r="J60">
        <v>0</v>
      </c>
      <c r="K60">
        <v>5.7</v>
      </c>
      <c r="L60">
        <v>13288</v>
      </c>
      <c r="M60" t="s">
        <v>17</v>
      </c>
      <c r="N60" t="str">
        <f>IF(ISNUMBER(SEARCH("Streaming", M60)), "streaming", "cinema")</f>
        <v>streaming</v>
      </c>
      <c r="O60" t="str">
        <f>IF(I60=1, "non-original", "original")</f>
        <v>original</v>
      </c>
      <c r="P60" t="str">
        <f>IF(J60 = 1, "franchise", "non-franchise")</f>
        <v>non-franchise</v>
      </c>
      <c r="Q60" t="str">
        <f>IF(OR(I60 = 1,J60 =1), "old", "new")</f>
        <v>new</v>
      </c>
      <c r="R60">
        <f t="shared" si="0"/>
        <v>0.39302614332599661</v>
      </c>
      <c r="S60">
        <f>IF(Q60="new",1.5,1)*(K60/10)*(1-(MIN(F60,180)/180))</f>
        <v>0.36575000000000008</v>
      </c>
      <c r="T60" t="str">
        <f t="shared" si="1"/>
        <v>Scenario 3: Strong Convenience</v>
      </c>
    </row>
    <row r="61" spans="1:20" x14ac:dyDescent="0.35">
      <c r="A61" t="s">
        <v>119</v>
      </c>
      <c r="B61" s="1">
        <v>44064</v>
      </c>
      <c r="C61">
        <v>2020</v>
      </c>
      <c r="D61">
        <v>8</v>
      </c>
      <c r="E61" t="s">
        <v>78</v>
      </c>
      <c r="F61">
        <v>98</v>
      </c>
      <c r="G61" t="s">
        <v>120</v>
      </c>
      <c r="H61" t="s">
        <v>30</v>
      </c>
      <c r="I61">
        <v>0</v>
      </c>
      <c r="J61">
        <v>0</v>
      </c>
      <c r="K61">
        <v>5.8</v>
      </c>
      <c r="L61">
        <v>6214</v>
      </c>
      <c r="M61" t="s">
        <v>17</v>
      </c>
      <c r="N61" t="str">
        <f>IF(ISNUMBER(SEARCH("Streaming", M61)), "streaming", "cinema")</f>
        <v>streaming</v>
      </c>
      <c r="O61" t="str">
        <f>IF(I61=1, "non-original", "original")</f>
        <v>original</v>
      </c>
      <c r="P61" t="str">
        <f>IF(J61 = 1, "franchise", "non-franchise")</f>
        <v>non-franchise</v>
      </c>
      <c r="Q61" t="str">
        <f>IF(OR(I61 = 1,J61 =1), "old", "new")</f>
        <v>new</v>
      </c>
      <c r="R61">
        <f t="shared" si="0"/>
        <v>0.34401223837108502</v>
      </c>
      <c r="S61">
        <f>IF(Q61="new",1.5,1)*(K61/10)*(1-(MIN(F61,180)/180))</f>
        <v>0.39633333333333332</v>
      </c>
      <c r="T61" t="str">
        <f t="shared" si="1"/>
        <v>Scenario 3: Strong Convenience</v>
      </c>
    </row>
    <row r="62" spans="1:20" x14ac:dyDescent="0.35">
      <c r="A62" t="s">
        <v>121</v>
      </c>
      <c r="B62" s="1">
        <v>44064</v>
      </c>
      <c r="C62">
        <v>2020</v>
      </c>
      <c r="D62">
        <v>8</v>
      </c>
      <c r="E62" t="s">
        <v>78</v>
      </c>
      <c r="F62">
        <v>81</v>
      </c>
      <c r="G62" t="s">
        <v>19</v>
      </c>
      <c r="H62" t="s">
        <v>30</v>
      </c>
      <c r="I62">
        <v>0</v>
      </c>
      <c r="J62">
        <v>0</v>
      </c>
      <c r="K62">
        <v>2.8</v>
      </c>
      <c r="L62">
        <v>765</v>
      </c>
      <c r="M62" t="s">
        <v>17</v>
      </c>
      <c r="N62" t="str">
        <f>IF(ISNUMBER(SEARCH("Streaming", M62)), "streaming", "cinema")</f>
        <v>streaming</v>
      </c>
      <c r="O62" t="str">
        <f>IF(I62=1, "non-original", "original")</f>
        <v>original</v>
      </c>
      <c r="P62" t="str">
        <f>IF(J62 = 1, "franchise", "non-franchise")</f>
        <v>non-franchise</v>
      </c>
      <c r="Q62" t="str">
        <f>IF(OR(I62 = 1,J62 =1), "old", "new")</f>
        <v>new</v>
      </c>
      <c r="R62">
        <f t="shared" si="0"/>
        <v>0.21614826677101412</v>
      </c>
      <c r="S62">
        <f>IF(Q62="new",1.5,1)*(K62/10)*(1-(MIN(F62,180)/180))</f>
        <v>0.23099999999999998</v>
      </c>
      <c r="T62" t="str">
        <f t="shared" si="1"/>
        <v>Scenario 2: Weak Commitment/Convenience</v>
      </c>
    </row>
    <row r="63" spans="1:20" x14ac:dyDescent="0.35">
      <c r="A63" t="s">
        <v>122</v>
      </c>
      <c r="B63" s="1">
        <v>44071</v>
      </c>
      <c r="C63">
        <v>2020</v>
      </c>
      <c r="D63">
        <v>8</v>
      </c>
      <c r="E63" t="s">
        <v>78</v>
      </c>
      <c r="F63">
        <v>93</v>
      </c>
      <c r="G63" t="s">
        <v>34</v>
      </c>
      <c r="H63" t="s">
        <v>56</v>
      </c>
      <c r="I63">
        <v>0</v>
      </c>
      <c r="J63">
        <v>0</v>
      </c>
      <c r="K63">
        <v>6.5</v>
      </c>
      <c r="L63">
        <v>5443</v>
      </c>
      <c r="M63" t="s">
        <v>17</v>
      </c>
      <c r="N63" t="str">
        <f>IF(ISNUMBER(SEARCH("Streaming", M63)), "streaming", "cinema")</f>
        <v>streaming</v>
      </c>
      <c r="O63" t="str">
        <f>IF(I63=1, "non-original", "original")</f>
        <v>original</v>
      </c>
      <c r="P63" t="str">
        <f>IF(J63 = 1, "franchise", "non-franchise")</f>
        <v>non-franchise</v>
      </c>
      <c r="Q63" t="str">
        <f>IF(OR(I63 = 1,J63 =1), "old", "new")</f>
        <v>new</v>
      </c>
      <c r="R63">
        <f t="shared" si="0"/>
        <v>0.32150926445674133</v>
      </c>
      <c r="S63">
        <f>IF(Q63="new",1.5,1)*(K63/10)*(1-(MIN(F63,180)/180))</f>
        <v>0.47125</v>
      </c>
      <c r="T63" t="str">
        <f t="shared" si="1"/>
        <v>Scenario 3: Strong Convenience</v>
      </c>
    </row>
    <row r="64" spans="1:20" x14ac:dyDescent="0.35">
      <c r="A64" t="s">
        <v>123</v>
      </c>
      <c r="B64" s="1">
        <v>44071</v>
      </c>
      <c r="C64">
        <v>2020</v>
      </c>
      <c r="D64">
        <v>8</v>
      </c>
      <c r="E64" t="s">
        <v>78</v>
      </c>
      <c r="F64">
        <v>96</v>
      </c>
      <c r="G64" t="s">
        <v>19</v>
      </c>
      <c r="H64" t="s">
        <v>30</v>
      </c>
      <c r="I64">
        <v>0</v>
      </c>
      <c r="J64">
        <v>0</v>
      </c>
      <c r="K64">
        <v>6.1</v>
      </c>
      <c r="L64">
        <v>8022</v>
      </c>
      <c r="M64" t="s">
        <v>17</v>
      </c>
      <c r="N64" t="str">
        <f>IF(ISNUMBER(SEARCH("Streaming", M64)), "streaming", "cinema")</f>
        <v>streaming</v>
      </c>
      <c r="O64" t="str">
        <f>IF(I64=1, "non-original", "original")</f>
        <v>original</v>
      </c>
      <c r="P64" t="str">
        <f>IF(J64 = 1, "franchise", "non-franchise")</f>
        <v>non-franchise</v>
      </c>
      <c r="Q64" t="str">
        <f>IF(OR(I64 = 1,J64 =1), "old", "new")</f>
        <v>new</v>
      </c>
      <c r="R64">
        <f t="shared" si="0"/>
        <v>0.34684461313390391</v>
      </c>
      <c r="S64">
        <f>IF(Q64="new",1.5,1)*(K64/10)*(1-(MIN(F64,180)/180))</f>
        <v>0.42700000000000005</v>
      </c>
      <c r="T64" t="str">
        <f t="shared" si="1"/>
        <v>Scenario 3: Strong Convenience</v>
      </c>
    </row>
    <row r="65" spans="1:20" x14ac:dyDescent="0.35">
      <c r="A65" t="s">
        <v>124</v>
      </c>
      <c r="B65" s="1">
        <v>44077</v>
      </c>
      <c r="C65">
        <v>2020</v>
      </c>
      <c r="D65">
        <v>9</v>
      </c>
      <c r="E65" t="s">
        <v>125</v>
      </c>
      <c r="F65">
        <v>91</v>
      </c>
      <c r="G65" t="s">
        <v>29</v>
      </c>
      <c r="H65" t="s">
        <v>56</v>
      </c>
      <c r="I65">
        <v>0</v>
      </c>
      <c r="J65">
        <v>0</v>
      </c>
      <c r="K65">
        <v>5.6</v>
      </c>
      <c r="L65">
        <v>20295</v>
      </c>
      <c r="M65" t="s">
        <v>17</v>
      </c>
      <c r="N65" t="str">
        <f>IF(ISNUMBER(SEARCH("Streaming", M65)), "streaming", "cinema")</f>
        <v>streaming</v>
      </c>
      <c r="O65" t="str">
        <f>IF(I65=1, "non-original", "original")</f>
        <v>original</v>
      </c>
      <c r="P65" t="str">
        <f>IF(J65 = 1, "franchise", "non-franchise")</f>
        <v>non-franchise</v>
      </c>
      <c r="Q65" t="str">
        <f>IF(OR(I65 = 1,J65 =1), "old", "new")</f>
        <v>new</v>
      </c>
      <c r="R65">
        <f t="shared" si="0"/>
        <v>0.36272539447981611</v>
      </c>
      <c r="S65">
        <f>IF(Q65="new",1.5,1)*(K65/10)*(1-(MIN(F65,180)/180))</f>
        <v>0.41533333333333328</v>
      </c>
      <c r="T65" t="str">
        <f t="shared" si="1"/>
        <v>Scenario 3: Strong Convenience</v>
      </c>
    </row>
    <row r="66" spans="1:20" x14ac:dyDescent="0.35">
      <c r="A66" t="s">
        <v>126</v>
      </c>
      <c r="B66" s="1">
        <v>44078</v>
      </c>
      <c r="C66">
        <v>2020</v>
      </c>
      <c r="D66">
        <v>9</v>
      </c>
      <c r="E66" t="s">
        <v>125</v>
      </c>
      <c r="F66">
        <v>134</v>
      </c>
      <c r="G66" t="s">
        <v>103</v>
      </c>
      <c r="H66" t="s">
        <v>24</v>
      </c>
      <c r="I66">
        <v>0</v>
      </c>
      <c r="J66">
        <v>0</v>
      </c>
      <c r="K66">
        <v>6.5</v>
      </c>
      <c r="L66">
        <v>109074</v>
      </c>
      <c r="M66" t="s">
        <v>17</v>
      </c>
      <c r="N66" t="str">
        <f>IF(ISNUMBER(SEARCH("Streaming", M66)), "streaming", "cinema")</f>
        <v>streaming</v>
      </c>
      <c r="O66" t="str">
        <f>IF(I66=1, "non-original", "original")</f>
        <v>original</v>
      </c>
      <c r="P66" t="str">
        <f>IF(J66 = 1, "franchise", "non-franchise")</f>
        <v>non-franchise</v>
      </c>
      <c r="Q66" t="str">
        <f>IF(OR(I66 = 1,J66 =1), "old", "new")</f>
        <v>new</v>
      </c>
      <c r="R66">
        <f t="shared" si="0"/>
        <v>0.62468546327786767</v>
      </c>
      <c r="S66">
        <f>IF(Q66="new",1.5,1)*(K66/10)*(1-(MIN(F66,180)/180))</f>
        <v>0.24916666666666668</v>
      </c>
      <c r="T66" t="str">
        <f t="shared" si="1"/>
        <v>Scenario 1: Strong Commitment</v>
      </c>
    </row>
    <row r="67" spans="1:20" x14ac:dyDescent="0.35">
      <c r="A67" t="s">
        <v>127</v>
      </c>
      <c r="B67" s="1">
        <v>44084</v>
      </c>
      <c r="C67">
        <v>2020</v>
      </c>
      <c r="D67">
        <v>9</v>
      </c>
      <c r="E67" t="s">
        <v>125</v>
      </c>
      <c r="F67">
        <v>102</v>
      </c>
      <c r="G67" t="s">
        <v>128</v>
      </c>
      <c r="H67" t="s">
        <v>24</v>
      </c>
      <c r="I67">
        <v>0</v>
      </c>
      <c r="J67">
        <v>1</v>
      </c>
      <c r="K67">
        <v>5.8</v>
      </c>
      <c r="L67">
        <v>59268</v>
      </c>
      <c r="M67" t="s">
        <v>17</v>
      </c>
      <c r="N67" t="str">
        <f>IF(ISNUMBER(SEARCH("Streaming", M67)), "streaming", "cinema")</f>
        <v>streaming</v>
      </c>
      <c r="O67" t="str">
        <f>IF(I67=1, "non-original", "original")</f>
        <v>original</v>
      </c>
      <c r="P67" t="str">
        <f>IF(J67 = 1, "franchise", "non-franchise")</f>
        <v>franchise</v>
      </c>
      <c r="Q67" t="str">
        <f>IF(OR(I67 = 1,J67 =1), "old", "new")</f>
        <v>old</v>
      </c>
      <c r="R67">
        <f t="shared" ref="R67:R130" si="2">IF(Q67="old",1.5,1)*(LOG10(L67)/LOG10(MAX($L$2:$L$1078)))*(MIN(F67,180)/180)</f>
        <v>0.67575455313750232</v>
      </c>
      <c r="S67">
        <f>IF(Q67="new",1.5,1)*(K67/10)*(1-(MIN(F67,180)/180))</f>
        <v>0.2513333333333333</v>
      </c>
      <c r="T67" t="str">
        <f t="shared" ref="T67:T130" si="3">IF(AND(R67&gt;=AVERAGE($R$2:$R$1078),S67&gt;=AVERAGE($S$2:$S$1078)),"Scenario 4: Hybrid Logic",
 IF(AND(R67&gt;=AVERAGE($R$2:$R$1078),S67&lt;AVERAGE($S$2:$S$1078)),"Scenario 1: Strong Commitment",
  IF(AND(R67&lt;AVERAGE($R$2:$R$1078),S67&gt;=AVERAGE($S$2:$S$1078)),"Scenario 3: Strong Convenience",
   "Scenario 2: Weak Commitment/Convenience")))</f>
        <v>Scenario 1: Strong Commitment</v>
      </c>
    </row>
    <row r="68" spans="1:20" x14ac:dyDescent="0.35">
      <c r="A68" t="s">
        <v>129</v>
      </c>
      <c r="B68" s="1">
        <v>44085</v>
      </c>
      <c r="C68">
        <v>2020</v>
      </c>
      <c r="D68">
        <v>9</v>
      </c>
      <c r="E68" t="s">
        <v>125</v>
      </c>
      <c r="F68">
        <v>103</v>
      </c>
      <c r="G68" t="s">
        <v>130</v>
      </c>
      <c r="H68" t="s">
        <v>30</v>
      </c>
      <c r="I68">
        <v>0</v>
      </c>
      <c r="J68">
        <v>0</v>
      </c>
      <c r="K68">
        <v>5.8</v>
      </c>
      <c r="L68">
        <v>1261</v>
      </c>
      <c r="M68" t="s">
        <v>17</v>
      </c>
      <c r="N68" t="str">
        <f>IF(ISNUMBER(SEARCH("Streaming", M68)), "streaming", "cinema")</f>
        <v>streaming</v>
      </c>
      <c r="O68" t="str">
        <f>IF(I68=1, "non-original", "original")</f>
        <v>original</v>
      </c>
      <c r="P68" t="str">
        <f>IF(J68 = 1, "franchise", "non-franchise")</f>
        <v>non-franchise</v>
      </c>
      <c r="Q68" t="str">
        <f>IF(OR(I68 = 1,J68 =1), "old", "new")</f>
        <v>new</v>
      </c>
      <c r="R68">
        <f t="shared" si="2"/>
        <v>0.29554359797345847</v>
      </c>
      <c r="S68">
        <f>IF(Q68="new",1.5,1)*(K68/10)*(1-(MIN(F68,180)/180))</f>
        <v>0.37216666666666665</v>
      </c>
      <c r="T68" t="str">
        <f t="shared" si="3"/>
        <v>Scenario 3: Strong Convenience</v>
      </c>
    </row>
    <row r="69" spans="1:20" x14ac:dyDescent="0.35">
      <c r="A69" t="s">
        <v>131</v>
      </c>
      <c r="B69" s="1">
        <v>44090</v>
      </c>
      <c r="C69">
        <v>2020</v>
      </c>
      <c r="D69">
        <v>9</v>
      </c>
      <c r="E69" t="s">
        <v>125</v>
      </c>
      <c r="F69">
        <v>138</v>
      </c>
      <c r="G69" t="s">
        <v>103</v>
      </c>
      <c r="H69" t="s">
        <v>24</v>
      </c>
      <c r="I69">
        <v>0</v>
      </c>
      <c r="J69">
        <v>0</v>
      </c>
      <c r="K69">
        <v>7.1</v>
      </c>
      <c r="L69">
        <v>167814</v>
      </c>
      <c r="M69" t="s">
        <v>17</v>
      </c>
      <c r="N69" t="str">
        <f>IF(ISNUMBER(SEARCH("Streaming", M69)), "streaming", "cinema")</f>
        <v>streaming</v>
      </c>
      <c r="O69" t="str">
        <f>IF(I69=1, "non-original", "original")</f>
        <v>original</v>
      </c>
      <c r="P69" t="str">
        <f>IF(J69 = 1, "franchise", "non-franchise")</f>
        <v>non-franchise</v>
      </c>
      <c r="Q69" t="str">
        <f>IF(OR(I69 = 1,J69 =1), "old", "new")</f>
        <v>new</v>
      </c>
      <c r="R69">
        <f t="shared" si="2"/>
        <v>0.6672269343571805</v>
      </c>
      <c r="S69">
        <f>IF(Q69="new",1.5,1)*(K69/10)*(1-(MIN(F69,180)/180))</f>
        <v>0.24849999999999994</v>
      </c>
      <c r="T69" t="str">
        <f t="shared" si="3"/>
        <v>Scenario 1: Strong Commitment</v>
      </c>
    </row>
    <row r="70" spans="1:20" x14ac:dyDescent="0.35">
      <c r="A70" t="s">
        <v>132</v>
      </c>
      <c r="B70" s="1">
        <v>44090</v>
      </c>
      <c r="C70">
        <v>2020</v>
      </c>
      <c r="D70">
        <v>9</v>
      </c>
      <c r="E70" t="s">
        <v>125</v>
      </c>
      <c r="F70">
        <v>94</v>
      </c>
      <c r="G70" t="s">
        <v>19</v>
      </c>
      <c r="H70" t="s">
        <v>30</v>
      </c>
      <c r="I70">
        <v>0</v>
      </c>
      <c r="J70">
        <v>0</v>
      </c>
      <c r="K70">
        <v>5.7</v>
      </c>
      <c r="L70">
        <v>16148</v>
      </c>
      <c r="M70" t="s">
        <v>17</v>
      </c>
      <c r="N70" t="str">
        <f>IF(ISNUMBER(SEARCH("Streaming", M70)), "streaming", "cinema")</f>
        <v>streaming</v>
      </c>
      <c r="O70" t="str">
        <f>IF(I70=1, "non-original", "original")</f>
        <v>original</v>
      </c>
      <c r="P70" t="str">
        <f>IF(J70 = 1, "franchise", "non-franchise")</f>
        <v>non-franchise</v>
      </c>
      <c r="Q70" t="str">
        <f>IF(OR(I70 = 1,J70 =1), "old", "new")</f>
        <v>new</v>
      </c>
      <c r="R70">
        <f t="shared" si="2"/>
        <v>0.36604822777298018</v>
      </c>
      <c r="S70">
        <f>IF(Q70="new",1.5,1)*(K70/10)*(1-(MIN(F70,180)/180))</f>
        <v>0.40850000000000003</v>
      </c>
      <c r="T70" t="str">
        <f t="shared" si="3"/>
        <v>Scenario 3: Strong Convenience</v>
      </c>
    </row>
    <row r="71" spans="1:20" x14ac:dyDescent="0.35">
      <c r="A71" t="s">
        <v>133</v>
      </c>
      <c r="B71" s="1">
        <v>44092</v>
      </c>
      <c r="C71">
        <v>2020</v>
      </c>
      <c r="D71">
        <v>9</v>
      </c>
      <c r="E71" t="s">
        <v>125</v>
      </c>
      <c r="F71">
        <v>97</v>
      </c>
      <c r="G71" t="s">
        <v>29</v>
      </c>
      <c r="H71" t="s">
        <v>30</v>
      </c>
      <c r="I71">
        <v>0</v>
      </c>
      <c r="J71">
        <v>0</v>
      </c>
      <c r="K71">
        <v>4.2</v>
      </c>
      <c r="L71">
        <v>702</v>
      </c>
      <c r="M71" t="s">
        <v>17</v>
      </c>
      <c r="N71" t="str">
        <f>IF(ISNUMBER(SEARCH("Streaming", M71)), "streaming", "cinema")</f>
        <v>streaming</v>
      </c>
      <c r="O71" t="str">
        <f>IF(I71=1, "non-original", "original")</f>
        <v>original</v>
      </c>
      <c r="P71" t="str">
        <f>IF(J71 = 1, "franchise", "non-franchise")</f>
        <v>non-franchise</v>
      </c>
      <c r="Q71" t="str">
        <f>IF(OR(I71 = 1,J71 =1), "old", "new")</f>
        <v>new</v>
      </c>
      <c r="R71">
        <f t="shared" si="2"/>
        <v>0.25549390183615117</v>
      </c>
      <c r="S71">
        <f>IF(Q71="new",1.5,1)*(K71/10)*(1-(MIN(F71,180)/180))</f>
        <v>0.29050000000000009</v>
      </c>
      <c r="T71" t="str">
        <f t="shared" si="3"/>
        <v>Scenario 2: Weak Commitment/Convenience</v>
      </c>
    </row>
    <row r="72" spans="1:20" x14ac:dyDescent="0.35">
      <c r="A72" t="s">
        <v>134</v>
      </c>
      <c r="B72" s="1">
        <v>44104</v>
      </c>
      <c r="C72">
        <v>2020</v>
      </c>
      <c r="D72">
        <v>9</v>
      </c>
      <c r="E72" t="s">
        <v>125</v>
      </c>
      <c r="F72">
        <v>122</v>
      </c>
      <c r="G72" t="s">
        <v>34</v>
      </c>
      <c r="H72" t="s">
        <v>24</v>
      </c>
      <c r="I72">
        <v>0</v>
      </c>
      <c r="J72">
        <v>0</v>
      </c>
      <c r="K72">
        <v>6.8</v>
      </c>
      <c r="L72">
        <v>19396</v>
      </c>
      <c r="M72" t="s">
        <v>17</v>
      </c>
      <c r="N72" t="str">
        <f>IF(ISNUMBER(SEARCH("Streaming", M72)), "streaming", "cinema")</f>
        <v>streaming</v>
      </c>
      <c r="O72" t="str">
        <f>IF(I72=1, "non-original", "original")</f>
        <v>original</v>
      </c>
      <c r="P72" t="str">
        <f>IF(J72 = 1, "franchise", "non-franchise")</f>
        <v>non-franchise</v>
      </c>
      <c r="Q72" t="str">
        <f>IF(OR(I72 = 1,J72 =1), "old", "new")</f>
        <v>new</v>
      </c>
      <c r="R72">
        <f t="shared" si="2"/>
        <v>0.48406972797948955</v>
      </c>
      <c r="S72">
        <f>IF(Q72="new",1.5,1)*(K72/10)*(1-(MIN(F72,180)/180))</f>
        <v>0.32866666666666666</v>
      </c>
      <c r="T72" t="str">
        <f t="shared" si="3"/>
        <v>Scenario 4: Hybrid Logic</v>
      </c>
    </row>
    <row r="73" spans="1:20" x14ac:dyDescent="0.35">
      <c r="A73" t="s">
        <v>135</v>
      </c>
      <c r="B73" s="1">
        <v>44105</v>
      </c>
      <c r="C73">
        <v>2020</v>
      </c>
      <c r="D73">
        <v>10</v>
      </c>
      <c r="E73" t="s">
        <v>125</v>
      </c>
      <c r="F73">
        <v>101</v>
      </c>
      <c r="G73" t="s">
        <v>41</v>
      </c>
      <c r="H73" t="s">
        <v>30</v>
      </c>
      <c r="I73">
        <v>0</v>
      </c>
      <c r="J73">
        <v>0</v>
      </c>
      <c r="K73">
        <v>4.0999999999999996</v>
      </c>
      <c r="L73">
        <v>297</v>
      </c>
      <c r="M73" t="s">
        <v>17</v>
      </c>
      <c r="N73" t="str">
        <f>IF(ISNUMBER(SEARCH("Streaming", M73)), "streaming", "cinema")</f>
        <v>streaming</v>
      </c>
      <c r="O73" t="str">
        <f>IF(I73=1, "non-original", "original")</f>
        <v>original</v>
      </c>
      <c r="P73" t="str">
        <f>IF(J73 = 1, "franchise", "non-franchise")</f>
        <v>non-franchise</v>
      </c>
      <c r="Q73" t="str">
        <f>IF(OR(I73 = 1,J73 =1), "old", "new")</f>
        <v>new</v>
      </c>
      <c r="R73">
        <f t="shared" si="2"/>
        <v>0.23111343164031828</v>
      </c>
      <c r="S73">
        <f>IF(Q73="new",1.5,1)*(K73/10)*(1-(MIN(F73,180)/180))</f>
        <v>0.26991666666666664</v>
      </c>
      <c r="T73" t="str">
        <f t="shared" si="3"/>
        <v>Scenario 2: Weak Commitment/Convenience</v>
      </c>
    </row>
    <row r="74" spans="1:20" x14ac:dyDescent="0.35">
      <c r="A74" t="s">
        <v>136</v>
      </c>
      <c r="B74" s="1">
        <v>44106</v>
      </c>
      <c r="C74">
        <v>2020</v>
      </c>
      <c r="D74">
        <v>10</v>
      </c>
      <c r="E74" t="s">
        <v>125</v>
      </c>
      <c r="F74">
        <v>114</v>
      </c>
      <c r="G74" t="s">
        <v>116</v>
      </c>
      <c r="H74" t="s">
        <v>30</v>
      </c>
      <c r="I74">
        <v>0</v>
      </c>
      <c r="J74">
        <v>0</v>
      </c>
      <c r="K74">
        <v>6.8</v>
      </c>
      <c r="L74">
        <v>8637</v>
      </c>
      <c r="M74" t="s">
        <v>17</v>
      </c>
      <c r="N74" t="str">
        <f>IF(ISNUMBER(SEARCH("Streaming", M74)), "streaming", "cinema")</f>
        <v>streaming</v>
      </c>
      <c r="O74" t="str">
        <f>IF(I74=1, "non-original", "original")</f>
        <v>original</v>
      </c>
      <c r="P74" t="str">
        <f>IF(J74 = 1, "franchise", "non-franchise")</f>
        <v>non-franchise</v>
      </c>
      <c r="Q74" t="str">
        <f>IF(OR(I74 = 1,J74 =1), "old", "new")</f>
        <v>new</v>
      </c>
      <c r="R74">
        <f t="shared" si="2"/>
        <v>0.41526224982790549</v>
      </c>
      <c r="S74">
        <f>IF(Q74="new",1.5,1)*(K74/10)*(1-(MIN(F74,180)/180))</f>
        <v>0.37400000000000005</v>
      </c>
      <c r="T74" t="str">
        <f t="shared" si="3"/>
        <v>Scenario 3: Strong Convenience</v>
      </c>
    </row>
    <row r="75" spans="1:20" x14ac:dyDescent="0.35">
      <c r="A75" t="s">
        <v>137</v>
      </c>
      <c r="B75" s="1">
        <v>44106</v>
      </c>
      <c r="C75">
        <v>2020</v>
      </c>
      <c r="D75">
        <v>10</v>
      </c>
      <c r="E75" t="s">
        <v>125</v>
      </c>
      <c r="F75">
        <v>93</v>
      </c>
      <c r="G75" t="s">
        <v>92</v>
      </c>
      <c r="H75" t="s">
        <v>30</v>
      </c>
      <c r="I75">
        <v>0</v>
      </c>
      <c r="J75">
        <v>0</v>
      </c>
      <c r="K75">
        <v>4.8</v>
      </c>
      <c r="L75">
        <v>5192</v>
      </c>
      <c r="M75" t="s">
        <v>17</v>
      </c>
      <c r="N75" t="str">
        <f>IF(ISNUMBER(SEARCH("Streaming", M75)), "streaming", "cinema")</f>
        <v>streaming</v>
      </c>
      <c r="O75" t="str">
        <f>IF(I75=1, "non-original", "original")</f>
        <v>original</v>
      </c>
      <c r="P75" t="str">
        <f>IF(J75 = 1, "franchise", "non-franchise")</f>
        <v>non-franchise</v>
      </c>
      <c r="Q75" t="str">
        <f>IF(OR(I75 = 1,J75 =1), "old", "new")</f>
        <v>new</v>
      </c>
      <c r="R75">
        <f t="shared" si="2"/>
        <v>0.31974470373195318</v>
      </c>
      <c r="S75">
        <f>IF(Q75="new",1.5,1)*(K75/10)*(1-(MIN(F75,180)/180))</f>
        <v>0.34799999999999998</v>
      </c>
      <c r="T75" t="str">
        <f t="shared" si="3"/>
        <v>Scenario 3: Strong Convenience</v>
      </c>
    </row>
    <row r="76" spans="1:20" x14ac:dyDescent="0.35">
      <c r="A76" t="s">
        <v>138</v>
      </c>
      <c r="B76" s="1">
        <v>44106</v>
      </c>
      <c r="C76">
        <v>2020</v>
      </c>
      <c r="D76">
        <v>10</v>
      </c>
      <c r="E76" t="s">
        <v>125</v>
      </c>
      <c r="F76">
        <v>85</v>
      </c>
      <c r="G76" t="s">
        <v>139</v>
      </c>
      <c r="H76" t="s">
        <v>27</v>
      </c>
      <c r="I76">
        <v>0</v>
      </c>
      <c r="J76">
        <v>0</v>
      </c>
      <c r="K76">
        <v>5.7</v>
      </c>
      <c r="L76">
        <v>11946</v>
      </c>
      <c r="M76" t="s">
        <v>17</v>
      </c>
      <c r="N76" t="str">
        <f>IF(ISNUMBER(SEARCH("Streaming", M76)), "streaming", "cinema")</f>
        <v>streaming</v>
      </c>
      <c r="O76" t="str">
        <f>IF(I76=1, "non-original", "original")</f>
        <v>original</v>
      </c>
      <c r="P76" t="str">
        <f>IF(J76 = 1, "franchise", "non-franchise")</f>
        <v>non-franchise</v>
      </c>
      <c r="Q76" t="str">
        <f>IF(OR(I76 = 1,J76 =1), "old", "new")</f>
        <v>new</v>
      </c>
      <c r="R76">
        <f t="shared" si="2"/>
        <v>0.32070505701812457</v>
      </c>
      <c r="S76">
        <f>IF(Q76="new",1.5,1)*(K76/10)*(1-(MIN(F76,180)/180))</f>
        <v>0.45125000000000004</v>
      </c>
      <c r="T76" t="str">
        <f t="shared" si="3"/>
        <v>Scenario 3: Strong Convenience</v>
      </c>
    </row>
    <row r="77" spans="1:20" x14ac:dyDescent="0.35">
      <c r="A77" t="s">
        <v>140</v>
      </c>
      <c r="B77" s="1">
        <v>44106</v>
      </c>
      <c r="C77">
        <v>2020</v>
      </c>
      <c r="D77">
        <v>10</v>
      </c>
      <c r="E77" t="s">
        <v>125</v>
      </c>
      <c r="F77">
        <v>111</v>
      </c>
      <c r="G77" t="s">
        <v>29</v>
      </c>
      <c r="H77" t="s">
        <v>30</v>
      </c>
      <c r="I77">
        <v>0</v>
      </c>
      <c r="J77">
        <v>0</v>
      </c>
      <c r="K77">
        <v>5.9</v>
      </c>
      <c r="L77">
        <v>1574</v>
      </c>
      <c r="M77" t="s">
        <v>17</v>
      </c>
      <c r="N77" t="str">
        <f>IF(ISNUMBER(SEARCH("Streaming", M77)), "streaming", "cinema")</f>
        <v>streaming</v>
      </c>
      <c r="O77" t="str">
        <f>IF(I77=1, "non-original", "original")</f>
        <v>original</v>
      </c>
      <c r="P77" t="str">
        <f>IF(J77 = 1, "franchise", "non-franchise")</f>
        <v>non-franchise</v>
      </c>
      <c r="Q77" t="str">
        <f>IF(OR(I77 = 1,J77 =1), "old", "new")</f>
        <v>new</v>
      </c>
      <c r="R77">
        <f t="shared" si="2"/>
        <v>0.32838909471754729</v>
      </c>
      <c r="S77">
        <f>IF(Q77="new",1.5,1)*(K77/10)*(1-(MIN(F77,180)/180))</f>
        <v>0.33925</v>
      </c>
      <c r="T77" t="str">
        <f t="shared" si="3"/>
        <v>Scenario 3: Strong Convenience</v>
      </c>
    </row>
    <row r="78" spans="1:20" x14ac:dyDescent="0.35">
      <c r="A78" t="s">
        <v>141</v>
      </c>
      <c r="B78" s="1">
        <v>44111</v>
      </c>
      <c r="C78">
        <v>2020</v>
      </c>
      <c r="D78">
        <v>10</v>
      </c>
      <c r="E78" t="s">
        <v>125</v>
      </c>
      <c r="F78">
        <v>103</v>
      </c>
      <c r="G78" t="s">
        <v>21</v>
      </c>
      <c r="H78" t="s">
        <v>27</v>
      </c>
      <c r="I78">
        <v>0</v>
      </c>
      <c r="J78">
        <v>0</v>
      </c>
      <c r="K78">
        <v>5.3</v>
      </c>
      <c r="L78">
        <v>67752</v>
      </c>
      <c r="M78" t="s">
        <v>17</v>
      </c>
      <c r="N78" t="str">
        <f>IF(ISNUMBER(SEARCH("Streaming", M78)), "streaming", "cinema")</f>
        <v>streaming</v>
      </c>
      <c r="O78" t="str">
        <f>IF(I78=1, "non-original", "original")</f>
        <v>original</v>
      </c>
      <c r="P78" t="str">
        <f>IF(J78 = 1, "franchise", "non-franchise")</f>
        <v>non-franchise</v>
      </c>
      <c r="Q78" t="str">
        <f>IF(OR(I78 = 1,J78 =1), "old", "new")</f>
        <v>new</v>
      </c>
      <c r="R78">
        <f t="shared" si="2"/>
        <v>0.46045768958750311</v>
      </c>
      <c r="S78">
        <f>IF(Q78="new",1.5,1)*(K78/10)*(1-(MIN(F78,180)/180))</f>
        <v>0.3400833333333334</v>
      </c>
      <c r="T78" t="str">
        <f t="shared" si="3"/>
        <v>Scenario 3: Strong Convenience</v>
      </c>
    </row>
    <row r="79" spans="1:20" x14ac:dyDescent="0.35">
      <c r="A79" t="s">
        <v>142</v>
      </c>
      <c r="B79" s="1">
        <v>44113</v>
      </c>
      <c r="C79">
        <v>2020</v>
      </c>
      <c r="D79">
        <v>10</v>
      </c>
      <c r="E79" t="s">
        <v>125</v>
      </c>
      <c r="F79">
        <v>125</v>
      </c>
      <c r="G79" t="s">
        <v>29</v>
      </c>
      <c r="H79" t="s">
        <v>30</v>
      </c>
      <c r="I79">
        <v>0</v>
      </c>
      <c r="J79">
        <v>0</v>
      </c>
      <c r="K79">
        <v>5.7</v>
      </c>
      <c r="L79">
        <v>6004</v>
      </c>
      <c r="M79" t="s">
        <v>17</v>
      </c>
      <c r="N79" t="str">
        <f>IF(ISNUMBER(SEARCH("Streaming", M79)), "streaming", "cinema")</f>
        <v>streaming</v>
      </c>
      <c r="O79" t="str">
        <f>IF(I79=1, "non-original", "original")</f>
        <v>original</v>
      </c>
      <c r="P79" t="str">
        <f>IF(J79 = 1, "franchise", "non-franchise")</f>
        <v>non-franchise</v>
      </c>
      <c r="Q79" t="str">
        <f>IF(OR(I79 = 1,J79 =1), "old", "new")</f>
        <v>new</v>
      </c>
      <c r="R79">
        <f t="shared" si="2"/>
        <v>0.43706405516547825</v>
      </c>
      <c r="S79">
        <f>IF(Q79="new",1.5,1)*(K79/10)*(1-(MIN(F79,180)/180))</f>
        <v>0.26125000000000004</v>
      </c>
      <c r="T79" t="str">
        <f t="shared" si="3"/>
        <v>Scenario 2: Weak Commitment/Convenience</v>
      </c>
    </row>
    <row r="80" spans="1:20" x14ac:dyDescent="0.35">
      <c r="A80" t="s">
        <v>143</v>
      </c>
      <c r="B80" s="1">
        <v>44113</v>
      </c>
      <c r="C80">
        <v>2020</v>
      </c>
      <c r="D80">
        <v>10</v>
      </c>
      <c r="E80" t="s">
        <v>125</v>
      </c>
      <c r="F80">
        <v>124</v>
      </c>
      <c r="G80" t="s">
        <v>116</v>
      </c>
      <c r="H80" t="s">
        <v>24</v>
      </c>
      <c r="I80">
        <v>0</v>
      </c>
      <c r="J80">
        <v>0</v>
      </c>
      <c r="K80">
        <v>7.2</v>
      </c>
      <c r="L80">
        <v>5781</v>
      </c>
      <c r="M80" t="s">
        <v>17</v>
      </c>
      <c r="N80" t="str">
        <f>IF(ISNUMBER(SEARCH("Streaming", M80)), "streaming", "cinema")</f>
        <v>streaming</v>
      </c>
      <c r="O80" t="str">
        <f>IF(I80=1, "non-original", "original")</f>
        <v>original</v>
      </c>
      <c r="P80" t="str">
        <f>IF(J80 = 1, "franchise", "non-franchise")</f>
        <v>non-franchise</v>
      </c>
      <c r="Q80" t="str">
        <f>IF(OR(I80 = 1,J80 =1), "old", "new")</f>
        <v>new</v>
      </c>
      <c r="R80">
        <f t="shared" si="2"/>
        <v>0.43168135211039138</v>
      </c>
      <c r="S80">
        <f>IF(Q80="new",1.5,1)*(K80/10)*(1-(MIN(F80,180)/180))</f>
        <v>0.33600000000000002</v>
      </c>
      <c r="T80" t="str">
        <f t="shared" si="3"/>
        <v>Scenario 3: Strong Convenience</v>
      </c>
    </row>
    <row r="81" spans="1:20" x14ac:dyDescent="0.35">
      <c r="A81" t="s">
        <v>144</v>
      </c>
      <c r="B81" s="1">
        <v>44119</v>
      </c>
      <c r="C81">
        <v>2020</v>
      </c>
      <c r="D81">
        <v>10</v>
      </c>
      <c r="E81" t="s">
        <v>125</v>
      </c>
      <c r="F81">
        <v>98</v>
      </c>
      <c r="G81" t="s">
        <v>145</v>
      </c>
      <c r="H81" t="s">
        <v>56</v>
      </c>
      <c r="I81">
        <v>0</v>
      </c>
      <c r="J81">
        <v>0</v>
      </c>
      <c r="K81">
        <v>5.4</v>
      </c>
      <c r="L81">
        <v>5377</v>
      </c>
      <c r="M81" t="s">
        <v>17</v>
      </c>
      <c r="N81" t="str">
        <f>IF(ISNUMBER(SEARCH("Streaming", M81)), "streaming", "cinema")</f>
        <v>streaming</v>
      </c>
      <c r="O81" t="str">
        <f>IF(I81=1, "non-original", "original")</f>
        <v>original</v>
      </c>
      <c r="P81" t="str">
        <f>IF(J81 = 1, "franchise", "non-franchise")</f>
        <v>non-franchise</v>
      </c>
      <c r="Q81" t="str">
        <f>IF(OR(I81 = 1,J81 =1), "old", "new")</f>
        <v>new</v>
      </c>
      <c r="R81">
        <f t="shared" si="2"/>
        <v>0.3383142181633752</v>
      </c>
      <c r="S81">
        <f>IF(Q81="new",1.5,1)*(K81/10)*(1-(MIN(F81,180)/180))</f>
        <v>0.36900000000000005</v>
      </c>
      <c r="T81" t="str">
        <f t="shared" si="3"/>
        <v>Scenario 3: Strong Convenience</v>
      </c>
    </row>
    <row r="82" spans="1:20" x14ac:dyDescent="0.35">
      <c r="A82" t="s">
        <v>146</v>
      </c>
      <c r="B82" s="1">
        <v>44119</v>
      </c>
      <c r="C82">
        <v>2020</v>
      </c>
      <c r="D82">
        <v>10</v>
      </c>
      <c r="E82" t="s">
        <v>125</v>
      </c>
      <c r="F82">
        <v>86</v>
      </c>
      <c r="G82" t="s">
        <v>147</v>
      </c>
      <c r="H82" t="s">
        <v>30</v>
      </c>
      <c r="I82">
        <v>0</v>
      </c>
      <c r="J82">
        <v>0</v>
      </c>
      <c r="K82">
        <v>4.8</v>
      </c>
      <c r="L82">
        <v>250</v>
      </c>
      <c r="M82" t="s">
        <v>17</v>
      </c>
      <c r="N82" t="str">
        <f>IF(ISNUMBER(SEARCH("Streaming", M82)), "streaming", "cinema")</f>
        <v>streaming</v>
      </c>
      <c r="O82" t="str">
        <f>IF(I82=1, "non-original", "original")</f>
        <v>original</v>
      </c>
      <c r="P82" t="str">
        <f>IF(J82 = 1, "franchise", "non-franchise")</f>
        <v>non-franchise</v>
      </c>
      <c r="Q82" t="str">
        <f>IF(OR(I82 = 1,J82 =1), "old", "new")</f>
        <v>new</v>
      </c>
      <c r="R82">
        <f t="shared" si="2"/>
        <v>0.19083552945213816</v>
      </c>
      <c r="S82">
        <f>IF(Q82="new",1.5,1)*(K82/10)*(1-(MIN(F82,180)/180))</f>
        <v>0.37599999999999995</v>
      </c>
      <c r="T82" t="str">
        <f t="shared" si="3"/>
        <v>Scenario 3: Strong Convenience</v>
      </c>
    </row>
    <row r="83" spans="1:20" x14ac:dyDescent="0.35">
      <c r="A83" t="s">
        <v>148</v>
      </c>
      <c r="B83" s="1">
        <v>44120</v>
      </c>
      <c r="C83">
        <v>2020</v>
      </c>
      <c r="D83">
        <v>10</v>
      </c>
      <c r="E83" t="s">
        <v>125</v>
      </c>
      <c r="F83">
        <v>130</v>
      </c>
      <c r="G83" t="s">
        <v>149</v>
      </c>
      <c r="H83" t="s">
        <v>24</v>
      </c>
      <c r="I83">
        <v>0</v>
      </c>
      <c r="J83">
        <v>0</v>
      </c>
      <c r="K83">
        <v>7.7</v>
      </c>
      <c r="L83">
        <v>204413</v>
      </c>
      <c r="M83" t="s">
        <v>17</v>
      </c>
      <c r="N83" t="str">
        <f>IF(ISNUMBER(SEARCH("Streaming", M83)), "streaming", "cinema")</f>
        <v>streaming</v>
      </c>
      <c r="O83" t="str">
        <f>IF(I83=1, "non-original", "original")</f>
        <v>original</v>
      </c>
      <c r="P83" t="str">
        <f>IF(J83 = 1, "franchise", "non-franchise")</f>
        <v>non-franchise</v>
      </c>
      <c r="Q83" t="str">
        <f>IF(OR(I83 = 1,J83 =1), "old", "new")</f>
        <v>new</v>
      </c>
      <c r="R83">
        <f t="shared" si="2"/>
        <v>0.6388544595063167</v>
      </c>
      <c r="S83">
        <f>IF(Q83="new",1.5,1)*(K83/10)*(1-(MIN(F83,180)/180))</f>
        <v>0.32083333333333336</v>
      </c>
      <c r="T83" t="str">
        <f t="shared" si="3"/>
        <v>Scenario 4: Hybrid Logic</v>
      </c>
    </row>
    <row r="84" spans="1:20" x14ac:dyDescent="0.35">
      <c r="A84" t="s">
        <v>150</v>
      </c>
      <c r="B84" s="1">
        <v>44125</v>
      </c>
      <c r="C84">
        <v>2020</v>
      </c>
      <c r="D84">
        <v>10</v>
      </c>
      <c r="E84" t="s">
        <v>125</v>
      </c>
      <c r="F84">
        <v>123</v>
      </c>
      <c r="G84" t="s">
        <v>151</v>
      </c>
      <c r="H84" t="s">
        <v>27</v>
      </c>
      <c r="I84">
        <v>1</v>
      </c>
      <c r="J84">
        <v>1</v>
      </c>
      <c r="K84">
        <v>6.1</v>
      </c>
      <c r="L84">
        <v>50120</v>
      </c>
      <c r="M84" t="s">
        <v>17</v>
      </c>
      <c r="N84" t="str">
        <f>IF(ISNUMBER(SEARCH("Streaming", M84)), "streaming", "cinema")</f>
        <v>streaming</v>
      </c>
      <c r="O84" t="str">
        <f>IF(I84=1, "non-original", "original")</f>
        <v>non-original</v>
      </c>
      <c r="P84" t="str">
        <f>IF(J84 = 1, "franchise", "non-franchise")</f>
        <v>franchise</v>
      </c>
      <c r="Q84" t="str">
        <f>IF(OR(I84 = 1,J84 =1), "old", "new")</f>
        <v>old</v>
      </c>
      <c r="R84">
        <f t="shared" si="2"/>
        <v>0.80244951655682051</v>
      </c>
      <c r="S84">
        <f>IF(Q84="new",1.5,1)*(K84/10)*(1-(MIN(F84,180)/180))</f>
        <v>0.19316666666666665</v>
      </c>
      <c r="T84" t="str">
        <f t="shared" si="3"/>
        <v>Scenario 1: Strong Commitment</v>
      </c>
    </row>
    <row r="85" spans="1:20" x14ac:dyDescent="0.35">
      <c r="A85" t="s">
        <v>152</v>
      </c>
      <c r="B85" s="1">
        <v>44126</v>
      </c>
      <c r="C85">
        <v>2020</v>
      </c>
      <c r="D85">
        <v>10</v>
      </c>
      <c r="E85" t="s">
        <v>125</v>
      </c>
      <c r="F85">
        <v>86</v>
      </c>
      <c r="G85" t="s">
        <v>92</v>
      </c>
      <c r="H85" t="s">
        <v>30</v>
      </c>
      <c r="I85">
        <v>0</v>
      </c>
      <c r="J85">
        <v>0</v>
      </c>
      <c r="K85">
        <v>5.2</v>
      </c>
      <c r="L85">
        <v>13446</v>
      </c>
      <c r="M85" t="s">
        <v>17</v>
      </c>
      <c r="N85" t="str">
        <f>IF(ISNUMBER(SEARCH("Streaming", M85)), "streaming", "cinema")</f>
        <v>streaming</v>
      </c>
      <c r="O85" t="str">
        <f>IF(I85=1, "non-original", "original")</f>
        <v>original</v>
      </c>
      <c r="P85" t="str">
        <f>IF(J85 = 1, "franchise", "non-franchise")</f>
        <v>non-franchise</v>
      </c>
      <c r="Q85" t="str">
        <f>IF(OR(I85 = 1,J85 =1), "old", "new")</f>
        <v>new</v>
      </c>
      <c r="R85">
        <f t="shared" si="2"/>
        <v>0.32856628964942403</v>
      </c>
      <c r="S85">
        <f>IF(Q85="new",1.5,1)*(K85/10)*(1-(MIN(F85,180)/180))</f>
        <v>0.40733333333333327</v>
      </c>
      <c r="T85" t="str">
        <f t="shared" si="3"/>
        <v>Scenario 3: Strong Convenience</v>
      </c>
    </row>
    <row r="86" spans="1:20" x14ac:dyDescent="0.35">
      <c r="A86" t="s">
        <v>153</v>
      </c>
      <c r="B86" s="1">
        <v>44127</v>
      </c>
      <c r="C86">
        <v>2020</v>
      </c>
      <c r="D86">
        <v>10</v>
      </c>
      <c r="E86" t="s">
        <v>125</v>
      </c>
      <c r="F86">
        <v>100</v>
      </c>
      <c r="G86" t="s">
        <v>154</v>
      </c>
      <c r="H86" t="s">
        <v>56</v>
      </c>
      <c r="I86">
        <v>0</v>
      </c>
      <c r="J86">
        <v>0</v>
      </c>
      <c r="K86">
        <v>6.3</v>
      </c>
      <c r="L86">
        <v>26847</v>
      </c>
      <c r="M86" t="s">
        <v>17</v>
      </c>
      <c r="N86" t="str">
        <f>IF(ISNUMBER(SEARCH("Streaming", M86)), "streaming", "cinema")</f>
        <v>streaming</v>
      </c>
      <c r="O86" t="str">
        <f>IF(I86=1, "non-original", "original")</f>
        <v>original</v>
      </c>
      <c r="P86" t="str">
        <f>IF(J86 = 1, "franchise", "non-franchise")</f>
        <v>non-franchise</v>
      </c>
      <c r="Q86" t="str">
        <f>IF(OR(I86 = 1,J86 =1), "old", "new")</f>
        <v>new</v>
      </c>
      <c r="R86">
        <f t="shared" si="2"/>
        <v>0.40984338336429743</v>
      </c>
      <c r="S86">
        <f>IF(Q86="new",1.5,1)*(K86/10)*(1-(MIN(F86,180)/180))</f>
        <v>0.42</v>
      </c>
      <c r="T86" t="str">
        <f t="shared" si="3"/>
        <v>Scenario 3: Strong Convenience</v>
      </c>
    </row>
    <row r="87" spans="1:20" x14ac:dyDescent="0.35">
      <c r="A87" t="s">
        <v>155</v>
      </c>
      <c r="B87" s="1">
        <v>44132</v>
      </c>
      <c r="C87">
        <v>2020</v>
      </c>
      <c r="D87">
        <v>10</v>
      </c>
      <c r="E87" t="s">
        <v>125</v>
      </c>
      <c r="F87">
        <v>104</v>
      </c>
      <c r="G87" t="s">
        <v>156</v>
      </c>
      <c r="H87" t="s">
        <v>30</v>
      </c>
      <c r="I87">
        <v>0</v>
      </c>
      <c r="J87">
        <v>0</v>
      </c>
      <c r="K87">
        <v>6.2</v>
      </c>
      <c r="L87">
        <v>87585</v>
      </c>
      <c r="M87" t="s">
        <v>17</v>
      </c>
      <c r="N87" t="str">
        <f>IF(ISNUMBER(SEARCH("Streaming", M87)), "streaming", "cinema")</f>
        <v>streaming</v>
      </c>
      <c r="O87" t="str">
        <f>IF(I87=1, "non-original", "original")</f>
        <v>original</v>
      </c>
      <c r="P87" t="str">
        <f>IF(J87 = 1, "franchise", "non-franchise")</f>
        <v>non-franchise</v>
      </c>
      <c r="Q87" t="str">
        <f>IF(OR(I87 = 1,J87 =1), "old", "new")</f>
        <v>new</v>
      </c>
      <c r="R87">
        <f t="shared" si="2"/>
        <v>0.47565965020366913</v>
      </c>
      <c r="S87">
        <f>IF(Q87="new",1.5,1)*(K87/10)*(1-(MIN(F87,180)/180))</f>
        <v>0.39266666666666666</v>
      </c>
      <c r="T87" t="str">
        <f t="shared" si="3"/>
        <v>Scenario 3: Strong Convenience</v>
      </c>
    </row>
    <row r="88" spans="1:20" x14ac:dyDescent="0.35">
      <c r="A88" t="s">
        <v>157</v>
      </c>
      <c r="B88" s="1">
        <v>44132</v>
      </c>
      <c r="C88">
        <v>2020</v>
      </c>
      <c r="D88">
        <v>10</v>
      </c>
      <c r="E88" t="s">
        <v>125</v>
      </c>
      <c r="F88">
        <v>103</v>
      </c>
      <c r="G88" t="s">
        <v>92</v>
      </c>
      <c r="H88" t="s">
        <v>30</v>
      </c>
      <c r="I88">
        <v>0</v>
      </c>
      <c r="J88">
        <v>0</v>
      </c>
      <c r="K88">
        <v>4.9000000000000004</v>
      </c>
      <c r="L88">
        <v>15952</v>
      </c>
      <c r="M88" t="s">
        <v>17</v>
      </c>
      <c r="N88" t="str">
        <f>IF(ISNUMBER(SEARCH("Streaming", M88)), "streaming", "cinema")</f>
        <v>streaming</v>
      </c>
      <c r="O88" t="str">
        <f>IF(I88=1, "non-original", "original")</f>
        <v>original</v>
      </c>
      <c r="P88" t="str">
        <f>IF(J88 = 1, "franchise", "non-franchise")</f>
        <v>non-franchise</v>
      </c>
      <c r="Q88" t="str">
        <f>IF(OR(I88 = 1,J88 =1), "old", "new")</f>
        <v>new</v>
      </c>
      <c r="R88">
        <f t="shared" si="2"/>
        <v>0.40058988771898929</v>
      </c>
      <c r="S88">
        <f>IF(Q88="new",1.5,1)*(K88/10)*(1-(MIN(F88,180)/180))</f>
        <v>0.31441666666666673</v>
      </c>
      <c r="T88" t="str">
        <f t="shared" si="3"/>
        <v>Scenario 2: Weak Commitment/Convenience</v>
      </c>
    </row>
    <row r="89" spans="1:20" x14ac:dyDescent="0.35">
      <c r="A89" t="s">
        <v>158</v>
      </c>
      <c r="B89" s="1">
        <v>44134</v>
      </c>
      <c r="C89">
        <v>2020</v>
      </c>
      <c r="D89">
        <v>10</v>
      </c>
      <c r="E89" t="s">
        <v>125</v>
      </c>
      <c r="F89">
        <v>93</v>
      </c>
      <c r="G89" t="s">
        <v>19</v>
      </c>
      <c r="H89" t="s">
        <v>16</v>
      </c>
      <c r="I89">
        <v>0</v>
      </c>
      <c r="J89">
        <v>0</v>
      </c>
      <c r="K89">
        <v>6.4</v>
      </c>
      <c r="L89">
        <v>54202</v>
      </c>
      <c r="M89" t="s">
        <v>17</v>
      </c>
      <c r="N89" t="str">
        <f>IF(ISNUMBER(SEARCH("Streaming", M89)), "streaming", "cinema")</f>
        <v>streaming</v>
      </c>
      <c r="O89" t="str">
        <f>IF(I89=1, "non-original", "original")</f>
        <v>original</v>
      </c>
      <c r="P89" t="str">
        <f>IF(J89 = 1, "franchise", "non-franchise")</f>
        <v>non-franchise</v>
      </c>
      <c r="Q89" t="str">
        <f>IF(OR(I89 = 1,J89 =1), "old", "new")</f>
        <v>new</v>
      </c>
      <c r="R89">
        <f t="shared" si="2"/>
        <v>0.40741318136409699</v>
      </c>
      <c r="S89">
        <f>IF(Q89="new",1.5,1)*(K89/10)*(1-(MIN(F89,180)/180))</f>
        <v>0.46399999999999991</v>
      </c>
      <c r="T89" t="str">
        <f t="shared" si="3"/>
        <v>Scenario 3: Strong Convenience</v>
      </c>
    </row>
    <row r="90" spans="1:20" x14ac:dyDescent="0.35">
      <c r="A90" t="s">
        <v>159</v>
      </c>
      <c r="B90" s="1">
        <v>44134</v>
      </c>
      <c r="C90">
        <v>2020</v>
      </c>
      <c r="D90">
        <v>10</v>
      </c>
      <c r="E90" t="s">
        <v>125</v>
      </c>
      <c r="F90">
        <v>90</v>
      </c>
      <c r="G90" t="s">
        <v>92</v>
      </c>
      <c r="H90" t="s">
        <v>30</v>
      </c>
      <c r="I90">
        <v>0</v>
      </c>
      <c r="J90">
        <v>0</v>
      </c>
      <c r="K90">
        <v>3.7</v>
      </c>
      <c r="L90">
        <v>1521</v>
      </c>
      <c r="M90" t="s">
        <v>17</v>
      </c>
      <c r="N90" t="str">
        <f>IF(ISNUMBER(SEARCH("Streaming", M90)), "streaming", "cinema")</f>
        <v>streaming</v>
      </c>
      <c r="O90" t="str">
        <f>IF(I90=1, "non-original", "original")</f>
        <v>original</v>
      </c>
      <c r="P90" t="str">
        <f>IF(J90 = 1, "franchise", "non-franchise")</f>
        <v>non-franchise</v>
      </c>
      <c r="Q90" t="str">
        <f>IF(OR(I90 = 1,J90 =1), "old", "new")</f>
        <v>new</v>
      </c>
      <c r="R90">
        <f t="shared" si="2"/>
        <v>0.26502252613604915</v>
      </c>
      <c r="S90">
        <f>IF(Q90="new",1.5,1)*(K90/10)*(1-(MIN(F90,180)/180))</f>
        <v>0.27749999999999997</v>
      </c>
      <c r="T90" t="str">
        <f t="shared" si="3"/>
        <v>Scenario 2: Weak Commitment/Convenience</v>
      </c>
    </row>
    <row r="91" spans="1:20" x14ac:dyDescent="0.35">
      <c r="A91" t="s">
        <v>160</v>
      </c>
      <c r="B91" s="1">
        <v>44134</v>
      </c>
      <c r="C91">
        <v>2020</v>
      </c>
      <c r="D91">
        <v>10</v>
      </c>
      <c r="E91" t="s">
        <v>125</v>
      </c>
      <c r="F91">
        <v>116</v>
      </c>
      <c r="G91" t="s">
        <v>70</v>
      </c>
      <c r="H91" t="s">
        <v>27</v>
      </c>
      <c r="I91">
        <v>0</v>
      </c>
      <c r="J91">
        <v>0</v>
      </c>
      <c r="K91">
        <v>6.1</v>
      </c>
      <c r="L91">
        <v>10719</v>
      </c>
      <c r="M91" t="s">
        <v>17</v>
      </c>
      <c r="N91" t="str">
        <f>IF(ISNUMBER(SEARCH("Streaming", M91)), "streaming", "cinema")</f>
        <v>streaming</v>
      </c>
      <c r="O91" t="str">
        <f>IF(I91=1, "non-original", "original")</f>
        <v>original</v>
      </c>
      <c r="P91" t="str">
        <f>IF(J91 = 1, "franchise", "non-franchise")</f>
        <v>non-franchise</v>
      </c>
      <c r="Q91" t="str">
        <f>IF(OR(I91 = 1,J91 =1), "old", "new")</f>
        <v>new</v>
      </c>
      <c r="R91">
        <f t="shared" si="2"/>
        <v>0.43261555349020675</v>
      </c>
      <c r="S91">
        <f>IF(Q91="new",1.5,1)*(K91/10)*(1-(MIN(F91,180)/180))</f>
        <v>0.32533333333333331</v>
      </c>
      <c r="T91" t="str">
        <f t="shared" si="3"/>
        <v>Scenario 3: Strong Convenience</v>
      </c>
    </row>
    <row r="92" spans="1:20" x14ac:dyDescent="0.35">
      <c r="A92" t="s">
        <v>161</v>
      </c>
      <c r="B92" s="1">
        <v>44140</v>
      </c>
      <c r="C92">
        <v>2020</v>
      </c>
      <c r="D92">
        <v>11</v>
      </c>
      <c r="E92" t="s">
        <v>125</v>
      </c>
      <c r="F92">
        <v>96</v>
      </c>
      <c r="G92" t="s">
        <v>156</v>
      </c>
      <c r="H92" t="s">
        <v>30</v>
      </c>
      <c r="I92">
        <v>0</v>
      </c>
      <c r="J92">
        <v>0</v>
      </c>
      <c r="K92">
        <v>5.9</v>
      </c>
      <c r="L92">
        <v>13997</v>
      </c>
      <c r="M92" t="s">
        <v>17</v>
      </c>
      <c r="N92" t="str">
        <f>IF(ISNUMBER(SEARCH("Streaming", M92)), "streaming", "cinema")</f>
        <v>streaming</v>
      </c>
      <c r="O92" t="str">
        <f>IF(I92=1, "non-original", "original")</f>
        <v>original</v>
      </c>
      <c r="P92" t="str">
        <f>IF(J92 = 1, "franchise", "non-franchise")</f>
        <v>non-franchise</v>
      </c>
      <c r="Q92" t="str">
        <f>IF(OR(I92 = 1,J92 =1), "old", "new")</f>
        <v>new</v>
      </c>
      <c r="R92">
        <f t="shared" si="2"/>
        <v>0.36832115365096796</v>
      </c>
      <c r="S92">
        <f>IF(Q92="new",1.5,1)*(K92/10)*(1-(MIN(F92,180)/180))</f>
        <v>0.41300000000000009</v>
      </c>
      <c r="T92" t="str">
        <f t="shared" si="3"/>
        <v>Scenario 3: Strong Convenience</v>
      </c>
    </row>
    <row r="93" spans="1:20" x14ac:dyDescent="0.35">
      <c r="A93" t="s">
        <v>162</v>
      </c>
      <c r="B93" s="1">
        <v>44141</v>
      </c>
      <c r="C93">
        <v>2020</v>
      </c>
      <c r="D93">
        <v>11</v>
      </c>
      <c r="E93" t="s">
        <v>125</v>
      </c>
      <c r="F93">
        <v>151</v>
      </c>
      <c r="G93" t="s">
        <v>34</v>
      </c>
      <c r="H93" t="s">
        <v>30</v>
      </c>
      <c r="I93">
        <v>0</v>
      </c>
      <c r="J93">
        <v>0</v>
      </c>
      <c r="K93">
        <v>6.1</v>
      </c>
      <c r="L93">
        <v>1123</v>
      </c>
      <c r="M93" t="s">
        <v>17</v>
      </c>
      <c r="N93" t="str">
        <f>IF(ISNUMBER(SEARCH("Streaming", M93)), "streaming", "cinema")</f>
        <v>streaming</v>
      </c>
      <c r="O93" t="str">
        <f>IF(I93=1, "non-original", "original")</f>
        <v>original</v>
      </c>
      <c r="P93" t="str">
        <f>IF(J93 = 1, "franchise", "non-franchise")</f>
        <v>non-franchise</v>
      </c>
      <c r="Q93" t="str">
        <f>IF(OR(I93 = 1,J93 =1), "old", "new")</f>
        <v>new</v>
      </c>
      <c r="R93">
        <f t="shared" si="2"/>
        <v>0.42623913961404591</v>
      </c>
      <c r="S93">
        <f>IF(Q93="new",1.5,1)*(K93/10)*(1-(MIN(F93,180)/180))</f>
        <v>0.14741666666666667</v>
      </c>
      <c r="T93" t="str">
        <f t="shared" si="3"/>
        <v>Scenario 2: Weak Commitment/Convenience</v>
      </c>
    </row>
    <row r="94" spans="1:20" x14ac:dyDescent="0.35">
      <c r="A94" t="s">
        <v>163</v>
      </c>
      <c r="B94" s="1">
        <v>44146</v>
      </c>
      <c r="C94">
        <v>2020</v>
      </c>
      <c r="D94">
        <v>11</v>
      </c>
      <c r="E94" t="s">
        <v>125</v>
      </c>
      <c r="F94">
        <v>93</v>
      </c>
      <c r="G94" t="s">
        <v>34</v>
      </c>
      <c r="H94" t="s">
        <v>30</v>
      </c>
      <c r="I94">
        <v>0</v>
      </c>
      <c r="J94">
        <v>0</v>
      </c>
      <c r="K94">
        <v>5.9</v>
      </c>
      <c r="L94">
        <v>2186</v>
      </c>
      <c r="M94" t="s">
        <v>17</v>
      </c>
      <c r="N94" t="str">
        <f>IF(ISNUMBER(SEARCH("Streaming", M94)), "streaming", "cinema")</f>
        <v>streaming</v>
      </c>
      <c r="O94" t="str">
        <f>IF(I94=1, "non-original", "original")</f>
        <v>original</v>
      </c>
      <c r="P94" t="str">
        <f>IF(J94 = 1, "franchise", "non-franchise")</f>
        <v>non-franchise</v>
      </c>
      <c r="Q94" t="str">
        <f>IF(OR(I94 = 1,J94 =1), "old", "new")</f>
        <v>new</v>
      </c>
      <c r="R94">
        <f t="shared" si="2"/>
        <v>0.28741298997176695</v>
      </c>
      <c r="S94">
        <f>IF(Q94="new",1.5,1)*(K94/10)*(1-(MIN(F94,180)/180))</f>
        <v>0.42775000000000002</v>
      </c>
      <c r="T94" t="str">
        <f t="shared" si="3"/>
        <v>Scenario 3: Strong Convenience</v>
      </c>
    </row>
    <row r="95" spans="1:20" x14ac:dyDescent="0.35">
      <c r="A95" t="s">
        <v>164</v>
      </c>
      <c r="B95" s="1">
        <v>44147</v>
      </c>
      <c r="C95">
        <v>2020</v>
      </c>
      <c r="D95">
        <v>11</v>
      </c>
      <c r="E95" t="s">
        <v>125</v>
      </c>
      <c r="F95">
        <v>150</v>
      </c>
      <c r="G95" t="s">
        <v>165</v>
      </c>
      <c r="H95" t="s">
        <v>27</v>
      </c>
      <c r="I95">
        <v>0</v>
      </c>
      <c r="J95">
        <v>0</v>
      </c>
      <c r="K95">
        <v>7.6</v>
      </c>
      <c r="L95">
        <v>45974</v>
      </c>
      <c r="M95" t="s">
        <v>17</v>
      </c>
      <c r="N95" t="str">
        <f>IF(ISNUMBER(SEARCH("Streaming", M95)), "streaming", "cinema")</f>
        <v>streaming</v>
      </c>
      <c r="O95" t="str">
        <f>IF(I95=1, "non-original", "original")</f>
        <v>original</v>
      </c>
      <c r="P95" t="str">
        <f>IF(J95 = 1, "franchise", "non-franchise")</f>
        <v>non-franchise</v>
      </c>
      <c r="Q95" t="str">
        <f>IF(OR(I95 = 1,J95 =1), "old", "new")</f>
        <v>new</v>
      </c>
      <c r="R95">
        <f t="shared" si="2"/>
        <v>0.64719286077061555</v>
      </c>
      <c r="S95">
        <f>IF(Q95="new",1.5,1)*(K95/10)*(1-(MIN(F95,180)/180))</f>
        <v>0.18999999999999997</v>
      </c>
      <c r="T95" t="str">
        <f t="shared" si="3"/>
        <v>Scenario 1: Strong Commitment</v>
      </c>
    </row>
    <row r="96" spans="1:20" x14ac:dyDescent="0.35">
      <c r="A96" t="s">
        <v>166</v>
      </c>
      <c r="B96" s="1">
        <v>44148</v>
      </c>
      <c r="C96">
        <v>2020</v>
      </c>
      <c r="D96">
        <v>11</v>
      </c>
      <c r="E96" t="s">
        <v>125</v>
      </c>
      <c r="F96">
        <v>119</v>
      </c>
      <c r="G96" t="s">
        <v>167</v>
      </c>
      <c r="H96" t="s">
        <v>56</v>
      </c>
      <c r="I96">
        <v>0</v>
      </c>
      <c r="J96">
        <v>0</v>
      </c>
      <c r="K96">
        <v>6.4</v>
      </c>
      <c r="L96">
        <v>22138</v>
      </c>
      <c r="M96" t="s">
        <v>17</v>
      </c>
      <c r="N96" t="str">
        <f>IF(ISNUMBER(SEARCH("Streaming", M96)), "streaming", "cinema")</f>
        <v>streaming</v>
      </c>
      <c r="O96" t="str">
        <f>IF(I96=1, "non-original", "original")</f>
        <v>original</v>
      </c>
      <c r="P96" t="str">
        <f>IF(J96 = 1, "franchise", "non-franchise")</f>
        <v>non-franchise</v>
      </c>
      <c r="Q96" t="str">
        <f>IF(OR(I96 = 1,J96 =1), "old", "new")</f>
        <v>new</v>
      </c>
      <c r="R96">
        <f t="shared" si="2"/>
        <v>0.47849019500117207</v>
      </c>
      <c r="S96">
        <f>IF(Q96="new",1.5,1)*(K96/10)*(1-(MIN(F96,180)/180))</f>
        <v>0.32533333333333336</v>
      </c>
      <c r="T96" t="str">
        <f t="shared" si="3"/>
        <v>Scenario 4: Hybrid Logic</v>
      </c>
    </row>
    <row r="97" spans="1:20" x14ac:dyDescent="0.35">
      <c r="A97" t="s">
        <v>168</v>
      </c>
      <c r="B97" s="1">
        <v>44148</v>
      </c>
      <c r="C97">
        <v>2020</v>
      </c>
      <c r="D97">
        <v>11</v>
      </c>
      <c r="E97" t="s">
        <v>125</v>
      </c>
      <c r="F97">
        <v>95</v>
      </c>
      <c r="G97" t="s">
        <v>34</v>
      </c>
      <c r="H97" t="s">
        <v>27</v>
      </c>
      <c r="I97">
        <v>1</v>
      </c>
      <c r="J97">
        <v>1</v>
      </c>
      <c r="K97">
        <v>6.8</v>
      </c>
      <c r="L97">
        <v>16367</v>
      </c>
      <c r="M97" t="s">
        <v>17</v>
      </c>
      <c r="N97" t="str">
        <f>IF(ISNUMBER(SEARCH("Streaming", M97)), "streaming", "cinema")</f>
        <v>streaming</v>
      </c>
      <c r="O97" t="str">
        <f>IF(I97=1, "non-original", "original")</f>
        <v>non-original</v>
      </c>
      <c r="P97" t="str">
        <f>IF(J97 = 1, "franchise", "non-franchise")</f>
        <v>franchise</v>
      </c>
      <c r="Q97" t="str">
        <f>IF(OR(I97 = 1,J97 =1), "old", "new")</f>
        <v>old</v>
      </c>
      <c r="R97">
        <f t="shared" si="2"/>
        <v>0.55568500593422954</v>
      </c>
      <c r="S97">
        <f>IF(Q97="new",1.5,1)*(K97/10)*(1-(MIN(F97,180)/180))</f>
        <v>0.32111111111111107</v>
      </c>
      <c r="T97" t="str">
        <f t="shared" si="3"/>
        <v>Scenario 4: Hybrid Logic</v>
      </c>
    </row>
    <row r="98" spans="1:20" x14ac:dyDescent="0.35">
      <c r="A98" t="s">
        <v>169</v>
      </c>
      <c r="B98" s="1">
        <v>44154</v>
      </c>
      <c r="C98">
        <v>2020</v>
      </c>
      <c r="D98">
        <v>11</v>
      </c>
      <c r="E98" t="s">
        <v>125</v>
      </c>
      <c r="F98">
        <v>97</v>
      </c>
      <c r="G98" t="s">
        <v>156</v>
      </c>
      <c r="H98" t="s">
        <v>86</v>
      </c>
      <c r="I98">
        <v>0</v>
      </c>
      <c r="J98">
        <v>1</v>
      </c>
      <c r="K98">
        <v>5.5</v>
      </c>
      <c r="L98">
        <v>15141</v>
      </c>
      <c r="M98" t="s">
        <v>17</v>
      </c>
      <c r="N98" t="str">
        <f>IF(ISNUMBER(SEARCH("Streaming", M98)), "streaming", "cinema")</f>
        <v>streaming</v>
      </c>
      <c r="O98" t="str">
        <f>IF(I98=1, "non-original", "original")</f>
        <v>original</v>
      </c>
      <c r="P98" t="str">
        <f>IF(J98 = 1, "franchise", "non-franchise")</f>
        <v>franchise</v>
      </c>
      <c r="Q98" t="str">
        <f>IF(OR(I98 = 1,J98 =1), "old", "new")</f>
        <v>old</v>
      </c>
      <c r="R98">
        <f t="shared" si="2"/>
        <v>0.56283073118160998</v>
      </c>
      <c r="S98">
        <f>IF(Q98="new",1.5,1)*(K98/10)*(1-(MIN(F98,180)/180))</f>
        <v>0.25361111111111112</v>
      </c>
      <c r="T98" t="str">
        <f t="shared" si="3"/>
        <v>Scenario 1: Strong Commitment</v>
      </c>
    </row>
    <row r="99" spans="1:20" x14ac:dyDescent="0.35">
      <c r="A99" t="s">
        <v>170</v>
      </c>
      <c r="B99" s="1">
        <v>44157</v>
      </c>
      <c r="C99">
        <v>2020</v>
      </c>
      <c r="D99">
        <v>11</v>
      </c>
      <c r="E99" t="s">
        <v>125</v>
      </c>
      <c r="F99">
        <v>98</v>
      </c>
      <c r="G99" t="s">
        <v>171</v>
      </c>
      <c r="H99" t="s">
        <v>56</v>
      </c>
      <c r="I99">
        <v>0</v>
      </c>
      <c r="J99">
        <v>0</v>
      </c>
      <c r="K99">
        <v>5.2</v>
      </c>
      <c r="L99">
        <v>3321</v>
      </c>
      <c r="M99" t="s">
        <v>17</v>
      </c>
      <c r="N99" t="str">
        <f>IF(ISNUMBER(SEARCH("Streaming", M99)), "streaming", "cinema")</f>
        <v>streaming</v>
      </c>
      <c r="O99" t="str">
        <f>IF(I99=1, "non-original", "original")</f>
        <v>original</v>
      </c>
      <c r="P99" t="str">
        <f>IF(J99 = 1, "franchise", "non-franchise")</f>
        <v>non-franchise</v>
      </c>
      <c r="Q99" t="str">
        <f>IF(OR(I99 = 1,J99 =1), "old", "new")</f>
        <v>new</v>
      </c>
      <c r="R99">
        <f t="shared" si="2"/>
        <v>0.31933589103525012</v>
      </c>
      <c r="S99">
        <f>IF(Q99="new",1.5,1)*(K99/10)*(1-(MIN(F99,180)/180))</f>
        <v>0.35533333333333339</v>
      </c>
      <c r="T99" t="str">
        <f t="shared" si="3"/>
        <v>Scenario 3: Strong Convenience</v>
      </c>
    </row>
    <row r="100" spans="1:20" x14ac:dyDescent="0.35">
      <c r="A100" t="s">
        <v>172</v>
      </c>
      <c r="B100" s="1">
        <v>44159</v>
      </c>
      <c r="C100">
        <v>2020</v>
      </c>
      <c r="D100">
        <v>11</v>
      </c>
      <c r="E100" t="s">
        <v>125</v>
      </c>
      <c r="F100">
        <v>117</v>
      </c>
      <c r="G100" t="s">
        <v>34</v>
      </c>
      <c r="H100" t="s">
        <v>24</v>
      </c>
      <c r="I100">
        <v>0</v>
      </c>
      <c r="J100">
        <v>0</v>
      </c>
      <c r="K100">
        <v>6.7</v>
      </c>
      <c r="L100">
        <v>60682</v>
      </c>
      <c r="M100" t="s">
        <v>17</v>
      </c>
      <c r="N100" t="str">
        <f>IF(ISNUMBER(SEARCH("Streaming", M100)), "streaming", "cinema")</f>
        <v>streaming</v>
      </c>
      <c r="O100" t="str">
        <f>IF(I100=1, "non-original", "original")</f>
        <v>original</v>
      </c>
      <c r="P100" t="str">
        <f>IF(J100 = 1, "franchise", "non-franchise")</f>
        <v>non-franchise</v>
      </c>
      <c r="Q100" t="str">
        <f>IF(OR(I100 = 1,J100 =1), "old", "new")</f>
        <v>new</v>
      </c>
      <c r="R100">
        <f t="shared" si="2"/>
        <v>0.51786212530605458</v>
      </c>
      <c r="S100">
        <f>IF(Q100="new",1.5,1)*(K100/10)*(1-(MIN(F100,180)/180))</f>
        <v>0.35175000000000001</v>
      </c>
      <c r="T100" t="str">
        <f t="shared" si="3"/>
        <v>Scenario 4: Hybrid Logic</v>
      </c>
    </row>
    <row r="101" spans="1:20" x14ac:dyDescent="0.35">
      <c r="A101" t="s">
        <v>173</v>
      </c>
      <c r="B101" s="1">
        <v>44159</v>
      </c>
      <c r="C101">
        <v>2020</v>
      </c>
      <c r="D101">
        <v>11</v>
      </c>
      <c r="E101" t="s">
        <v>125</v>
      </c>
      <c r="F101">
        <v>83</v>
      </c>
      <c r="G101" t="s">
        <v>34</v>
      </c>
      <c r="H101" t="s">
        <v>24</v>
      </c>
      <c r="I101">
        <v>0</v>
      </c>
      <c r="J101">
        <v>0</v>
      </c>
      <c r="K101">
        <v>6.5</v>
      </c>
      <c r="L101">
        <v>1106</v>
      </c>
      <c r="M101" t="s">
        <v>17</v>
      </c>
      <c r="N101" t="str">
        <f>IF(ISNUMBER(SEARCH("Streaming", M101)), "streaming", "cinema")</f>
        <v>streaming</v>
      </c>
      <c r="O101" t="str">
        <f>IF(I101=1, "non-original", "original")</f>
        <v>original</v>
      </c>
      <c r="P101" t="str">
        <f>IF(J101 = 1, "franchise", "non-franchise")</f>
        <v>non-franchise</v>
      </c>
      <c r="Q101" t="str">
        <f>IF(OR(I101 = 1,J101 =1), "old", "new")</f>
        <v>new</v>
      </c>
      <c r="R101">
        <f t="shared" si="2"/>
        <v>0.23378157037987765</v>
      </c>
      <c r="S101">
        <f>IF(Q101="new",1.5,1)*(K101/10)*(1-(MIN(F101,180)/180))</f>
        <v>0.52541666666666664</v>
      </c>
      <c r="T101" t="str">
        <f t="shared" si="3"/>
        <v>Scenario 3: Strong Convenience</v>
      </c>
    </row>
    <row r="102" spans="1:20" x14ac:dyDescent="0.35">
      <c r="A102" t="s">
        <v>174</v>
      </c>
      <c r="B102" s="1">
        <v>44160</v>
      </c>
      <c r="C102">
        <v>2020</v>
      </c>
      <c r="D102">
        <v>11</v>
      </c>
      <c r="E102" t="s">
        <v>125</v>
      </c>
      <c r="F102">
        <v>115</v>
      </c>
      <c r="G102" t="s">
        <v>175</v>
      </c>
      <c r="H102" t="s">
        <v>56</v>
      </c>
      <c r="I102">
        <v>0</v>
      </c>
      <c r="J102">
        <v>1</v>
      </c>
      <c r="K102">
        <v>6</v>
      </c>
      <c r="L102">
        <v>40778</v>
      </c>
      <c r="M102" t="s">
        <v>88</v>
      </c>
      <c r="N102" t="str">
        <f>IF(ISNUMBER(SEARCH("Streaming", M102)), "streaming", "cinema")</f>
        <v>streaming</v>
      </c>
      <c r="O102" t="str">
        <f>IF(I102=1, "non-original", "original")</f>
        <v>original</v>
      </c>
      <c r="P102" t="str">
        <f>IF(J102 = 1, "franchise", "non-franchise")</f>
        <v>franchise</v>
      </c>
      <c r="Q102" t="str">
        <f>IF(OR(I102 = 1,J102 =1), "old", "new")</f>
        <v>old</v>
      </c>
      <c r="R102">
        <f t="shared" si="2"/>
        <v>0.73595729903411233</v>
      </c>
      <c r="S102">
        <f>IF(Q102="new",1.5,1)*(K102/10)*(1-(MIN(F102,180)/180))</f>
        <v>0.2166666666666667</v>
      </c>
      <c r="T102" t="str">
        <f t="shared" si="3"/>
        <v>Scenario 1: Strong Commitment</v>
      </c>
    </row>
    <row r="103" spans="1:20" x14ac:dyDescent="0.35">
      <c r="A103" t="s">
        <v>176</v>
      </c>
      <c r="B103" s="1">
        <v>44162</v>
      </c>
      <c r="C103">
        <v>2020</v>
      </c>
      <c r="D103">
        <v>11</v>
      </c>
      <c r="E103" t="s">
        <v>125</v>
      </c>
      <c r="F103">
        <v>99</v>
      </c>
      <c r="G103" t="s">
        <v>49</v>
      </c>
      <c r="H103" t="s">
        <v>30</v>
      </c>
      <c r="I103">
        <v>0</v>
      </c>
      <c r="J103">
        <v>0</v>
      </c>
      <c r="K103">
        <v>5.2</v>
      </c>
      <c r="L103">
        <v>5177</v>
      </c>
      <c r="M103" t="s">
        <v>17</v>
      </c>
      <c r="N103" t="str">
        <f>IF(ISNUMBER(SEARCH("Streaming", M103)), "streaming", "cinema")</f>
        <v>streaming</v>
      </c>
      <c r="O103" t="str">
        <f>IF(I103=1, "non-original", "original")</f>
        <v>original</v>
      </c>
      <c r="P103" t="str">
        <f>IF(J103 = 1, "franchise", "non-franchise")</f>
        <v>non-franchise</v>
      </c>
      <c r="Q103" t="str">
        <f>IF(OR(I103 = 1,J103 =1), "old", "new")</f>
        <v>new</v>
      </c>
      <c r="R103">
        <f t="shared" si="2"/>
        <v>0.3402582806894226</v>
      </c>
      <c r="S103">
        <f>IF(Q103="new",1.5,1)*(K103/10)*(1-(MIN(F103,180)/180))</f>
        <v>0.35099999999999998</v>
      </c>
      <c r="T103" t="str">
        <f t="shared" si="3"/>
        <v>Scenario 3: Strong Convenience</v>
      </c>
    </row>
    <row r="104" spans="1:20" x14ac:dyDescent="0.35">
      <c r="A104" t="s">
        <v>177</v>
      </c>
      <c r="B104" s="1">
        <v>44162</v>
      </c>
      <c r="C104">
        <v>2020</v>
      </c>
      <c r="D104">
        <v>11</v>
      </c>
      <c r="E104" t="s">
        <v>125</v>
      </c>
      <c r="F104">
        <v>112</v>
      </c>
      <c r="G104" t="s">
        <v>103</v>
      </c>
      <c r="H104" t="s">
        <v>16</v>
      </c>
      <c r="I104">
        <v>1</v>
      </c>
      <c r="J104">
        <v>1</v>
      </c>
      <c r="K104">
        <v>7.1</v>
      </c>
      <c r="L104">
        <v>52239</v>
      </c>
      <c r="M104" t="s">
        <v>17</v>
      </c>
      <c r="N104" t="str">
        <f>IF(ISNUMBER(SEARCH("Streaming", M104)), "streaming", "cinema")</f>
        <v>streaming</v>
      </c>
      <c r="O104" t="str">
        <f>IF(I104=1, "non-original", "original")</f>
        <v>non-original</v>
      </c>
      <c r="P104" t="str">
        <f>IF(J104 = 1, "franchise", "non-franchise")</f>
        <v>franchise</v>
      </c>
      <c r="Q104" t="str">
        <f>IF(OR(I104 = 1,J104 =1), "old", "new")</f>
        <v>old</v>
      </c>
      <c r="R104">
        <f t="shared" si="2"/>
        <v>0.73348158327427915</v>
      </c>
      <c r="S104">
        <f>IF(Q104="new",1.5,1)*(K104/10)*(1-(MIN(F104,180)/180))</f>
        <v>0.2682222222222222</v>
      </c>
      <c r="T104" t="str">
        <f t="shared" si="3"/>
        <v>Scenario 1: Strong Commitment</v>
      </c>
    </row>
    <row r="105" spans="1:20" x14ac:dyDescent="0.35">
      <c r="A105" t="s">
        <v>178</v>
      </c>
      <c r="B105" s="1">
        <v>44165</v>
      </c>
      <c r="C105">
        <v>2020</v>
      </c>
      <c r="D105">
        <v>11</v>
      </c>
      <c r="E105" t="s">
        <v>125</v>
      </c>
      <c r="F105">
        <v>105</v>
      </c>
      <c r="G105" t="s">
        <v>34</v>
      </c>
      <c r="H105" t="s">
        <v>30</v>
      </c>
      <c r="I105">
        <v>0</v>
      </c>
      <c r="J105">
        <v>0</v>
      </c>
      <c r="K105">
        <v>5</v>
      </c>
      <c r="L105">
        <v>238</v>
      </c>
      <c r="M105" t="s">
        <v>17</v>
      </c>
      <c r="N105" t="str">
        <f>IF(ISNUMBER(SEARCH("Streaming", M105)), "streaming", "cinema")</f>
        <v>streaming</v>
      </c>
      <c r="O105" t="str">
        <f>IF(I105=1, "non-original", "original")</f>
        <v>original</v>
      </c>
      <c r="P105" t="str">
        <f>IF(J105 = 1, "franchise", "non-franchise")</f>
        <v>non-franchise</v>
      </c>
      <c r="Q105" t="str">
        <f>IF(OR(I105 = 1,J105 =1), "old", "new")</f>
        <v>new</v>
      </c>
      <c r="R105">
        <f t="shared" si="2"/>
        <v>0.23092111729991391</v>
      </c>
      <c r="S105">
        <f>IF(Q105="new",1.5,1)*(K105/10)*(1-(MIN(F105,180)/180))</f>
        <v>0.3125</v>
      </c>
      <c r="T105" t="str">
        <f t="shared" si="3"/>
        <v>Scenario 2: Weak Commitment/Convenience</v>
      </c>
    </row>
    <row r="106" spans="1:20" x14ac:dyDescent="0.35">
      <c r="A106" t="s">
        <v>179</v>
      </c>
      <c r="B106" s="1">
        <v>44168</v>
      </c>
      <c r="C106">
        <v>2020</v>
      </c>
      <c r="D106">
        <v>12</v>
      </c>
      <c r="E106" t="s">
        <v>14</v>
      </c>
      <c r="F106">
        <v>101</v>
      </c>
      <c r="G106" t="s">
        <v>175</v>
      </c>
      <c r="H106" t="s">
        <v>30</v>
      </c>
      <c r="I106">
        <v>0</v>
      </c>
      <c r="J106">
        <v>0</v>
      </c>
      <c r="K106">
        <v>6.7</v>
      </c>
      <c r="L106">
        <v>6308</v>
      </c>
      <c r="M106" t="s">
        <v>17</v>
      </c>
      <c r="N106" t="str">
        <f>IF(ISNUMBER(SEARCH("Streaming", M106)), "streaming", "cinema")</f>
        <v>streaming</v>
      </c>
      <c r="O106" t="str">
        <f>IF(I106=1, "non-original", "original")</f>
        <v>original</v>
      </c>
      <c r="P106" t="str">
        <f>IF(J106 = 1, "franchise", "non-franchise")</f>
        <v>non-franchise</v>
      </c>
      <c r="Q106" t="str">
        <f>IF(OR(I106 = 1,J106 =1), "old", "new")</f>
        <v>new</v>
      </c>
      <c r="R106">
        <f t="shared" si="2"/>
        <v>0.3551526505350141</v>
      </c>
      <c r="S106">
        <f>IF(Q106="new",1.5,1)*(K106/10)*(1-(MIN(F106,180)/180))</f>
        <v>0.44108333333333338</v>
      </c>
      <c r="T106" t="str">
        <f t="shared" si="3"/>
        <v>Scenario 3: Strong Convenience</v>
      </c>
    </row>
    <row r="107" spans="1:20" x14ac:dyDescent="0.35">
      <c r="A107" t="s">
        <v>180</v>
      </c>
      <c r="B107" s="1">
        <v>44169</v>
      </c>
      <c r="C107">
        <v>2020</v>
      </c>
      <c r="D107">
        <v>12</v>
      </c>
      <c r="E107" t="s">
        <v>14</v>
      </c>
      <c r="F107">
        <v>106</v>
      </c>
      <c r="G107" t="s">
        <v>181</v>
      </c>
      <c r="H107" t="s">
        <v>30</v>
      </c>
      <c r="I107">
        <v>0</v>
      </c>
      <c r="J107">
        <v>0</v>
      </c>
      <c r="K107">
        <v>4.8</v>
      </c>
      <c r="L107">
        <v>1738</v>
      </c>
      <c r="M107" t="s">
        <v>17</v>
      </c>
      <c r="N107" t="str">
        <f>IF(ISNUMBER(SEARCH("Streaming", M107)), "streaming", "cinema")</f>
        <v>streaming</v>
      </c>
      <c r="O107" t="str">
        <f>IF(I107=1, "non-original", "original")</f>
        <v>original</v>
      </c>
      <c r="P107" t="str">
        <f>IF(J107 = 1, "franchise", "non-franchise")</f>
        <v>non-franchise</v>
      </c>
      <c r="Q107" t="str">
        <f>IF(OR(I107 = 1,J107 =1), "old", "new")</f>
        <v>new</v>
      </c>
      <c r="R107">
        <f t="shared" si="2"/>
        <v>0.31781911652698636</v>
      </c>
      <c r="S107">
        <f>IF(Q107="new",1.5,1)*(K107/10)*(1-(MIN(F107,180)/180))</f>
        <v>0.29599999999999999</v>
      </c>
      <c r="T107" t="str">
        <f t="shared" si="3"/>
        <v>Scenario 2: Weak Commitment/Convenience</v>
      </c>
    </row>
    <row r="108" spans="1:20" x14ac:dyDescent="0.35">
      <c r="A108" t="s">
        <v>182</v>
      </c>
      <c r="B108" s="1">
        <v>44169</v>
      </c>
      <c r="C108">
        <v>2020</v>
      </c>
      <c r="D108">
        <v>12</v>
      </c>
      <c r="E108" t="s">
        <v>14</v>
      </c>
      <c r="F108">
        <v>112</v>
      </c>
      <c r="G108" t="s">
        <v>21</v>
      </c>
      <c r="H108" t="s">
        <v>30</v>
      </c>
      <c r="I108">
        <v>0</v>
      </c>
      <c r="J108">
        <v>0</v>
      </c>
      <c r="K108">
        <v>3.7</v>
      </c>
      <c r="L108">
        <v>8296</v>
      </c>
      <c r="M108" t="s">
        <v>17</v>
      </c>
      <c r="N108" t="str">
        <f>IF(ISNUMBER(SEARCH("Streaming", M108)), "streaming", "cinema")</f>
        <v>streaming</v>
      </c>
      <c r="O108" t="str">
        <f>IF(I108=1, "non-original", "original")</f>
        <v>original</v>
      </c>
      <c r="P108" t="str">
        <f>IF(J108 = 1, "franchise", "non-franchise")</f>
        <v>non-franchise</v>
      </c>
      <c r="Q108" t="str">
        <f>IF(OR(I108 = 1,J108 =1), "old", "new")</f>
        <v>new</v>
      </c>
      <c r="R108">
        <f t="shared" si="2"/>
        <v>0.40616379613770265</v>
      </c>
      <c r="S108">
        <f>IF(Q108="new",1.5,1)*(K108/10)*(1-(MIN(F108,180)/180))</f>
        <v>0.20966666666666664</v>
      </c>
      <c r="T108" t="str">
        <f t="shared" si="3"/>
        <v>Scenario 2: Weak Commitment/Convenience</v>
      </c>
    </row>
    <row r="109" spans="1:20" x14ac:dyDescent="0.35">
      <c r="A109" t="s">
        <v>183</v>
      </c>
      <c r="B109" s="1">
        <v>44169</v>
      </c>
      <c r="C109">
        <v>2020</v>
      </c>
      <c r="D109">
        <v>12</v>
      </c>
      <c r="E109" t="s">
        <v>14</v>
      </c>
      <c r="F109">
        <v>132</v>
      </c>
      <c r="G109" t="s">
        <v>62</v>
      </c>
      <c r="H109" t="s">
        <v>24</v>
      </c>
      <c r="I109">
        <v>0</v>
      </c>
      <c r="J109">
        <v>0</v>
      </c>
      <c r="K109">
        <v>6.8</v>
      </c>
      <c r="L109">
        <v>103831</v>
      </c>
      <c r="M109" t="s">
        <v>17</v>
      </c>
      <c r="N109" t="str">
        <f>IF(ISNUMBER(SEARCH("Streaming", M109)), "streaming", "cinema")</f>
        <v>streaming</v>
      </c>
      <c r="O109" t="str">
        <f>IF(I109=1, "non-original", "original")</f>
        <v>original</v>
      </c>
      <c r="P109" t="str">
        <f>IF(J109 = 1, "franchise", "non-franchise")</f>
        <v>non-franchise</v>
      </c>
      <c r="Q109" t="str">
        <f>IF(OR(I109 = 1,J109 =1), "old", "new")</f>
        <v>new</v>
      </c>
      <c r="R109">
        <f t="shared" si="2"/>
        <v>0.61274848009025717</v>
      </c>
      <c r="S109">
        <f>IF(Q109="new",1.5,1)*(K109/10)*(1-(MIN(F109,180)/180))</f>
        <v>0.27200000000000008</v>
      </c>
      <c r="T109" t="str">
        <f t="shared" si="3"/>
        <v>Scenario 1: Strong Commitment</v>
      </c>
    </row>
    <row r="110" spans="1:20" x14ac:dyDescent="0.35">
      <c r="A110" t="s">
        <v>184</v>
      </c>
      <c r="B110" s="1">
        <v>44172</v>
      </c>
      <c r="C110">
        <v>2020</v>
      </c>
      <c r="D110">
        <v>12</v>
      </c>
      <c r="E110" t="s">
        <v>14</v>
      </c>
      <c r="F110">
        <v>97</v>
      </c>
      <c r="G110" t="s">
        <v>185</v>
      </c>
      <c r="H110" t="s">
        <v>30</v>
      </c>
      <c r="I110">
        <v>0</v>
      </c>
      <c r="J110">
        <v>0</v>
      </c>
      <c r="K110">
        <v>5.6</v>
      </c>
      <c r="L110">
        <v>3517</v>
      </c>
      <c r="M110" t="s">
        <v>88</v>
      </c>
      <c r="N110" t="str">
        <f>IF(ISNUMBER(SEARCH("Streaming", M110)), "streaming", "cinema")</f>
        <v>streaming</v>
      </c>
      <c r="O110" t="str">
        <f>IF(I110=1, "non-original", "original")</f>
        <v>original</v>
      </c>
      <c r="P110" t="str">
        <f>IF(J110 = 1, "franchise", "non-franchise")</f>
        <v>non-franchise</v>
      </c>
      <c r="Q110" t="str">
        <f>IF(OR(I110 = 1,J110 =1), "old", "new")</f>
        <v>new</v>
      </c>
      <c r="R110">
        <f t="shared" si="2"/>
        <v>0.318312757509913</v>
      </c>
      <c r="S110">
        <f>IF(Q110="new",1.5,1)*(K110/10)*(1-(MIN(F110,180)/180))</f>
        <v>0.38733333333333331</v>
      </c>
      <c r="T110" t="str">
        <f t="shared" si="3"/>
        <v>Scenario 3: Strong Convenience</v>
      </c>
    </row>
    <row r="111" spans="1:20" x14ac:dyDescent="0.35">
      <c r="A111" t="s">
        <v>186</v>
      </c>
      <c r="B111" s="1">
        <v>44174</v>
      </c>
      <c r="C111">
        <v>2020</v>
      </c>
      <c r="D111">
        <v>12</v>
      </c>
      <c r="E111" t="s">
        <v>14</v>
      </c>
      <c r="F111">
        <v>118</v>
      </c>
      <c r="G111" t="s">
        <v>116</v>
      </c>
      <c r="H111" t="s">
        <v>30</v>
      </c>
      <c r="I111">
        <v>0</v>
      </c>
      <c r="J111">
        <v>0</v>
      </c>
      <c r="K111">
        <v>7</v>
      </c>
      <c r="L111">
        <v>27450</v>
      </c>
      <c r="M111" t="s">
        <v>17</v>
      </c>
      <c r="N111" t="str">
        <f>IF(ISNUMBER(SEARCH("Streaming", M111)), "streaming", "cinema")</f>
        <v>streaming</v>
      </c>
      <c r="O111" t="str">
        <f>IF(I111=1, "non-original", "original")</f>
        <v>original</v>
      </c>
      <c r="P111" t="str">
        <f>IF(J111 = 1, "franchise", "non-franchise")</f>
        <v>non-franchise</v>
      </c>
      <c r="Q111" t="str">
        <f>IF(OR(I111 = 1,J111 =1), "old", "new")</f>
        <v>new</v>
      </c>
      <c r="R111">
        <f t="shared" si="2"/>
        <v>0.48466855550744986</v>
      </c>
      <c r="S111">
        <f>IF(Q111="new",1.5,1)*(K111/10)*(1-(MIN(F111,180)/180))</f>
        <v>0.36166666666666658</v>
      </c>
      <c r="T111" t="str">
        <f t="shared" si="3"/>
        <v>Scenario 4: Hybrid Logic</v>
      </c>
    </row>
    <row r="112" spans="1:20" x14ac:dyDescent="0.35">
      <c r="A112" t="s">
        <v>187</v>
      </c>
      <c r="B112" s="1">
        <v>44176</v>
      </c>
      <c r="C112">
        <v>2020</v>
      </c>
      <c r="D112">
        <v>12</v>
      </c>
      <c r="E112" t="s">
        <v>14</v>
      </c>
      <c r="F112">
        <v>132</v>
      </c>
      <c r="G112" t="s">
        <v>188</v>
      </c>
      <c r="H112" t="s">
        <v>27</v>
      </c>
      <c r="I112">
        <v>0</v>
      </c>
      <c r="J112">
        <v>0</v>
      </c>
      <c r="K112">
        <v>5.9</v>
      </c>
      <c r="L112">
        <v>30464</v>
      </c>
      <c r="M112" t="s">
        <v>17</v>
      </c>
      <c r="N112" t="str">
        <f>IF(ISNUMBER(SEARCH("Streaming", M112)), "streaming", "cinema")</f>
        <v>streaming</v>
      </c>
      <c r="O112" t="str">
        <f>IF(I112=1, "non-original", "original")</f>
        <v>original</v>
      </c>
      <c r="P112" t="str">
        <f>IF(J112 = 1, "franchise", "non-franchise")</f>
        <v>non-franchise</v>
      </c>
      <c r="Q112" t="str">
        <f>IF(OR(I112 = 1,J112 =1), "old", "new")</f>
        <v>new</v>
      </c>
      <c r="R112">
        <f t="shared" si="2"/>
        <v>0.54769826693208368</v>
      </c>
      <c r="S112">
        <f>IF(Q112="new",1.5,1)*(K112/10)*(1-(MIN(F112,180)/180))</f>
        <v>0.23600000000000007</v>
      </c>
      <c r="T112" t="str">
        <f t="shared" si="3"/>
        <v>Scenario 1: Strong Commitment</v>
      </c>
    </row>
    <row r="113" spans="1:20" x14ac:dyDescent="0.35">
      <c r="A113" t="s">
        <v>189</v>
      </c>
      <c r="B113" s="1">
        <v>44179</v>
      </c>
      <c r="C113">
        <v>2020</v>
      </c>
      <c r="D113">
        <v>12</v>
      </c>
      <c r="E113" t="s">
        <v>14</v>
      </c>
      <c r="F113">
        <v>107</v>
      </c>
      <c r="G113" t="s">
        <v>156</v>
      </c>
      <c r="H113" t="s">
        <v>27</v>
      </c>
      <c r="I113">
        <v>0</v>
      </c>
      <c r="J113">
        <v>0</v>
      </c>
      <c r="K113">
        <v>5.9</v>
      </c>
      <c r="L113">
        <v>12437</v>
      </c>
      <c r="M113" t="s">
        <v>17</v>
      </c>
      <c r="N113" t="str">
        <f>IF(ISNUMBER(SEARCH("Streaming", M113)), "streaming", "cinema")</f>
        <v>streaming</v>
      </c>
      <c r="O113" t="str">
        <f>IF(I113=1, "non-original", "original")</f>
        <v>original</v>
      </c>
      <c r="P113" t="str">
        <f>IF(J113 = 1, "franchise", "non-franchise")</f>
        <v>non-franchise</v>
      </c>
      <c r="Q113" t="str">
        <f>IF(OR(I113 = 1,J113 =1), "old", "new")</f>
        <v>new</v>
      </c>
      <c r="R113">
        <f t="shared" si="2"/>
        <v>0.40544317439886834</v>
      </c>
      <c r="S113">
        <f>IF(Q113="new",1.5,1)*(K113/10)*(1-(MIN(F113,180)/180))</f>
        <v>0.35891666666666672</v>
      </c>
      <c r="T113" t="str">
        <f t="shared" si="3"/>
        <v>Scenario 3: Strong Convenience</v>
      </c>
    </row>
    <row r="114" spans="1:20" x14ac:dyDescent="0.35">
      <c r="A114" t="s">
        <v>190</v>
      </c>
      <c r="B114" s="1">
        <v>44183</v>
      </c>
      <c r="C114">
        <v>2020</v>
      </c>
      <c r="D114">
        <v>12</v>
      </c>
      <c r="E114" t="s">
        <v>14</v>
      </c>
      <c r="F114">
        <v>94</v>
      </c>
      <c r="G114" t="s">
        <v>34</v>
      </c>
      <c r="H114" t="s">
        <v>24</v>
      </c>
      <c r="I114">
        <v>1</v>
      </c>
      <c r="J114">
        <v>0</v>
      </c>
      <c r="K114">
        <v>6.9</v>
      </c>
      <c r="L114">
        <v>77172</v>
      </c>
      <c r="M114" t="s">
        <v>17</v>
      </c>
      <c r="N114" t="str">
        <f>IF(ISNUMBER(SEARCH("Streaming", M114)), "streaming", "cinema")</f>
        <v>streaming</v>
      </c>
      <c r="O114" t="str">
        <f>IF(I114=1, "non-original", "original")</f>
        <v>non-original</v>
      </c>
      <c r="P114" t="str">
        <f>IF(J114 = 1, "franchise", "non-franchise")</f>
        <v>non-franchise</v>
      </c>
      <c r="Q114" t="str">
        <f>IF(OR(I114 = 1,J114 =1), "old", "new")</f>
        <v>old</v>
      </c>
      <c r="R114">
        <f t="shared" si="2"/>
        <v>0.63771227432607902</v>
      </c>
      <c r="S114">
        <f>IF(Q114="new",1.5,1)*(K114/10)*(1-(MIN(F114,180)/180))</f>
        <v>0.32966666666666666</v>
      </c>
      <c r="T114" t="str">
        <f t="shared" si="3"/>
        <v>Scenario 4: Hybrid Logic</v>
      </c>
    </row>
    <row r="115" spans="1:20" x14ac:dyDescent="0.35">
      <c r="A115" t="s">
        <v>191</v>
      </c>
      <c r="B115" s="1">
        <v>44188</v>
      </c>
      <c r="C115">
        <v>2020</v>
      </c>
      <c r="D115">
        <v>12</v>
      </c>
      <c r="E115" t="s">
        <v>14</v>
      </c>
      <c r="F115">
        <v>118</v>
      </c>
      <c r="G115" t="s">
        <v>192</v>
      </c>
      <c r="H115" t="s">
        <v>27</v>
      </c>
      <c r="I115">
        <v>0</v>
      </c>
      <c r="J115">
        <v>0</v>
      </c>
      <c r="K115">
        <v>5.7</v>
      </c>
      <c r="L115">
        <v>93957</v>
      </c>
      <c r="M115" t="s">
        <v>17</v>
      </c>
      <c r="N115" t="str">
        <f>IF(ISNUMBER(SEARCH("Streaming", M115)), "streaming", "cinema")</f>
        <v>streaming</v>
      </c>
      <c r="O115" t="str">
        <f>IF(I115=1, "non-original", "original")</f>
        <v>original</v>
      </c>
      <c r="P115" t="str">
        <f>IF(J115 = 1, "franchise", "non-franchise")</f>
        <v>non-franchise</v>
      </c>
      <c r="Q115" t="str">
        <f>IF(OR(I115 = 1,J115 =1), "old", "new")</f>
        <v>new</v>
      </c>
      <c r="R115">
        <f t="shared" si="2"/>
        <v>0.54302115295154529</v>
      </c>
      <c r="S115">
        <f>IF(Q115="new",1.5,1)*(K115/10)*(1-(MIN(F115,180)/180))</f>
        <v>0.29450000000000004</v>
      </c>
      <c r="T115" t="str">
        <f t="shared" si="3"/>
        <v>Scenario 1: Strong Commitment</v>
      </c>
    </row>
    <row r="116" spans="1:20" x14ac:dyDescent="0.35">
      <c r="A116" t="s">
        <v>193</v>
      </c>
      <c r="B116" s="1">
        <v>44189</v>
      </c>
      <c r="C116">
        <v>2020</v>
      </c>
      <c r="D116">
        <v>12</v>
      </c>
      <c r="E116" t="s">
        <v>14</v>
      </c>
      <c r="F116">
        <v>109</v>
      </c>
      <c r="G116" t="s">
        <v>194</v>
      </c>
      <c r="H116" t="s">
        <v>30</v>
      </c>
      <c r="I116">
        <v>0</v>
      </c>
      <c r="J116">
        <v>0</v>
      </c>
      <c r="K116">
        <v>6.9</v>
      </c>
      <c r="L116">
        <v>15785</v>
      </c>
      <c r="M116" t="s">
        <v>17</v>
      </c>
      <c r="N116" t="str">
        <f>IF(ISNUMBER(SEARCH("Streaming", M116)), "streaming", "cinema")</f>
        <v>streaming</v>
      </c>
      <c r="O116" t="str">
        <f>IF(I116=1, "non-original", "original")</f>
        <v>original</v>
      </c>
      <c r="P116" t="str">
        <f>IF(J116 = 1, "franchise", "non-franchise")</f>
        <v>non-franchise</v>
      </c>
      <c r="Q116" t="str">
        <f>IF(OR(I116 = 1,J116 =1), "old", "new")</f>
        <v>new</v>
      </c>
      <c r="R116">
        <f t="shared" si="2"/>
        <v>0.42346420298483028</v>
      </c>
      <c r="S116">
        <f>IF(Q116="new",1.5,1)*(K116/10)*(1-(MIN(F116,180)/180))</f>
        <v>0.40825000000000011</v>
      </c>
      <c r="T116" t="str">
        <f t="shared" si="3"/>
        <v>Scenario 3: Strong Convenience</v>
      </c>
    </row>
    <row r="117" spans="1:20" x14ac:dyDescent="0.35">
      <c r="A117" t="s">
        <v>195</v>
      </c>
      <c r="B117" s="1">
        <v>44190</v>
      </c>
      <c r="C117">
        <v>2020</v>
      </c>
      <c r="D117">
        <v>12</v>
      </c>
      <c r="E117" t="s">
        <v>14</v>
      </c>
      <c r="F117">
        <v>100</v>
      </c>
      <c r="G117" t="s">
        <v>100</v>
      </c>
      <c r="H117" t="s">
        <v>56</v>
      </c>
      <c r="I117">
        <v>0</v>
      </c>
      <c r="J117">
        <v>0</v>
      </c>
      <c r="K117">
        <v>4.7</v>
      </c>
      <c r="L117">
        <v>19374</v>
      </c>
      <c r="M117" t="s">
        <v>17</v>
      </c>
      <c r="N117" t="str">
        <f>IF(ISNUMBER(SEARCH("Streaming", M117)), "streaming", "cinema")</f>
        <v>streaming</v>
      </c>
      <c r="O117" t="str">
        <f>IF(I117=1, "non-original", "original")</f>
        <v>original</v>
      </c>
      <c r="P117" t="str">
        <f>IF(J117 = 1, "franchise", "non-franchise")</f>
        <v>non-franchise</v>
      </c>
      <c r="Q117" t="str">
        <f>IF(OR(I117 = 1,J117 =1), "old", "new")</f>
        <v>new</v>
      </c>
      <c r="R117">
        <f t="shared" si="2"/>
        <v>0.3967328551757025</v>
      </c>
      <c r="S117">
        <f>IF(Q117="new",1.5,1)*(K117/10)*(1-(MIN(F117,180)/180))</f>
        <v>0.31333333333333335</v>
      </c>
      <c r="T117" t="str">
        <f t="shared" si="3"/>
        <v>Scenario 2: Weak Commitment/Convenience</v>
      </c>
    </row>
    <row r="118" spans="1:20" x14ac:dyDescent="0.35">
      <c r="A118" t="s">
        <v>196</v>
      </c>
      <c r="B118" s="1">
        <v>44197</v>
      </c>
      <c r="C118">
        <v>2021</v>
      </c>
      <c r="D118">
        <v>1</v>
      </c>
      <c r="E118" t="s">
        <v>14</v>
      </c>
      <c r="F118">
        <v>102</v>
      </c>
      <c r="G118" t="s">
        <v>21</v>
      </c>
      <c r="H118" t="s">
        <v>16</v>
      </c>
      <c r="I118">
        <v>0</v>
      </c>
      <c r="J118">
        <v>0</v>
      </c>
      <c r="K118">
        <v>4.4000000000000004</v>
      </c>
      <c r="L118">
        <v>423</v>
      </c>
      <c r="M118" t="s">
        <v>17</v>
      </c>
      <c r="N118" t="str">
        <f>IF(ISNUMBER(SEARCH("Streaming", M118)), "streaming", "cinema")</f>
        <v>streaming</v>
      </c>
      <c r="O118" t="str">
        <f>IF(I118=1, "non-original", "original")</f>
        <v>original</v>
      </c>
      <c r="P118" t="str">
        <f>IF(J118 = 1, "franchise", "non-franchise")</f>
        <v>non-franchise</v>
      </c>
      <c r="Q118" t="str">
        <f>IF(OR(I118 = 1,J118 =1), "old", "new")</f>
        <v>new</v>
      </c>
      <c r="R118">
        <f t="shared" si="2"/>
        <v>0.24789835780135502</v>
      </c>
      <c r="S118">
        <f>IF(Q118="new",1.5,1)*(K118/10)*(1-(MIN(F118,180)/180))</f>
        <v>0.28600000000000009</v>
      </c>
      <c r="T118" t="str">
        <f t="shared" si="3"/>
        <v>Scenario 2: Weak Commitment/Convenience</v>
      </c>
    </row>
    <row r="119" spans="1:20" x14ac:dyDescent="0.35">
      <c r="A119" t="s">
        <v>197</v>
      </c>
      <c r="B119" s="1">
        <v>44204</v>
      </c>
      <c r="C119">
        <v>2021</v>
      </c>
      <c r="D119">
        <v>1</v>
      </c>
      <c r="E119" t="s">
        <v>14</v>
      </c>
      <c r="F119">
        <v>96</v>
      </c>
      <c r="G119" t="s">
        <v>34</v>
      </c>
      <c r="H119" t="s">
        <v>24</v>
      </c>
      <c r="I119">
        <v>0</v>
      </c>
      <c r="J119">
        <v>0</v>
      </c>
      <c r="K119">
        <v>6</v>
      </c>
      <c r="L119">
        <v>11847</v>
      </c>
      <c r="M119" t="s">
        <v>17</v>
      </c>
      <c r="N119" t="str">
        <f>IF(ISNUMBER(SEARCH("Streaming", M119)), "streaming", "cinema")</f>
        <v>streaming</v>
      </c>
      <c r="O119" t="str">
        <f>IF(I119=1, "non-original", "original")</f>
        <v>original</v>
      </c>
      <c r="P119" t="str">
        <f>IF(J119 = 1, "franchise", "non-franchise")</f>
        <v>non-franchise</v>
      </c>
      <c r="Q119" t="str">
        <f>IF(OR(I119 = 1,J119 =1), "old", "new")</f>
        <v>new</v>
      </c>
      <c r="R119">
        <f t="shared" si="2"/>
        <v>0.36188699677936115</v>
      </c>
      <c r="S119">
        <f>IF(Q119="new",1.5,1)*(K119/10)*(1-(MIN(F119,180)/180))</f>
        <v>0.42</v>
      </c>
      <c r="T119" t="str">
        <f t="shared" si="3"/>
        <v>Scenario 3: Strong Convenience</v>
      </c>
    </row>
    <row r="120" spans="1:20" x14ac:dyDescent="0.35">
      <c r="A120" t="s">
        <v>198</v>
      </c>
      <c r="B120" s="1">
        <v>44210</v>
      </c>
      <c r="C120">
        <v>2021</v>
      </c>
      <c r="D120">
        <v>1</v>
      </c>
      <c r="E120" t="s">
        <v>14</v>
      </c>
      <c r="F120">
        <v>101</v>
      </c>
      <c r="G120" t="s">
        <v>116</v>
      </c>
      <c r="H120" t="s">
        <v>16</v>
      </c>
      <c r="I120">
        <v>0</v>
      </c>
      <c r="J120">
        <v>0</v>
      </c>
      <c r="K120">
        <v>6.3</v>
      </c>
      <c r="L120">
        <v>243</v>
      </c>
      <c r="M120" t="s">
        <v>17</v>
      </c>
      <c r="N120" t="str">
        <f>IF(ISNUMBER(SEARCH("Streaming", M120)), "streaming", "cinema")</f>
        <v>streaming</v>
      </c>
      <c r="O120" t="str">
        <f>IF(I120=1, "non-original", "original")</f>
        <v>original</v>
      </c>
      <c r="P120" t="str">
        <f>IF(J120 = 1, "franchise", "non-franchise")</f>
        <v>non-franchise</v>
      </c>
      <c r="Q120" t="str">
        <f>IF(OR(I120 = 1,J120 =1), "old", "new")</f>
        <v>new</v>
      </c>
      <c r="R120">
        <f t="shared" si="2"/>
        <v>0.22296803738444104</v>
      </c>
      <c r="S120">
        <f>IF(Q120="new",1.5,1)*(K120/10)*(1-(MIN(F120,180)/180))</f>
        <v>0.41475000000000001</v>
      </c>
      <c r="T120" t="str">
        <f t="shared" si="3"/>
        <v>Scenario 3: Strong Convenience</v>
      </c>
    </row>
    <row r="121" spans="1:20" x14ac:dyDescent="0.35">
      <c r="A121" t="s">
        <v>199</v>
      </c>
      <c r="B121" s="1">
        <v>44211</v>
      </c>
      <c r="C121">
        <v>2021</v>
      </c>
      <c r="D121">
        <v>1</v>
      </c>
      <c r="E121" t="s">
        <v>14</v>
      </c>
      <c r="F121">
        <v>105</v>
      </c>
      <c r="G121" t="s">
        <v>116</v>
      </c>
      <c r="H121" t="s">
        <v>16</v>
      </c>
      <c r="I121">
        <v>0</v>
      </c>
      <c r="J121">
        <v>0</v>
      </c>
      <c r="K121">
        <v>5.7</v>
      </c>
      <c r="L121">
        <v>1654</v>
      </c>
      <c r="M121" t="s">
        <v>17</v>
      </c>
      <c r="N121" t="str">
        <f>IF(ISNUMBER(SEARCH("Streaming", M121)), "streaming", "cinema")</f>
        <v>streaming</v>
      </c>
      <c r="O121" t="str">
        <f>IF(I121=1, "non-original", "original")</f>
        <v>original</v>
      </c>
      <c r="P121" t="str">
        <f>IF(J121 = 1, "franchise", "non-franchise")</f>
        <v>non-franchise</v>
      </c>
      <c r="Q121" t="str">
        <f>IF(OR(I121 = 1,J121 =1), "old", "new")</f>
        <v>new</v>
      </c>
      <c r="R121">
        <f t="shared" si="2"/>
        <v>0.31273038002293924</v>
      </c>
      <c r="S121">
        <f>IF(Q121="new",1.5,1)*(K121/10)*(1-(MIN(F121,180)/180))</f>
        <v>0.35625000000000001</v>
      </c>
      <c r="T121" t="str">
        <f t="shared" si="3"/>
        <v>Scenario 3: Strong Convenience</v>
      </c>
    </row>
    <row r="122" spans="1:20" x14ac:dyDescent="0.35">
      <c r="A122" t="s">
        <v>200</v>
      </c>
      <c r="B122" s="1">
        <v>44211</v>
      </c>
      <c r="C122">
        <v>2021</v>
      </c>
      <c r="D122">
        <v>1</v>
      </c>
      <c r="E122" t="s">
        <v>14</v>
      </c>
      <c r="F122">
        <v>115</v>
      </c>
      <c r="G122" t="s">
        <v>201</v>
      </c>
      <c r="H122" t="s">
        <v>24</v>
      </c>
      <c r="I122">
        <v>0</v>
      </c>
      <c r="J122">
        <v>0</v>
      </c>
      <c r="K122">
        <v>5.4</v>
      </c>
      <c r="L122">
        <v>48182</v>
      </c>
      <c r="M122" t="s">
        <v>17</v>
      </c>
      <c r="N122" t="str">
        <f>IF(ISNUMBER(SEARCH("Streaming", M122)), "streaming", "cinema")</f>
        <v>streaming</v>
      </c>
      <c r="O122" t="str">
        <f>IF(I122=1, "non-original", "original")</f>
        <v>original</v>
      </c>
      <c r="P122" t="str">
        <f>IF(J122 = 1, "franchise", "non-franchise")</f>
        <v>non-franchise</v>
      </c>
      <c r="Q122" t="str">
        <f>IF(OR(I122 = 1,J122 =1), "old", "new")</f>
        <v>new</v>
      </c>
      <c r="R122">
        <f t="shared" si="2"/>
        <v>0.49834922338907867</v>
      </c>
      <c r="S122">
        <f>IF(Q122="new",1.5,1)*(K122/10)*(1-(MIN(F122,180)/180))</f>
        <v>0.29250000000000004</v>
      </c>
      <c r="T122" t="str">
        <f t="shared" si="3"/>
        <v>Scenario 1: Strong Commitment</v>
      </c>
    </row>
    <row r="123" spans="1:20" x14ac:dyDescent="0.35">
      <c r="A123" t="s">
        <v>202</v>
      </c>
      <c r="B123" s="1">
        <v>44218</v>
      </c>
      <c r="C123">
        <v>2021</v>
      </c>
      <c r="D123">
        <v>1</v>
      </c>
      <c r="E123" t="s">
        <v>14</v>
      </c>
      <c r="F123">
        <v>125</v>
      </c>
      <c r="G123" t="s">
        <v>34</v>
      </c>
      <c r="H123" t="s">
        <v>24</v>
      </c>
      <c r="I123">
        <v>0</v>
      </c>
      <c r="J123">
        <v>0</v>
      </c>
      <c r="K123">
        <v>7.1</v>
      </c>
      <c r="L123">
        <v>69488</v>
      </c>
      <c r="M123" t="s">
        <v>17</v>
      </c>
      <c r="N123" t="str">
        <f>IF(ISNUMBER(SEARCH("Streaming", M123)), "streaming", "cinema")</f>
        <v>streaming</v>
      </c>
      <c r="O123" t="str">
        <f>IF(I123=1, "non-original", "original")</f>
        <v>original</v>
      </c>
      <c r="P123" t="str">
        <f>IF(J123 = 1, "franchise", "non-franchise")</f>
        <v>non-franchise</v>
      </c>
      <c r="Q123" t="str">
        <f>IF(OR(I123 = 1,J123 =1), "old", "new")</f>
        <v>new</v>
      </c>
      <c r="R123">
        <f t="shared" si="2"/>
        <v>0.56007885644138278</v>
      </c>
      <c r="S123">
        <f>IF(Q123="new",1.5,1)*(K123/10)*(1-(MIN(F123,180)/180))</f>
        <v>0.32541666666666669</v>
      </c>
      <c r="T123" t="str">
        <f t="shared" si="3"/>
        <v>Scenario 4: Hybrid Logic</v>
      </c>
    </row>
    <row r="124" spans="1:20" x14ac:dyDescent="0.35">
      <c r="A124" t="s">
        <v>203</v>
      </c>
      <c r="B124" s="1">
        <v>44225</v>
      </c>
      <c r="C124">
        <v>2021</v>
      </c>
      <c r="D124">
        <v>1</v>
      </c>
      <c r="E124" t="s">
        <v>14</v>
      </c>
      <c r="F124">
        <v>112</v>
      </c>
      <c r="G124" t="s">
        <v>34</v>
      </c>
      <c r="H124" t="s">
        <v>27</v>
      </c>
      <c r="I124">
        <v>0</v>
      </c>
      <c r="J124">
        <v>0</v>
      </c>
      <c r="K124">
        <v>7.1</v>
      </c>
      <c r="L124">
        <v>88903</v>
      </c>
      <c r="M124" t="s">
        <v>17</v>
      </c>
      <c r="N124" t="str">
        <f>IF(ISNUMBER(SEARCH("Streaming", M124)), "streaming", "cinema")</f>
        <v>streaming</v>
      </c>
      <c r="O124" t="str">
        <f>IF(I124=1, "non-original", "original")</f>
        <v>original</v>
      </c>
      <c r="P124" t="str">
        <f>IF(J124 = 1, "franchise", "non-franchise")</f>
        <v>non-franchise</v>
      </c>
      <c r="Q124" t="str">
        <f>IF(OR(I124 = 1,J124 =1), "old", "new")</f>
        <v>new</v>
      </c>
      <c r="R124">
        <f t="shared" si="2"/>
        <v>0.51292115404980576</v>
      </c>
      <c r="S124">
        <f>IF(Q124="new",1.5,1)*(K124/10)*(1-(MIN(F124,180)/180))</f>
        <v>0.40233333333333332</v>
      </c>
      <c r="T124" t="str">
        <f t="shared" si="3"/>
        <v>Scenario 4: Hybrid Logic</v>
      </c>
    </row>
    <row r="125" spans="1:20" x14ac:dyDescent="0.35">
      <c r="A125" t="s">
        <v>204</v>
      </c>
      <c r="B125" s="1">
        <v>44225</v>
      </c>
      <c r="C125">
        <v>2021</v>
      </c>
      <c r="D125">
        <v>1</v>
      </c>
      <c r="E125" t="s">
        <v>14</v>
      </c>
      <c r="F125">
        <v>106</v>
      </c>
      <c r="G125" t="s">
        <v>34</v>
      </c>
      <c r="H125" t="s">
        <v>24</v>
      </c>
      <c r="I125">
        <v>0</v>
      </c>
      <c r="J125">
        <v>0</v>
      </c>
      <c r="K125">
        <v>6.2</v>
      </c>
      <c r="L125">
        <v>22830</v>
      </c>
      <c r="M125" t="s">
        <v>17</v>
      </c>
      <c r="N125" t="str">
        <f>IF(ISNUMBER(SEARCH("Streaming", M125)), "streaming", "cinema")</f>
        <v>streaming</v>
      </c>
      <c r="O125" t="str">
        <f>IF(I125=1, "non-original", "original")</f>
        <v>original</v>
      </c>
      <c r="P125" t="str">
        <f>IF(J125 = 1, "franchise", "non-franchise")</f>
        <v>non-franchise</v>
      </c>
      <c r="Q125" t="str">
        <f>IF(OR(I125 = 1,J125 =1), "old", "new")</f>
        <v>new</v>
      </c>
      <c r="R125">
        <f t="shared" si="2"/>
        <v>0.42752938861931594</v>
      </c>
      <c r="S125">
        <f>IF(Q125="new",1.5,1)*(K125/10)*(1-(MIN(F125,180)/180))</f>
        <v>0.3823333333333333</v>
      </c>
      <c r="T125" t="str">
        <f t="shared" si="3"/>
        <v>Scenario 3: Strong Convenience</v>
      </c>
    </row>
    <row r="126" spans="1:20" x14ac:dyDescent="0.35">
      <c r="A126" t="s">
        <v>205</v>
      </c>
      <c r="B126" s="1">
        <v>44232</v>
      </c>
      <c r="C126">
        <v>2021</v>
      </c>
      <c r="D126">
        <v>2</v>
      </c>
      <c r="E126" t="s">
        <v>14</v>
      </c>
      <c r="F126">
        <v>106</v>
      </c>
      <c r="G126" t="s">
        <v>90</v>
      </c>
      <c r="H126" t="s">
        <v>24</v>
      </c>
      <c r="I126">
        <v>0</v>
      </c>
      <c r="J126">
        <v>0</v>
      </c>
      <c r="K126">
        <v>6.6</v>
      </c>
      <c r="L126">
        <v>43258</v>
      </c>
      <c r="M126" t="s">
        <v>17</v>
      </c>
      <c r="N126" t="str">
        <f>IF(ISNUMBER(SEARCH("Streaming", M126)), "streaming", "cinema")</f>
        <v>streaming</v>
      </c>
      <c r="O126" t="str">
        <f>IF(I126=1, "non-original", "original")</f>
        <v>original</v>
      </c>
      <c r="P126" t="str">
        <f>IF(J126 = 1, "franchise", "non-franchise")</f>
        <v>non-franchise</v>
      </c>
      <c r="Q126" t="str">
        <f>IF(OR(I126 = 1,J126 =1), "old", "new")</f>
        <v>new</v>
      </c>
      <c r="R126">
        <f t="shared" si="2"/>
        <v>0.45475552617340859</v>
      </c>
      <c r="S126">
        <f>IF(Q126="new",1.5,1)*(K126/10)*(1-(MIN(F126,180)/180))</f>
        <v>0.40699999999999992</v>
      </c>
      <c r="T126" t="str">
        <f t="shared" si="3"/>
        <v>Scenario 3: Strong Convenience</v>
      </c>
    </row>
    <row r="127" spans="1:20" x14ac:dyDescent="0.35">
      <c r="A127" t="s">
        <v>206</v>
      </c>
      <c r="B127" s="1">
        <v>44232</v>
      </c>
      <c r="C127">
        <v>2021</v>
      </c>
      <c r="D127">
        <v>2</v>
      </c>
      <c r="E127" t="s">
        <v>14</v>
      </c>
      <c r="F127">
        <v>136</v>
      </c>
      <c r="G127" t="s">
        <v>192</v>
      </c>
      <c r="H127" t="s">
        <v>24</v>
      </c>
      <c r="I127">
        <v>0</v>
      </c>
      <c r="J127">
        <v>0</v>
      </c>
      <c r="K127">
        <v>6.5</v>
      </c>
      <c r="L127">
        <v>30938</v>
      </c>
      <c r="M127" t="s">
        <v>17</v>
      </c>
      <c r="N127" t="str">
        <f>IF(ISNUMBER(SEARCH("Streaming", M127)), "streaming", "cinema")</f>
        <v>streaming</v>
      </c>
      <c r="O127" t="str">
        <f>IF(I127=1, "non-original", "original")</f>
        <v>original</v>
      </c>
      <c r="P127" t="str">
        <f>IF(J127 = 1, "franchise", "non-franchise")</f>
        <v>non-franchise</v>
      </c>
      <c r="Q127" t="str">
        <f>IF(OR(I127 = 1,J127 =1), "old", "new")</f>
        <v>new</v>
      </c>
      <c r="R127">
        <f t="shared" si="2"/>
        <v>0.56513906302707761</v>
      </c>
      <c r="S127">
        <f>IF(Q127="new",1.5,1)*(K127/10)*(1-(MIN(F127,180)/180))</f>
        <v>0.23833333333333337</v>
      </c>
      <c r="T127" t="str">
        <f t="shared" si="3"/>
        <v>Scenario 1: Strong Commitment</v>
      </c>
    </row>
    <row r="128" spans="1:20" x14ac:dyDescent="0.35">
      <c r="A128" t="s">
        <v>207</v>
      </c>
      <c r="B128" s="1">
        <v>44237</v>
      </c>
      <c r="C128">
        <v>2021</v>
      </c>
      <c r="D128">
        <v>2</v>
      </c>
      <c r="E128" t="s">
        <v>14</v>
      </c>
      <c r="F128">
        <v>99</v>
      </c>
      <c r="G128" t="s">
        <v>21</v>
      </c>
      <c r="H128" t="s">
        <v>16</v>
      </c>
      <c r="I128">
        <v>0</v>
      </c>
      <c r="J128">
        <v>0</v>
      </c>
      <c r="K128">
        <v>4.5</v>
      </c>
      <c r="L128">
        <v>838</v>
      </c>
      <c r="M128" t="s">
        <v>17</v>
      </c>
      <c r="N128" t="str">
        <f>IF(ISNUMBER(SEARCH("Streaming", M128)), "streaming", "cinema")</f>
        <v>streaming</v>
      </c>
      <c r="O128" t="str">
        <f>IF(I128=1, "non-original", "original")</f>
        <v>original</v>
      </c>
      <c r="P128" t="str">
        <f>IF(J128 = 1, "franchise", "non-franchise")</f>
        <v>non-franchise</v>
      </c>
      <c r="Q128" t="str">
        <f>IF(OR(I128 = 1,J128 =1), "old", "new")</f>
        <v>new</v>
      </c>
      <c r="R128">
        <f t="shared" si="2"/>
        <v>0.26780749882781085</v>
      </c>
      <c r="S128">
        <f>IF(Q128="new",1.5,1)*(K128/10)*(1-(MIN(F128,180)/180))</f>
        <v>0.30374999999999996</v>
      </c>
      <c r="T128" t="str">
        <f t="shared" si="3"/>
        <v>Scenario 2: Weak Commitment/Convenience</v>
      </c>
    </row>
    <row r="129" spans="1:20" x14ac:dyDescent="0.35">
      <c r="A129" t="s">
        <v>208</v>
      </c>
      <c r="B129" s="1">
        <v>44238</v>
      </c>
      <c r="C129">
        <v>2021</v>
      </c>
      <c r="D129">
        <v>2</v>
      </c>
      <c r="E129" t="s">
        <v>14</v>
      </c>
      <c r="F129">
        <v>86</v>
      </c>
      <c r="G129" t="s">
        <v>19</v>
      </c>
      <c r="H129" t="s">
        <v>16</v>
      </c>
      <c r="I129">
        <v>0</v>
      </c>
      <c r="J129">
        <v>0</v>
      </c>
      <c r="K129">
        <v>5.5</v>
      </c>
      <c r="L129">
        <v>15814</v>
      </c>
      <c r="M129" t="s">
        <v>17</v>
      </c>
      <c r="N129" t="str">
        <f>IF(ISNUMBER(SEARCH("Streaming", M129)), "streaming", "cinema")</f>
        <v>streaming</v>
      </c>
      <c r="O129" t="str">
        <f>IF(I129=1, "non-original", "original")</f>
        <v>original</v>
      </c>
      <c r="P129" t="str">
        <f>IF(J129 = 1, "franchise", "non-franchise")</f>
        <v>non-franchise</v>
      </c>
      <c r="Q129" t="str">
        <f>IF(OR(I129 = 1,J129 =1), "old", "new")</f>
        <v>new</v>
      </c>
      <c r="R129">
        <f t="shared" si="2"/>
        <v>0.3341728106998601</v>
      </c>
      <c r="S129">
        <f>IF(Q129="new",1.5,1)*(K129/10)*(1-(MIN(F129,180)/180))</f>
        <v>0.43083333333333329</v>
      </c>
      <c r="T129" t="str">
        <f t="shared" si="3"/>
        <v>Scenario 3: Strong Convenience</v>
      </c>
    </row>
    <row r="130" spans="1:20" x14ac:dyDescent="0.35">
      <c r="A130" t="s">
        <v>209</v>
      </c>
      <c r="B130" s="1">
        <v>44238</v>
      </c>
      <c r="C130">
        <v>2021</v>
      </c>
      <c r="D130">
        <v>2</v>
      </c>
      <c r="E130" t="s">
        <v>14</v>
      </c>
      <c r="F130">
        <v>102</v>
      </c>
      <c r="G130" t="s">
        <v>29</v>
      </c>
      <c r="H130" t="s">
        <v>16</v>
      </c>
      <c r="I130">
        <v>0</v>
      </c>
      <c r="J130">
        <v>0</v>
      </c>
      <c r="K130">
        <v>5.0999999999999996</v>
      </c>
      <c r="L130">
        <v>4073</v>
      </c>
      <c r="M130" t="s">
        <v>17</v>
      </c>
      <c r="N130" t="str">
        <f>IF(ISNUMBER(SEARCH("Streaming", M130)), "streaming", "cinema")</f>
        <v>streaming</v>
      </c>
      <c r="O130" t="str">
        <f>IF(I130=1, "non-original", "original")</f>
        <v>original</v>
      </c>
      <c r="P130" t="str">
        <f>IF(J130 = 1, "franchise", "non-franchise")</f>
        <v>non-franchise</v>
      </c>
      <c r="Q130" t="str">
        <f>IF(OR(I130 = 1,J130 =1), "old", "new")</f>
        <v>new</v>
      </c>
      <c r="R130">
        <f t="shared" si="2"/>
        <v>0.34073719658742746</v>
      </c>
      <c r="S130">
        <f>IF(Q130="new",1.5,1)*(K130/10)*(1-(MIN(F130,180)/180))</f>
        <v>0.33150000000000002</v>
      </c>
      <c r="T130" t="str">
        <f t="shared" si="3"/>
        <v>Scenario 3: Strong Convenience</v>
      </c>
    </row>
    <row r="131" spans="1:20" x14ac:dyDescent="0.35">
      <c r="A131" t="s">
        <v>210</v>
      </c>
      <c r="B131" s="1">
        <v>44239</v>
      </c>
      <c r="C131">
        <v>2021</v>
      </c>
      <c r="D131">
        <v>2</v>
      </c>
      <c r="E131" t="s">
        <v>14</v>
      </c>
      <c r="F131">
        <v>115</v>
      </c>
      <c r="G131" t="s">
        <v>29</v>
      </c>
      <c r="H131" t="s">
        <v>27</v>
      </c>
      <c r="I131">
        <v>0</v>
      </c>
      <c r="J131">
        <v>0</v>
      </c>
      <c r="K131">
        <v>6.3</v>
      </c>
      <c r="L131">
        <v>39005</v>
      </c>
      <c r="M131" t="s">
        <v>17</v>
      </c>
      <c r="N131" t="str">
        <f>IF(ISNUMBER(SEARCH("Streaming", M131)), "streaming", "cinema")</f>
        <v>streaming</v>
      </c>
      <c r="O131" t="str">
        <f>IF(I131=1, "non-original", "original")</f>
        <v>original</v>
      </c>
      <c r="P131" t="str">
        <f>IF(J131 = 1, "franchise", "non-franchise")</f>
        <v>non-franchise</v>
      </c>
      <c r="Q131" t="str">
        <f>IF(OR(I131 = 1,J131 =1), "old", "new")</f>
        <v>new</v>
      </c>
      <c r="R131">
        <f t="shared" ref="R131:R194" si="4">IF(Q131="old",1.5,1)*(LOG10(L131)/LOG10(MAX($L$2:$L$1078)))*(MIN(F131,180)/180)</f>
        <v>0.48858370715448884</v>
      </c>
      <c r="S131">
        <f>IF(Q131="new",1.5,1)*(K131/10)*(1-(MIN(F131,180)/180))</f>
        <v>0.34125000000000005</v>
      </c>
      <c r="T131" t="str">
        <f t="shared" ref="T131:T194" si="5">IF(AND(R131&gt;=AVERAGE($R$2:$R$1078),S131&gt;=AVERAGE($S$2:$S$1078)),"Scenario 4: Hybrid Logic",
 IF(AND(R131&gt;=AVERAGE($R$2:$R$1078),S131&lt;AVERAGE($S$2:$S$1078)),"Scenario 1: Strong Commitment",
  IF(AND(R131&lt;AVERAGE($R$2:$R$1078),S131&gt;=AVERAGE($S$2:$S$1078)),"Scenario 3: Strong Convenience",
   "Scenario 2: Weak Commitment/Convenience")))</f>
        <v>Scenario 4: Hybrid Logic</v>
      </c>
    </row>
    <row r="132" spans="1:20" x14ac:dyDescent="0.35">
      <c r="A132" t="s">
        <v>211</v>
      </c>
      <c r="B132" s="1">
        <v>44252</v>
      </c>
      <c r="C132">
        <v>2021</v>
      </c>
      <c r="D132">
        <v>2</v>
      </c>
      <c r="E132" t="s">
        <v>14</v>
      </c>
      <c r="F132">
        <v>105</v>
      </c>
      <c r="G132" t="s">
        <v>90</v>
      </c>
      <c r="H132" t="s">
        <v>56</v>
      </c>
      <c r="I132">
        <v>0</v>
      </c>
      <c r="J132">
        <v>0</v>
      </c>
      <c r="K132">
        <v>5.2</v>
      </c>
      <c r="L132">
        <v>367</v>
      </c>
      <c r="M132" t="s">
        <v>17</v>
      </c>
      <c r="N132" t="str">
        <f>IF(ISNUMBER(SEARCH("Streaming", M132)), "streaming", "cinema")</f>
        <v>streaming</v>
      </c>
      <c r="O132" t="str">
        <f>IF(I132=1, "non-original", "original")</f>
        <v>original</v>
      </c>
      <c r="P132" t="str">
        <f>IF(J132 = 1, "franchise", "non-franchise")</f>
        <v>non-franchise</v>
      </c>
      <c r="Q132" t="str">
        <f>IF(OR(I132 = 1,J132 =1), "old", "new")</f>
        <v>new</v>
      </c>
      <c r="R132">
        <f t="shared" si="4"/>
        <v>0.24919687591003714</v>
      </c>
      <c r="S132">
        <f>IF(Q132="new",1.5,1)*(K132/10)*(1-(MIN(F132,180)/180))</f>
        <v>0.32499999999999996</v>
      </c>
      <c r="T132" t="str">
        <f t="shared" si="5"/>
        <v>Scenario 3: Strong Convenience</v>
      </c>
    </row>
    <row r="133" spans="1:20" x14ac:dyDescent="0.35">
      <c r="A133" t="s">
        <v>212</v>
      </c>
      <c r="B133" s="1">
        <v>44253</v>
      </c>
      <c r="C133">
        <v>2021</v>
      </c>
      <c r="D133">
        <v>2</v>
      </c>
      <c r="E133" t="s">
        <v>14</v>
      </c>
      <c r="F133">
        <v>102</v>
      </c>
      <c r="G133" t="s">
        <v>29</v>
      </c>
      <c r="H133" t="s">
        <v>30</v>
      </c>
      <c r="I133">
        <v>0</v>
      </c>
      <c r="J133">
        <v>0</v>
      </c>
      <c r="K133">
        <v>6.6</v>
      </c>
      <c r="L133">
        <v>6906</v>
      </c>
      <c r="M133" t="s">
        <v>17</v>
      </c>
      <c r="N133" t="str">
        <f>IF(ISNUMBER(SEARCH("Streaming", M133)), "streaming", "cinema")</f>
        <v>streaming</v>
      </c>
      <c r="O133" t="str">
        <f>IF(I133=1, "non-original", "original")</f>
        <v>original</v>
      </c>
      <c r="P133" t="str">
        <f>IF(J133 = 1, "franchise", "non-franchise")</f>
        <v>non-franchise</v>
      </c>
      <c r="Q133" t="str">
        <f>IF(OR(I133 = 1,J133 =1), "old", "new")</f>
        <v>new</v>
      </c>
      <c r="R133">
        <f t="shared" si="4"/>
        <v>0.36238180501961748</v>
      </c>
      <c r="S133">
        <f>IF(Q133="new",1.5,1)*(K133/10)*(1-(MIN(F133,180)/180))</f>
        <v>0.42899999999999994</v>
      </c>
      <c r="T133" t="str">
        <f t="shared" si="5"/>
        <v>Scenario 3: Strong Convenience</v>
      </c>
    </row>
    <row r="134" spans="1:20" x14ac:dyDescent="0.35">
      <c r="A134" t="s">
        <v>213</v>
      </c>
      <c r="B134" s="1">
        <v>44253</v>
      </c>
      <c r="C134">
        <v>2021</v>
      </c>
      <c r="D134">
        <v>2</v>
      </c>
      <c r="E134" t="s">
        <v>14</v>
      </c>
      <c r="F134">
        <v>120</v>
      </c>
      <c r="G134" t="s">
        <v>19</v>
      </c>
      <c r="H134" t="s">
        <v>30</v>
      </c>
      <c r="I134">
        <v>1</v>
      </c>
      <c r="J134">
        <v>1</v>
      </c>
      <c r="K134">
        <v>4</v>
      </c>
      <c r="L134">
        <v>15344</v>
      </c>
      <c r="M134" t="s">
        <v>17</v>
      </c>
      <c r="N134" t="str">
        <f>IF(ISNUMBER(SEARCH("Streaming", M134)), "streaming", "cinema")</f>
        <v>streaming</v>
      </c>
      <c r="O134" t="str">
        <f>IF(I134=1, "non-original", "original")</f>
        <v>non-original</v>
      </c>
      <c r="P134" t="str">
        <f>IF(J134 = 1, "franchise", "non-franchise")</f>
        <v>franchise</v>
      </c>
      <c r="Q134" t="str">
        <f>IF(OR(I134 = 1,J134 =1), "old", "new")</f>
        <v>old</v>
      </c>
      <c r="R134">
        <f t="shared" si="4"/>
        <v>0.69724888255762529</v>
      </c>
      <c r="S134">
        <f>IF(Q134="new",1.5,1)*(K134/10)*(1-(MIN(F134,180)/180))</f>
        <v>0.13333333333333336</v>
      </c>
      <c r="T134" t="str">
        <f t="shared" si="5"/>
        <v>Scenario 1: Strong Commitment</v>
      </c>
    </row>
    <row r="135" spans="1:20" x14ac:dyDescent="0.35">
      <c r="A135" t="s">
        <v>214</v>
      </c>
      <c r="B135" s="1">
        <v>44258</v>
      </c>
      <c r="C135">
        <v>2021</v>
      </c>
      <c r="D135">
        <v>3</v>
      </c>
      <c r="E135" t="s">
        <v>38</v>
      </c>
      <c r="F135">
        <v>111</v>
      </c>
      <c r="G135" t="s">
        <v>34</v>
      </c>
      <c r="H135" t="s">
        <v>27</v>
      </c>
      <c r="I135">
        <v>0</v>
      </c>
      <c r="J135">
        <v>0</v>
      </c>
      <c r="K135">
        <v>6.7</v>
      </c>
      <c r="L135">
        <v>30503</v>
      </c>
      <c r="M135" t="s">
        <v>17</v>
      </c>
      <c r="N135" t="str">
        <f>IF(ISNUMBER(SEARCH("Streaming", M135)), "streaming", "cinema")</f>
        <v>streaming</v>
      </c>
      <c r="O135" t="str">
        <f>IF(I135=1, "non-original", "original")</f>
        <v>original</v>
      </c>
      <c r="P135" t="str">
        <f>IF(J135 = 1, "franchise", "non-franchise")</f>
        <v>non-franchise</v>
      </c>
      <c r="Q135" t="str">
        <f>IF(OR(I135 = 1,J135 =1), "old", "new")</f>
        <v>new</v>
      </c>
      <c r="R135">
        <f t="shared" si="4"/>
        <v>0.46062152459304773</v>
      </c>
      <c r="S135">
        <f>IF(Q135="new",1.5,1)*(K135/10)*(1-(MIN(F135,180)/180))</f>
        <v>0.38525000000000004</v>
      </c>
      <c r="T135" t="str">
        <f t="shared" si="5"/>
        <v>Scenario 3: Strong Convenience</v>
      </c>
    </row>
    <row r="136" spans="1:20" x14ac:dyDescent="0.35">
      <c r="A136" t="s">
        <v>215</v>
      </c>
      <c r="B136" s="1">
        <v>44260</v>
      </c>
      <c r="C136">
        <v>2021</v>
      </c>
      <c r="D136">
        <v>3</v>
      </c>
      <c r="E136" t="s">
        <v>38</v>
      </c>
      <c r="F136">
        <v>80</v>
      </c>
      <c r="G136" t="s">
        <v>58</v>
      </c>
      <c r="H136" t="s">
        <v>16</v>
      </c>
      <c r="I136">
        <v>0</v>
      </c>
      <c r="J136">
        <v>0</v>
      </c>
      <c r="K136">
        <v>4.8</v>
      </c>
      <c r="L136">
        <v>9164</v>
      </c>
      <c r="M136" t="s">
        <v>17</v>
      </c>
      <c r="N136" t="str">
        <f>IF(ISNUMBER(SEARCH("Streaming", M136)), "streaming", "cinema")</f>
        <v>streaming</v>
      </c>
      <c r="O136" t="str">
        <f>IF(I136=1, "non-original", "original")</f>
        <v>original</v>
      </c>
      <c r="P136" t="str">
        <f>IF(J136 = 1, "franchise", "non-franchise")</f>
        <v>non-franchise</v>
      </c>
      <c r="Q136" t="str">
        <f>IF(OR(I136 = 1,J136 =1), "old", "new")</f>
        <v>new</v>
      </c>
      <c r="R136">
        <f t="shared" si="4"/>
        <v>0.29331633735255463</v>
      </c>
      <c r="S136">
        <f>IF(Q136="new",1.5,1)*(K136/10)*(1-(MIN(F136,180)/180))</f>
        <v>0.4</v>
      </c>
      <c r="T136" t="str">
        <f t="shared" si="5"/>
        <v>Scenario 3: Strong Convenience</v>
      </c>
    </row>
    <row r="137" spans="1:20" x14ac:dyDescent="0.35">
      <c r="A137" t="s">
        <v>216</v>
      </c>
      <c r="B137" s="1">
        <v>44267</v>
      </c>
      <c r="C137">
        <v>2021</v>
      </c>
      <c r="D137">
        <v>3</v>
      </c>
      <c r="E137" t="s">
        <v>38</v>
      </c>
      <c r="F137">
        <v>89</v>
      </c>
      <c r="G137" t="s">
        <v>21</v>
      </c>
      <c r="H137" t="s">
        <v>56</v>
      </c>
      <c r="I137">
        <v>0</v>
      </c>
      <c r="J137">
        <v>0</v>
      </c>
      <c r="K137">
        <v>5.7</v>
      </c>
      <c r="L137">
        <v>34559</v>
      </c>
      <c r="M137" t="s">
        <v>17</v>
      </c>
      <c r="N137" t="str">
        <f>IF(ISNUMBER(SEARCH("Streaming", M137)), "streaming", "cinema")</f>
        <v>streaming</v>
      </c>
      <c r="O137" t="str">
        <f>IF(I137=1, "non-original", "original")</f>
        <v>original</v>
      </c>
      <c r="P137" t="str">
        <f>IF(J137 = 1, "franchise", "non-franchise")</f>
        <v>non-franchise</v>
      </c>
      <c r="Q137" t="str">
        <f>IF(OR(I137 = 1,J137 =1), "old", "new")</f>
        <v>new</v>
      </c>
      <c r="R137">
        <f t="shared" si="4"/>
        <v>0.37379257358168949</v>
      </c>
      <c r="S137">
        <f>IF(Q137="new",1.5,1)*(K137/10)*(1-(MIN(F137,180)/180))</f>
        <v>0.43225000000000002</v>
      </c>
      <c r="T137" t="str">
        <f t="shared" si="5"/>
        <v>Scenario 3: Strong Convenience</v>
      </c>
    </row>
    <row r="138" spans="1:20" x14ac:dyDescent="0.35">
      <c r="A138" t="s">
        <v>217</v>
      </c>
      <c r="B138" s="1">
        <v>44267</v>
      </c>
      <c r="C138">
        <v>2021</v>
      </c>
      <c r="D138">
        <v>3</v>
      </c>
      <c r="E138" t="s">
        <v>38</v>
      </c>
      <c r="F138">
        <v>97</v>
      </c>
      <c r="G138" t="s">
        <v>34</v>
      </c>
      <c r="H138" t="s">
        <v>16</v>
      </c>
      <c r="I138">
        <v>0</v>
      </c>
      <c r="J138">
        <v>0</v>
      </c>
      <c r="K138">
        <v>6.6</v>
      </c>
      <c r="L138">
        <v>14922</v>
      </c>
      <c r="M138" t="s">
        <v>17</v>
      </c>
      <c r="N138" t="str">
        <f>IF(ISNUMBER(SEARCH("Streaming", M138)), "streaming", "cinema")</f>
        <v>streaming</v>
      </c>
      <c r="O138" t="str">
        <f>IF(I138=1, "non-original", "original")</f>
        <v>original</v>
      </c>
      <c r="P138" t="str">
        <f>IF(J138 = 1, "franchise", "non-franchise")</f>
        <v>non-franchise</v>
      </c>
      <c r="Q138" t="str">
        <f>IF(OR(I138 = 1,J138 =1), "old", "new")</f>
        <v>new</v>
      </c>
      <c r="R138">
        <f t="shared" si="4"/>
        <v>0.37465251406233208</v>
      </c>
      <c r="S138">
        <f>IF(Q138="new",1.5,1)*(K138/10)*(1-(MIN(F138,180)/180))</f>
        <v>0.45649999999999996</v>
      </c>
      <c r="T138" t="str">
        <f t="shared" si="5"/>
        <v>Scenario 3: Strong Convenience</v>
      </c>
    </row>
    <row r="139" spans="1:20" x14ac:dyDescent="0.35">
      <c r="A139" t="s">
        <v>218</v>
      </c>
      <c r="B139" s="1">
        <v>44273</v>
      </c>
      <c r="C139">
        <v>2021</v>
      </c>
      <c r="D139">
        <v>3</v>
      </c>
      <c r="E139" t="s">
        <v>38</v>
      </c>
      <c r="F139">
        <v>98</v>
      </c>
      <c r="G139" t="s">
        <v>21</v>
      </c>
      <c r="H139" t="s">
        <v>16</v>
      </c>
      <c r="I139">
        <v>0</v>
      </c>
      <c r="J139">
        <v>0</v>
      </c>
      <c r="K139">
        <v>6</v>
      </c>
      <c r="L139">
        <v>2174</v>
      </c>
      <c r="M139" t="s">
        <v>17</v>
      </c>
      <c r="N139" t="str">
        <f>IF(ISNUMBER(SEARCH("Streaming", M139)), "streaming", "cinema")</f>
        <v>streaming</v>
      </c>
      <c r="O139" t="str">
        <f>IF(I139=1, "non-original", "original")</f>
        <v>original</v>
      </c>
      <c r="P139" t="str">
        <f>IF(J139 = 1, "franchise", "non-franchise")</f>
        <v>non-franchise</v>
      </c>
      <c r="Q139" t="str">
        <f>IF(OR(I139 = 1,J139 =1), "old", "new")</f>
        <v>new</v>
      </c>
      <c r="R139">
        <f t="shared" si="4"/>
        <v>0.302648501546461</v>
      </c>
      <c r="S139">
        <f>IF(Q139="new",1.5,1)*(K139/10)*(1-(MIN(F139,180)/180))</f>
        <v>0.41</v>
      </c>
      <c r="T139" t="str">
        <f t="shared" si="5"/>
        <v>Scenario 3: Strong Convenience</v>
      </c>
    </row>
    <row r="140" spans="1:20" x14ac:dyDescent="0.35">
      <c r="A140" t="s">
        <v>219</v>
      </c>
      <c r="B140" s="1">
        <v>44280</v>
      </c>
      <c r="C140">
        <v>2021</v>
      </c>
      <c r="D140">
        <v>3</v>
      </c>
      <c r="E140" t="s">
        <v>38</v>
      </c>
      <c r="F140">
        <v>99</v>
      </c>
      <c r="G140" t="s">
        <v>220</v>
      </c>
      <c r="H140" t="s">
        <v>16</v>
      </c>
      <c r="I140">
        <v>0</v>
      </c>
      <c r="J140">
        <v>0</v>
      </c>
      <c r="K140">
        <v>5.8</v>
      </c>
      <c r="L140">
        <v>1685</v>
      </c>
      <c r="M140" t="s">
        <v>17</v>
      </c>
      <c r="N140" t="str">
        <f>IF(ISNUMBER(SEARCH("Streaming", M140)), "streaming", "cinema")</f>
        <v>streaming</v>
      </c>
      <c r="O140" t="str">
        <f>IF(I140=1, "non-original", "original")</f>
        <v>original</v>
      </c>
      <c r="P140" t="str">
        <f>IF(J140 = 1, "franchise", "non-franchise")</f>
        <v>non-franchise</v>
      </c>
      <c r="Q140" t="str">
        <f>IF(OR(I140 = 1,J140 =1), "old", "new")</f>
        <v>new</v>
      </c>
      <c r="R140">
        <f t="shared" si="4"/>
        <v>0.29559887741992974</v>
      </c>
      <c r="S140">
        <f>IF(Q140="new",1.5,1)*(K140/10)*(1-(MIN(F140,180)/180))</f>
        <v>0.3914999999999999</v>
      </c>
      <c r="T140" t="str">
        <f t="shared" si="5"/>
        <v>Scenario 3: Strong Convenience</v>
      </c>
    </row>
    <row r="141" spans="1:20" x14ac:dyDescent="0.35">
      <c r="A141" t="s">
        <v>221</v>
      </c>
      <c r="B141" s="1">
        <v>44281</v>
      </c>
      <c r="C141">
        <v>2021</v>
      </c>
      <c r="D141">
        <v>3</v>
      </c>
      <c r="E141" t="s">
        <v>38</v>
      </c>
      <c r="F141">
        <v>97</v>
      </c>
      <c r="G141" t="s">
        <v>222</v>
      </c>
      <c r="H141" t="s">
        <v>16</v>
      </c>
      <c r="I141">
        <v>0</v>
      </c>
      <c r="J141">
        <v>0</v>
      </c>
      <c r="K141">
        <v>5.8</v>
      </c>
      <c r="L141">
        <v>5990</v>
      </c>
      <c r="M141" t="s">
        <v>17</v>
      </c>
      <c r="N141" t="str">
        <f>IF(ISNUMBER(SEARCH("Streaming", M141)), "streaming", "cinema")</f>
        <v>streaming</v>
      </c>
      <c r="O141" t="str">
        <f>IF(I141=1, "non-original", "original")</f>
        <v>original</v>
      </c>
      <c r="P141" t="str">
        <f>IF(J141 = 1, "franchise", "non-franchise")</f>
        <v>non-franchise</v>
      </c>
      <c r="Q141" t="str">
        <f>IF(OR(I141 = 1,J141 =1), "old", "new")</f>
        <v>new</v>
      </c>
      <c r="R141">
        <f t="shared" si="4"/>
        <v>0.33907070024837105</v>
      </c>
      <c r="S141">
        <f>IF(Q141="new",1.5,1)*(K141/10)*(1-(MIN(F141,180)/180))</f>
        <v>0.40116666666666662</v>
      </c>
      <c r="T141" t="str">
        <f t="shared" si="5"/>
        <v>Scenario 3: Strong Convenience</v>
      </c>
    </row>
    <row r="142" spans="1:20" x14ac:dyDescent="0.35">
      <c r="A142" t="s">
        <v>223</v>
      </c>
      <c r="B142" s="1">
        <v>44281</v>
      </c>
      <c r="C142">
        <v>2021</v>
      </c>
      <c r="D142">
        <v>3</v>
      </c>
      <c r="E142" t="s">
        <v>38</v>
      </c>
      <c r="F142">
        <v>86</v>
      </c>
      <c r="G142" t="s">
        <v>224</v>
      </c>
      <c r="H142" t="s">
        <v>24</v>
      </c>
      <c r="I142">
        <v>0</v>
      </c>
      <c r="J142">
        <v>0</v>
      </c>
      <c r="K142">
        <v>6.5</v>
      </c>
      <c r="L142">
        <v>28930</v>
      </c>
      <c r="M142" t="s">
        <v>17</v>
      </c>
      <c r="N142" t="str">
        <f>IF(ISNUMBER(SEARCH("Streaming", M142)), "streaming", "cinema")</f>
        <v>streaming</v>
      </c>
      <c r="O142" t="str">
        <f>IF(I142=1, "non-original", "original")</f>
        <v>original</v>
      </c>
      <c r="P142" t="str">
        <f>IF(J142 = 1, "franchise", "non-franchise")</f>
        <v>non-franchise</v>
      </c>
      <c r="Q142" t="str">
        <f>IF(OR(I142 = 1,J142 =1), "old", "new")</f>
        <v>new</v>
      </c>
      <c r="R142">
        <f t="shared" si="4"/>
        <v>0.35504799424785044</v>
      </c>
      <c r="S142">
        <f>IF(Q142="new",1.5,1)*(K142/10)*(1-(MIN(F142,180)/180))</f>
        <v>0.50916666666666666</v>
      </c>
      <c r="T142" t="str">
        <f t="shared" si="5"/>
        <v>Scenario 3: Strong Convenience</v>
      </c>
    </row>
    <row r="143" spans="1:20" x14ac:dyDescent="0.35">
      <c r="A143" t="s">
        <v>225</v>
      </c>
      <c r="B143" s="1">
        <v>44281</v>
      </c>
      <c r="C143">
        <v>2021</v>
      </c>
      <c r="D143">
        <v>3</v>
      </c>
      <c r="E143" t="s">
        <v>38</v>
      </c>
      <c r="F143">
        <v>114</v>
      </c>
      <c r="G143" t="s">
        <v>116</v>
      </c>
      <c r="H143" t="s">
        <v>16</v>
      </c>
      <c r="I143">
        <v>0</v>
      </c>
      <c r="J143">
        <v>0</v>
      </c>
      <c r="K143">
        <v>6.9</v>
      </c>
      <c r="L143">
        <v>11949</v>
      </c>
      <c r="M143" t="s">
        <v>17</v>
      </c>
      <c r="N143" t="str">
        <f>IF(ISNUMBER(SEARCH("Streaming", M143)), "streaming", "cinema")</f>
        <v>streaming</v>
      </c>
      <c r="O143" t="str">
        <f>IF(I143=1, "non-original", "original")</f>
        <v>original</v>
      </c>
      <c r="P143" t="str">
        <f>IF(J143 = 1, "franchise", "non-franchise")</f>
        <v>non-franchise</v>
      </c>
      <c r="Q143" t="str">
        <f>IF(OR(I143 = 1,J143 =1), "old", "new")</f>
        <v>new</v>
      </c>
      <c r="R143">
        <f t="shared" si="4"/>
        <v>0.43013358065616941</v>
      </c>
      <c r="S143">
        <f>IF(Q143="new",1.5,1)*(K143/10)*(1-(MIN(F143,180)/180))</f>
        <v>0.37950000000000006</v>
      </c>
      <c r="T143" t="str">
        <f t="shared" si="5"/>
        <v>Scenario 3: Strong Convenience</v>
      </c>
    </row>
    <row r="144" spans="1:20" x14ac:dyDescent="0.35">
      <c r="A144" t="s">
        <v>226</v>
      </c>
      <c r="B144" s="1">
        <v>44288</v>
      </c>
      <c r="C144">
        <v>2021</v>
      </c>
      <c r="D144">
        <v>4</v>
      </c>
      <c r="E144" t="s">
        <v>38</v>
      </c>
      <c r="F144">
        <v>97</v>
      </c>
      <c r="G144" t="s">
        <v>29</v>
      </c>
      <c r="H144" t="s">
        <v>16</v>
      </c>
      <c r="I144">
        <v>0</v>
      </c>
      <c r="J144">
        <v>0</v>
      </c>
      <c r="K144">
        <v>4.5999999999999996</v>
      </c>
      <c r="L144">
        <v>2247</v>
      </c>
      <c r="M144" t="s">
        <v>17</v>
      </c>
      <c r="N144" t="str">
        <f>IF(ISNUMBER(SEARCH("Streaming", M144)), "streaming", "cinema")</f>
        <v>streaming</v>
      </c>
      <c r="O144" t="str">
        <f>IF(I144=1, "non-original", "original")</f>
        <v>original</v>
      </c>
      <c r="P144" t="str">
        <f>IF(J144 = 1, "franchise", "non-franchise")</f>
        <v>non-franchise</v>
      </c>
      <c r="Q144" t="str">
        <f>IF(OR(I144 = 1,J144 =1), "old", "new")</f>
        <v>new</v>
      </c>
      <c r="R144">
        <f t="shared" si="4"/>
        <v>0.30084776069888941</v>
      </c>
      <c r="S144">
        <f>IF(Q144="new",1.5,1)*(K144/10)*(1-(MIN(F144,180)/180))</f>
        <v>0.31816666666666665</v>
      </c>
      <c r="T144" t="str">
        <f t="shared" si="5"/>
        <v>Scenario 3: Strong Convenience</v>
      </c>
    </row>
    <row r="145" spans="1:20" x14ac:dyDescent="0.35">
      <c r="A145" t="s">
        <v>227</v>
      </c>
      <c r="B145" s="1">
        <v>44288</v>
      </c>
      <c r="C145">
        <v>2021</v>
      </c>
      <c r="D145">
        <v>4</v>
      </c>
      <c r="E145" t="s">
        <v>38</v>
      </c>
      <c r="F145">
        <v>112</v>
      </c>
      <c r="G145" t="s">
        <v>34</v>
      </c>
      <c r="H145" t="s">
        <v>16</v>
      </c>
      <c r="I145">
        <v>0</v>
      </c>
      <c r="J145">
        <v>0</v>
      </c>
      <c r="K145">
        <v>5.5</v>
      </c>
      <c r="L145">
        <v>4420</v>
      </c>
      <c r="M145" t="s">
        <v>17</v>
      </c>
      <c r="N145" t="str">
        <f>IF(ISNUMBER(SEARCH("Streaming", M145)), "streaming", "cinema")</f>
        <v>streaming</v>
      </c>
      <c r="O145" t="str">
        <f>IF(I145=1, "non-original", "original")</f>
        <v>original</v>
      </c>
      <c r="P145" t="str">
        <f>IF(J145 = 1, "franchise", "non-franchise")</f>
        <v>non-franchise</v>
      </c>
      <c r="Q145" t="str">
        <f>IF(OR(I145 = 1,J145 =1), "old", "new")</f>
        <v>new</v>
      </c>
      <c r="R145">
        <f t="shared" si="4"/>
        <v>0.37782294952964729</v>
      </c>
      <c r="S145">
        <f>IF(Q145="new",1.5,1)*(K145/10)*(1-(MIN(F145,180)/180))</f>
        <v>0.3116666666666667</v>
      </c>
      <c r="T145" t="str">
        <f t="shared" si="5"/>
        <v>Scenario 2: Weak Commitment/Convenience</v>
      </c>
    </row>
    <row r="146" spans="1:20" x14ac:dyDescent="0.35">
      <c r="A146" t="s">
        <v>228</v>
      </c>
      <c r="B146" s="1">
        <v>44295</v>
      </c>
      <c r="C146">
        <v>2021</v>
      </c>
      <c r="D146">
        <v>4</v>
      </c>
      <c r="E146" t="s">
        <v>38</v>
      </c>
      <c r="F146">
        <v>114</v>
      </c>
      <c r="G146" t="s">
        <v>21</v>
      </c>
      <c r="H146" t="s">
        <v>16</v>
      </c>
      <c r="I146">
        <v>0</v>
      </c>
      <c r="J146">
        <v>0</v>
      </c>
      <c r="K146">
        <v>6.2</v>
      </c>
      <c r="L146">
        <v>5991</v>
      </c>
      <c r="M146" t="s">
        <v>17</v>
      </c>
      <c r="N146" t="str">
        <f>IF(ISNUMBER(SEARCH("Streaming", M146)), "streaming", "cinema")</f>
        <v>streaming</v>
      </c>
      <c r="O146" t="str">
        <f>IF(I146=1, "non-original", "original")</f>
        <v>original</v>
      </c>
      <c r="P146" t="str">
        <f>IF(J146 = 1, "franchise", "non-franchise")</f>
        <v>non-franchise</v>
      </c>
      <c r="Q146" t="str">
        <f>IF(OR(I146 = 1,J146 =1), "old", "new")</f>
        <v>new</v>
      </c>
      <c r="R146">
        <f t="shared" si="4"/>
        <v>0.39850311015956252</v>
      </c>
      <c r="S146">
        <f>IF(Q146="new",1.5,1)*(K146/10)*(1-(MIN(F146,180)/180))</f>
        <v>0.34100000000000003</v>
      </c>
      <c r="T146" t="str">
        <f t="shared" si="5"/>
        <v>Scenario 3: Strong Convenience</v>
      </c>
    </row>
    <row r="147" spans="1:20" x14ac:dyDescent="0.35">
      <c r="A147" t="s">
        <v>229</v>
      </c>
      <c r="B147" s="1">
        <v>44295</v>
      </c>
      <c r="C147">
        <v>2021</v>
      </c>
      <c r="D147">
        <v>4</v>
      </c>
      <c r="E147" t="s">
        <v>38</v>
      </c>
      <c r="F147">
        <v>107</v>
      </c>
      <c r="G147" t="s">
        <v>230</v>
      </c>
      <c r="H147" t="s">
        <v>27</v>
      </c>
      <c r="I147">
        <v>0</v>
      </c>
      <c r="J147">
        <v>0</v>
      </c>
      <c r="K147">
        <v>4.5999999999999996</v>
      </c>
      <c r="L147">
        <v>48257</v>
      </c>
      <c r="M147" t="s">
        <v>17</v>
      </c>
      <c r="N147" t="str">
        <f>IF(ISNUMBER(SEARCH("Streaming", M147)), "streaming", "cinema")</f>
        <v>streaming</v>
      </c>
      <c r="O147" t="str">
        <f>IF(I147=1, "non-original", "original")</f>
        <v>original</v>
      </c>
      <c r="P147" t="str">
        <f>IF(J147 = 1, "franchise", "non-franchise")</f>
        <v>non-franchise</v>
      </c>
      <c r="Q147" t="str">
        <f>IF(OR(I147 = 1,J147 =1), "old", "new")</f>
        <v>new</v>
      </c>
      <c r="R147">
        <f t="shared" si="4"/>
        <v>0.46374833640036695</v>
      </c>
      <c r="S147">
        <f>IF(Q147="new",1.5,1)*(K147/10)*(1-(MIN(F147,180)/180))</f>
        <v>0.27983333333333332</v>
      </c>
      <c r="T147" t="str">
        <f t="shared" si="5"/>
        <v>Scenario 2: Weak Commitment/Convenience</v>
      </c>
    </row>
    <row r="148" spans="1:20" x14ac:dyDescent="0.35">
      <c r="A148" t="s">
        <v>231</v>
      </c>
      <c r="B148" s="1">
        <v>44300</v>
      </c>
      <c r="C148">
        <v>2021</v>
      </c>
      <c r="D148">
        <v>4</v>
      </c>
      <c r="E148" t="s">
        <v>38</v>
      </c>
      <c r="F148">
        <v>92</v>
      </c>
      <c r="G148" t="s">
        <v>19</v>
      </c>
      <c r="H148" t="s">
        <v>24</v>
      </c>
      <c r="I148">
        <v>0</v>
      </c>
      <c r="J148">
        <v>0</v>
      </c>
      <c r="K148">
        <v>5.2</v>
      </c>
      <c r="L148">
        <v>2083</v>
      </c>
      <c r="M148" t="s">
        <v>17</v>
      </c>
      <c r="N148" t="str">
        <f>IF(ISNUMBER(SEARCH("Streaming", M148)), "streaming", "cinema")</f>
        <v>streaming</v>
      </c>
      <c r="O148" t="str">
        <f>IF(I148=1, "non-original", "original")</f>
        <v>original</v>
      </c>
      <c r="P148" t="str">
        <f>IF(J148 = 1, "franchise", "non-franchise")</f>
        <v>non-franchise</v>
      </c>
      <c r="Q148" t="str">
        <f>IF(OR(I148 = 1,J148 =1), "old", "new")</f>
        <v>new</v>
      </c>
      <c r="R148">
        <f t="shared" si="4"/>
        <v>0.28253801368318093</v>
      </c>
      <c r="S148">
        <f>IF(Q148="new",1.5,1)*(K148/10)*(1-(MIN(F148,180)/180))</f>
        <v>0.38133333333333336</v>
      </c>
      <c r="T148" t="str">
        <f t="shared" si="5"/>
        <v>Scenario 3: Strong Convenience</v>
      </c>
    </row>
    <row r="149" spans="1:20" x14ac:dyDescent="0.35">
      <c r="A149" t="s">
        <v>232</v>
      </c>
      <c r="B149" s="1">
        <v>44301</v>
      </c>
      <c r="C149">
        <v>2021</v>
      </c>
      <c r="D149">
        <v>4</v>
      </c>
      <c r="E149" t="s">
        <v>38</v>
      </c>
      <c r="F149">
        <v>142</v>
      </c>
      <c r="G149" t="s">
        <v>233</v>
      </c>
      <c r="H149" t="s">
        <v>24</v>
      </c>
      <c r="I149">
        <v>0</v>
      </c>
      <c r="J149">
        <v>0</v>
      </c>
      <c r="K149">
        <v>5.6</v>
      </c>
      <c r="L149">
        <v>3001</v>
      </c>
      <c r="M149" t="s">
        <v>17</v>
      </c>
      <c r="N149" t="str">
        <f>IF(ISNUMBER(SEARCH("Streaming", M149)), "streaming", "cinema")</f>
        <v>streaming</v>
      </c>
      <c r="O149" t="str">
        <f>IF(I149=1, "non-original", "original")</f>
        <v>original</v>
      </c>
      <c r="P149" t="str">
        <f>IF(J149 = 1, "franchise", "non-franchise")</f>
        <v>non-franchise</v>
      </c>
      <c r="Q149" t="str">
        <f>IF(OR(I149 = 1,J149 =1), "old", "new")</f>
        <v>new</v>
      </c>
      <c r="R149">
        <f t="shared" si="4"/>
        <v>0.45692900492197991</v>
      </c>
      <c r="S149">
        <f>IF(Q149="new",1.5,1)*(K149/10)*(1-(MIN(F149,180)/180))</f>
        <v>0.17733333333333332</v>
      </c>
      <c r="T149" t="str">
        <f t="shared" si="5"/>
        <v>Scenario 2: Weak Commitment/Convenience</v>
      </c>
    </row>
    <row r="150" spans="1:20" x14ac:dyDescent="0.35">
      <c r="A150" t="s">
        <v>234</v>
      </c>
      <c r="B150" s="1">
        <v>44302</v>
      </c>
      <c r="C150">
        <v>2021</v>
      </c>
      <c r="D150">
        <v>4</v>
      </c>
      <c r="E150" t="s">
        <v>38</v>
      </c>
      <c r="F150">
        <v>142</v>
      </c>
      <c r="G150" t="s">
        <v>34</v>
      </c>
      <c r="H150" t="s">
        <v>16</v>
      </c>
      <c r="I150">
        <v>0</v>
      </c>
      <c r="J150">
        <v>0</v>
      </c>
      <c r="K150">
        <v>6.7</v>
      </c>
      <c r="L150">
        <v>7187</v>
      </c>
      <c r="M150" t="s">
        <v>17</v>
      </c>
      <c r="N150" t="str">
        <f>IF(ISNUMBER(SEARCH("Streaming", M150)), "streaming", "cinema")</f>
        <v>streaming</v>
      </c>
      <c r="O150" t="str">
        <f>IF(I150=1, "non-original", "original")</f>
        <v>original</v>
      </c>
      <c r="P150" t="str">
        <f>IF(J150 = 1, "franchise", "non-franchise")</f>
        <v>non-franchise</v>
      </c>
      <c r="Q150" t="str">
        <f>IF(OR(I150 = 1,J150 =1), "old", "new")</f>
        <v>new</v>
      </c>
      <c r="R150">
        <f t="shared" si="4"/>
        <v>0.5067683864614152</v>
      </c>
      <c r="S150">
        <f>IF(Q150="new",1.5,1)*(K150/10)*(1-(MIN(F150,180)/180))</f>
        <v>0.21216666666666673</v>
      </c>
      <c r="T150" t="str">
        <f t="shared" si="5"/>
        <v>Scenario 1: Strong Commitment</v>
      </c>
    </row>
    <row r="151" spans="1:20" x14ac:dyDescent="0.35">
      <c r="A151" t="s">
        <v>235</v>
      </c>
      <c r="B151" s="1">
        <v>44314</v>
      </c>
      <c r="C151">
        <v>2021</v>
      </c>
      <c r="D151">
        <v>4</v>
      </c>
      <c r="E151" t="s">
        <v>38</v>
      </c>
      <c r="F151">
        <v>95</v>
      </c>
      <c r="G151" t="s">
        <v>21</v>
      </c>
      <c r="H151" t="s">
        <v>16</v>
      </c>
      <c r="I151">
        <v>0</v>
      </c>
      <c r="J151">
        <v>0</v>
      </c>
      <c r="K151">
        <v>5.4</v>
      </c>
      <c r="L151">
        <v>932</v>
      </c>
      <c r="M151" t="s">
        <v>17</v>
      </c>
      <c r="N151" t="str">
        <f>IF(ISNUMBER(SEARCH("Streaming", M151)), "streaming", "cinema")</f>
        <v>streaming</v>
      </c>
      <c r="O151" t="str">
        <f>IF(I151=1, "non-original", "original")</f>
        <v>original</v>
      </c>
      <c r="P151" t="str">
        <f>IF(J151 = 1, "franchise", "non-franchise")</f>
        <v>non-franchise</v>
      </c>
      <c r="Q151" t="str">
        <f>IF(OR(I151 = 1,J151 =1), "old", "new")</f>
        <v>new</v>
      </c>
      <c r="R151">
        <f t="shared" si="4"/>
        <v>0.26104603784960156</v>
      </c>
      <c r="S151">
        <f>IF(Q151="new",1.5,1)*(K151/10)*(1-(MIN(F151,180)/180))</f>
        <v>0.38250000000000001</v>
      </c>
      <c r="T151" t="str">
        <f t="shared" si="5"/>
        <v>Scenario 3: Strong Convenience</v>
      </c>
    </row>
    <row r="152" spans="1:20" x14ac:dyDescent="0.35">
      <c r="A152" t="s">
        <v>236</v>
      </c>
      <c r="B152" s="1">
        <v>44315</v>
      </c>
      <c r="C152">
        <v>2021</v>
      </c>
      <c r="D152">
        <v>4</v>
      </c>
      <c r="E152" t="s">
        <v>38</v>
      </c>
      <c r="F152">
        <v>121</v>
      </c>
      <c r="G152" t="s">
        <v>92</v>
      </c>
      <c r="H152" t="s">
        <v>16</v>
      </c>
      <c r="I152">
        <v>0</v>
      </c>
      <c r="J152">
        <v>0</v>
      </c>
      <c r="K152">
        <v>5.3</v>
      </c>
      <c r="L152">
        <v>40218</v>
      </c>
      <c r="M152" t="s">
        <v>17</v>
      </c>
      <c r="N152" t="str">
        <f>IF(ISNUMBER(SEARCH("Streaming", M152)), "streaming", "cinema")</f>
        <v>streaming</v>
      </c>
      <c r="O152" t="str">
        <f>IF(I152=1, "non-original", "original")</f>
        <v>original</v>
      </c>
      <c r="P152" t="str">
        <f>IF(J152 = 1, "franchise", "non-franchise")</f>
        <v>non-franchise</v>
      </c>
      <c r="Q152" t="str">
        <f>IF(OR(I152 = 1,J152 =1), "old", "new")</f>
        <v>new</v>
      </c>
      <c r="R152">
        <f t="shared" si="4"/>
        <v>0.51556427413225481</v>
      </c>
      <c r="S152">
        <f>IF(Q152="new",1.5,1)*(K152/10)*(1-(MIN(F152,180)/180))</f>
        <v>0.26058333333333328</v>
      </c>
      <c r="T152" t="str">
        <f t="shared" si="5"/>
        <v>Scenario 1: Strong Commitment</v>
      </c>
    </row>
    <row r="153" spans="1:20" x14ac:dyDescent="0.35">
      <c r="A153" t="s">
        <v>237</v>
      </c>
      <c r="B153" s="1">
        <v>44328</v>
      </c>
      <c r="C153">
        <v>2021</v>
      </c>
      <c r="D153">
        <v>5</v>
      </c>
      <c r="E153" t="s">
        <v>38</v>
      </c>
      <c r="F153">
        <v>101</v>
      </c>
      <c r="G153" t="s">
        <v>238</v>
      </c>
      <c r="H153" t="s">
        <v>30</v>
      </c>
      <c r="I153">
        <v>0</v>
      </c>
      <c r="J153">
        <v>0</v>
      </c>
      <c r="K153">
        <v>6.5</v>
      </c>
      <c r="L153">
        <v>47900</v>
      </c>
      <c r="M153" t="s">
        <v>17</v>
      </c>
      <c r="N153" t="str">
        <f>IF(ISNUMBER(SEARCH("Streaming", M153)), "streaming", "cinema")</f>
        <v>streaming</v>
      </c>
      <c r="O153" t="str">
        <f>IF(I153=1, "non-original", "original")</f>
        <v>original</v>
      </c>
      <c r="P153" t="str">
        <f>IF(J153 = 1, "franchise", "non-franchise")</f>
        <v>non-franchise</v>
      </c>
      <c r="Q153" t="str">
        <f>IF(OR(I153 = 1,J153 =1), "old", "new")</f>
        <v>new</v>
      </c>
      <c r="R153">
        <f t="shared" si="4"/>
        <v>0.43744235386868402</v>
      </c>
      <c r="S153">
        <f>IF(Q153="new",1.5,1)*(K153/10)*(1-(MIN(F153,180)/180))</f>
        <v>0.42791666666666672</v>
      </c>
      <c r="T153" t="str">
        <f t="shared" si="5"/>
        <v>Scenario 3: Strong Convenience</v>
      </c>
    </row>
    <row r="154" spans="1:20" x14ac:dyDescent="0.35">
      <c r="A154" t="s">
        <v>239</v>
      </c>
      <c r="B154" s="1">
        <v>44330</v>
      </c>
      <c r="C154">
        <v>2021</v>
      </c>
      <c r="D154">
        <v>5</v>
      </c>
      <c r="E154" t="s">
        <v>38</v>
      </c>
      <c r="F154">
        <v>107</v>
      </c>
      <c r="G154" t="s">
        <v>43</v>
      </c>
      <c r="H154" t="s">
        <v>24</v>
      </c>
      <c r="I154">
        <v>0</v>
      </c>
      <c r="J154">
        <v>0</v>
      </c>
      <c r="K154">
        <v>7</v>
      </c>
      <c r="L154">
        <v>15130</v>
      </c>
      <c r="M154" t="s">
        <v>17</v>
      </c>
      <c r="N154" t="str">
        <f>IF(ISNUMBER(SEARCH("Streaming", M154)), "streaming", "cinema")</f>
        <v>streaming</v>
      </c>
      <c r="O154" t="str">
        <f>IF(I154=1, "non-original", "original")</f>
        <v>original</v>
      </c>
      <c r="P154" t="str">
        <f>IF(J154 = 1, "franchise", "non-franchise")</f>
        <v>non-franchise</v>
      </c>
      <c r="Q154" t="str">
        <f>IF(OR(I154 = 1,J154 =1), "old", "new")</f>
        <v>new</v>
      </c>
      <c r="R154">
        <f t="shared" si="4"/>
        <v>0.4138717593100279</v>
      </c>
      <c r="S154">
        <f>IF(Q154="new",1.5,1)*(K154/10)*(1-(MIN(F154,180)/180))</f>
        <v>0.42583333333333329</v>
      </c>
      <c r="T154" t="str">
        <f t="shared" si="5"/>
        <v>Scenario 3: Strong Convenience</v>
      </c>
    </row>
    <row r="155" spans="1:20" x14ac:dyDescent="0.35">
      <c r="A155" t="s">
        <v>240</v>
      </c>
      <c r="B155" s="1">
        <v>44330</v>
      </c>
      <c r="C155">
        <v>2021</v>
      </c>
      <c r="D155">
        <v>5</v>
      </c>
      <c r="E155" t="s">
        <v>38</v>
      </c>
      <c r="F155">
        <v>107</v>
      </c>
      <c r="G155" t="s">
        <v>19</v>
      </c>
      <c r="H155" t="s">
        <v>16</v>
      </c>
      <c r="I155">
        <v>0</v>
      </c>
      <c r="J155">
        <v>0</v>
      </c>
      <c r="K155">
        <v>6</v>
      </c>
      <c r="L155">
        <v>7906</v>
      </c>
      <c r="M155" t="s">
        <v>17</v>
      </c>
      <c r="N155" t="str">
        <f>IF(ISNUMBER(SEARCH("Streaming", M155)), "streaming", "cinema")</f>
        <v>streaming</v>
      </c>
      <c r="O155" t="str">
        <f>IF(I155=1, "non-original", "original")</f>
        <v>original</v>
      </c>
      <c r="P155" t="str">
        <f>IF(J155 = 1, "franchise", "non-franchise")</f>
        <v>non-franchise</v>
      </c>
      <c r="Q155" t="str">
        <f>IF(OR(I155 = 1,J155 =1), "old", "new")</f>
        <v>new</v>
      </c>
      <c r="R155">
        <f t="shared" si="4"/>
        <v>0.38596086367257554</v>
      </c>
      <c r="S155">
        <f>IF(Q155="new",1.5,1)*(K155/10)*(1-(MIN(F155,180)/180))</f>
        <v>0.36499999999999999</v>
      </c>
      <c r="T155" t="str">
        <f t="shared" si="5"/>
        <v>Scenario 3: Strong Convenience</v>
      </c>
    </row>
    <row r="156" spans="1:20" x14ac:dyDescent="0.35">
      <c r="A156" t="s">
        <v>241</v>
      </c>
      <c r="B156" s="1">
        <v>44330</v>
      </c>
      <c r="C156">
        <v>2021</v>
      </c>
      <c r="D156">
        <v>5</v>
      </c>
      <c r="E156" t="s">
        <v>38</v>
      </c>
      <c r="F156">
        <v>101</v>
      </c>
      <c r="G156" t="s">
        <v>103</v>
      </c>
      <c r="H156" t="s">
        <v>24</v>
      </c>
      <c r="I156">
        <v>0</v>
      </c>
      <c r="J156">
        <v>0</v>
      </c>
      <c r="K156">
        <v>5.7</v>
      </c>
      <c r="L156">
        <v>89605</v>
      </c>
      <c r="M156" t="s">
        <v>17</v>
      </c>
      <c r="N156" t="str">
        <f>IF(ISNUMBER(SEARCH("Streaming", M156)), "streaming", "cinema")</f>
        <v>streaming</v>
      </c>
      <c r="O156" t="str">
        <f>IF(I156=1, "non-original", "original")</f>
        <v>original</v>
      </c>
      <c r="P156" t="str">
        <f>IF(J156 = 1, "franchise", "non-franchise")</f>
        <v>non-franchise</v>
      </c>
      <c r="Q156" t="str">
        <f>IF(OR(I156 = 1,J156 =1), "old", "new")</f>
        <v>new</v>
      </c>
      <c r="R156">
        <f t="shared" si="4"/>
        <v>0.46286422582739778</v>
      </c>
      <c r="S156">
        <f>IF(Q156="new",1.5,1)*(K156/10)*(1-(MIN(F156,180)/180))</f>
        <v>0.37525000000000003</v>
      </c>
      <c r="T156" t="str">
        <f t="shared" si="5"/>
        <v>Scenario 3: Strong Convenience</v>
      </c>
    </row>
    <row r="157" spans="1:20" x14ac:dyDescent="0.35">
      <c r="A157" t="s">
        <v>242</v>
      </c>
      <c r="B157" s="1">
        <v>44334</v>
      </c>
      <c r="C157">
        <v>2021</v>
      </c>
      <c r="D157">
        <v>5</v>
      </c>
      <c r="E157" t="s">
        <v>38</v>
      </c>
      <c r="F157">
        <v>139</v>
      </c>
      <c r="G157" t="s">
        <v>21</v>
      </c>
      <c r="H157" t="s">
        <v>16</v>
      </c>
      <c r="I157">
        <v>0</v>
      </c>
      <c r="J157">
        <v>0</v>
      </c>
      <c r="K157">
        <v>4.3</v>
      </c>
      <c r="L157">
        <v>5505</v>
      </c>
      <c r="M157" t="s">
        <v>17</v>
      </c>
      <c r="N157" t="str">
        <f>IF(ISNUMBER(SEARCH("Streaming", M157)), "streaming", "cinema")</f>
        <v>streaming</v>
      </c>
      <c r="O157" t="str">
        <f>IF(I157=1, "non-original", "original")</f>
        <v>original</v>
      </c>
      <c r="P157" t="str">
        <f>IF(J157 = 1, "franchise", "non-franchise")</f>
        <v>non-franchise</v>
      </c>
      <c r="Q157" t="str">
        <f>IF(OR(I157 = 1,J157 =1), "old", "new")</f>
        <v>new</v>
      </c>
      <c r="R157">
        <f t="shared" si="4"/>
        <v>0.48116807452151261</v>
      </c>
      <c r="S157">
        <f>IF(Q157="new",1.5,1)*(K157/10)*(1-(MIN(F157,180)/180))</f>
        <v>0.14691666666666664</v>
      </c>
      <c r="T157" t="str">
        <f t="shared" si="5"/>
        <v>Scenario 1: Strong Commitment</v>
      </c>
    </row>
    <row r="158" spans="1:20" x14ac:dyDescent="0.35">
      <c r="A158" t="s">
        <v>243</v>
      </c>
      <c r="B158" s="1">
        <v>44337</v>
      </c>
      <c r="C158">
        <v>2021</v>
      </c>
      <c r="D158">
        <v>5</v>
      </c>
      <c r="E158" t="s">
        <v>38</v>
      </c>
      <c r="F158">
        <v>148</v>
      </c>
      <c r="G158" t="s">
        <v>244</v>
      </c>
      <c r="H158" t="s">
        <v>24</v>
      </c>
      <c r="I158">
        <v>0</v>
      </c>
      <c r="J158">
        <v>0</v>
      </c>
      <c r="K158">
        <v>5.8</v>
      </c>
      <c r="L158">
        <v>199954</v>
      </c>
      <c r="M158" t="s">
        <v>17</v>
      </c>
      <c r="N158" t="str">
        <f>IF(ISNUMBER(SEARCH("Streaming", M158)), "streaming", "cinema")</f>
        <v>streaming</v>
      </c>
      <c r="O158" t="str">
        <f>IF(I158=1, "non-original", "original")</f>
        <v>original</v>
      </c>
      <c r="P158" t="str">
        <f>IF(J158 = 1, "franchise", "non-franchise")</f>
        <v>non-franchise</v>
      </c>
      <c r="Q158" t="str">
        <f>IF(OR(I158 = 1,J158 =1), "old", "new")</f>
        <v>new</v>
      </c>
      <c r="R158">
        <f t="shared" si="4"/>
        <v>0.72599939990654638</v>
      </c>
      <c r="S158">
        <f>IF(Q158="new",1.5,1)*(K158/10)*(1-(MIN(F158,180)/180))</f>
        <v>0.15466666666666667</v>
      </c>
      <c r="T158" t="str">
        <f t="shared" si="5"/>
        <v>Scenario 1: Strong Commitment</v>
      </c>
    </row>
    <row r="159" spans="1:20" x14ac:dyDescent="0.35">
      <c r="A159" t="s">
        <v>245</v>
      </c>
      <c r="B159" s="1">
        <v>44342</v>
      </c>
      <c r="C159">
        <v>2021</v>
      </c>
      <c r="D159">
        <v>5</v>
      </c>
      <c r="E159" t="s">
        <v>38</v>
      </c>
      <c r="F159">
        <v>92</v>
      </c>
      <c r="G159" t="s">
        <v>62</v>
      </c>
      <c r="H159" t="s">
        <v>16</v>
      </c>
      <c r="I159">
        <v>0</v>
      </c>
      <c r="J159">
        <v>0</v>
      </c>
      <c r="K159">
        <v>6.1</v>
      </c>
      <c r="L159">
        <v>5646</v>
      </c>
      <c r="M159" t="s">
        <v>17</v>
      </c>
      <c r="N159" t="str">
        <f>IF(ISNUMBER(SEARCH("Streaming", M159)), "streaming", "cinema")</f>
        <v>streaming</v>
      </c>
      <c r="O159" t="str">
        <f>IF(I159=1, "non-original", "original")</f>
        <v>original</v>
      </c>
      <c r="P159" t="str">
        <f>IF(J159 = 1, "franchise", "non-franchise")</f>
        <v>non-franchise</v>
      </c>
      <c r="Q159" t="str">
        <f>IF(OR(I159 = 1,J159 =1), "old", "new")</f>
        <v>new</v>
      </c>
      <c r="R159">
        <f t="shared" si="4"/>
        <v>0.31940604501283232</v>
      </c>
      <c r="S159">
        <f>IF(Q159="new",1.5,1)*(K159/10)*(1-(MIN(F159,180)/180))</f>
        <v>0.44733333333333336</v>
      </c>
      <c r="T159" t="str">
        <f t="shared" si="5"/>
        <v>Scenario 3: Strong Convenience</v>
      </c>
    </row>
    <row r="160" spans="1:20" x14ac:dyDescent="0.35">
      <c r="A160" t="s">
        <v>246</v>
      </c>
      <c r="B160" s="1">
        <v>44342</v>
      </c>
      <c r="C160">
        <v>2021</v>
      </c>
      <c r="D160">
        <v>5</v>
      </c>
      <c r="E160" t="s">
        <v>38</v>
      </c>
      <c r="F160">
        <v>117</v>
      </c>
      <c r="G160" t="s">
        <v>92</v>
      </c>
      <c r="H160" t="s">
        <v>16</v>
      </c>
      <c r="I160">
        <v>0</v>
      </c>
      <c r="J160">
        <v>0</v>
      </c>
      <c r="K160">
        <v>5.2</v>
      </c>
      <c r="L160">
        <v>1837</v>
      </c>
      <c r="M160" t="s">
        <v>17</v>
      </c>
      <c r="N160" t="str">
        <f>IF(ISNUMBER(SEARCH("Streaming", M160)), "streaming", "cinema")</f>
        <v>streaming</v>
      </c>
      <c r="O160" t="str">
        <f>IF(I160=1, "non-original", "original")</f>
        <v>original</v>
      </c>
      <c r="P160" t="str">
        <f>IF(J160 = 1, "franchise", "non-franchise")</f>
        <v>non-franchise</v>
      </c>
      <c r="Q160" t="str">
        <f>IF(OR(I160 = 1,J160 =1), "old", "new")</f>
        <v>new</v>
      </c>
      <c r="R160">
        <f t="shared" si="4"/>
        <v>0.35340525629127884</v>
      </c>
      <c r="S160">
        <f>IF(Q160="new",1.5,1)*(K160/10)*(1-(MIN(F160,180)/180))</f>
        <v>0.27299999999999996</v>
      </c>
      <c r="T160" t="str">
        <f t="shared" si="5"/>
        <v>Scenario 2: Weak Commitment/Convenience</v>
      </c>
    </row>
    <row r="161" spans="1:20" x14ac:dyDescent="0.35">
      <c r="A161" t="s">
        <v>247</v>
      </c>
      <c r="B161" s="1">
        <v>44343</v>
      </c>
      <c r="C161">
        <v>2021</v>
      </c>
      <c r="D161">
        <v>5</v>
      </c>
      <c r="E161" t="s">
        <v>38</v>
      </c>
      <c r="F161">
        <v>96</v>
      </c>
      <c r="G161" t="s">
        <v>34</v>
      </c>
      <c r="H161" t="s">
        <v>16</v>
      </c>
      <c r="I161">
        <v>0</v>
      </c>
      <c r="J161">
        <v>0</v>
      </c>
      <c r="K161">
        <v>6.6</v>
      </c>
      <c r="L161">
        <v>8691</v>
      </c>
      <c r="M161" t="s">
        <v>17</v>
      </c>
      <c r="N161" t="str">
        <f>IF(ISNUMBER(SEARCH("Streaming", M161)), "streaming", "cinema")</f>
        <v>streaming</v>
      </c>
      <c r="O161" t="str">
        <f>IF(I161=1, "non-original", "original")</f>
        <v>original</v>
      </c>
      <c r="P161" t="str">
        <f>IF(J161 = 1, "franchise", "non-franchise")</f>
        <v>non-franchise</v>
      </c>
      <c r="Q161" t="str">
        <f>IF(OR(I161 = 1,J161 =1), "old", "new")</f>
        <v>new</v>
      </c>
      <c r="R161">
        <f t="shared" si="4"/>
        <v>0.34993499275575785</v>
      </c>
      <c r="S161">
        <f>IF(Q161="new",1.5,1)*(K161/10)*(1-(MIN(F161,180)/180))</f>
        <v>0.46199999999999997</v>
      </c>
      <c r="T161" t="str">
        <f t="shared" si="5"/>
        <v>Scenario 3: Strong Convenience</v>
      </c>
    </row>
    <row r="162" spans="1:20" x14ac:dyDescent="0.35">
      <c r="A162" t="s">
        <v>248</v>
      </c>
      <c r="B162" s="1">
        <v>44349</v>
      </c>
      <c r="C162">
        <v>2021</v>
      </c>
      <c r="D162">
        <v>6</v>
      </c>
      <c r="E162" t="s">
        <v>78</v>
      </c>
      <c r="F162">
        <v>95</v>
      </c>
      <c r="G162" t="s">
        <v>21</v>
      </c>
      <c r="H162" t="s">
        <v>16</v>
      </c>
      <c r="I162">
        <v>0</v>
      </c>
      <c r="J162">
        <v>0</v>
      </c>
      <c r="K162">
        <v>4.2</v>
      </c>
      <c r="L162">
        <v>1120</v>
      </c>
      <c r="M162" t="s">
        <v>17</v>
      </c>
      <c r="N162" t="str">
        <f>IF(ISNUMBER(SEARCH("Streaming", M162)), "streaming", "cinema")</f>
        <v>streaming</v>
      </c>
      <c r="O162" t="str">
        <f>IF(I162=1, "non-original", "original")</f>
        <v>original</v>
      </c>
      <c r="P162" t="str">
        <f>IF(J162 = 1, "franchise", "non-franchise")</f>
        <v>non-franchise</v>
      </c>
      <c r="Q162" t="str">
        <f>IF(OR(I162 = 1,J162 =1), "old", "new")</f>
        <v>new</v>
      </c>
      <c r="R162">
        <f t="shared" si="4"/>
        <v>0.26806156727524083</v>
      </c>
      <c r="S162">
        <f>IF(Q162="new",1.5,1)*(K162/10)*(1-(MIN(F162,180)/180))</f>
        <v>0.29750000000000004</v>
      </c>
      <c r="T162" t="str">
        <f t="shared" si="5"/>
        <v>Scenario 2: Weak Commitment/Convenience</v>
      </c>
    </row>
    <row r="163" spans="1:20" x14ac:dyDescent="0.35">
      <c r="A163" t="s">
        <v>249</v>
      </c>
      <c r="B163" s="1">
        <v>44350</v>
      </c>
      <c r="C163">
        <v>2021</v>
      </c>
      <c r="D163">
        <v>6</v>
      </c>
      <c r="E163" t="s">
        <v>78</v>
      </c>
      <c r="F163">
        <v>111</v>
      </c>
      <c r="G163" t="s">
        <v>34</v>
      </c>
      <c r="H163" t="s">
        <v>16</v>
      </c>
      <c r="I163">
        <v>0</v>
      </c>
      <c r="J163">
        <v>0</v>
      </c>
      <c r="K163">
        <v>5.8</v>
      </c>
      <c r="L163">
        <v>2361</v>
      </c>
      <c r="M163" t="s">
        <v>17</v>
      </c>
      <c r="N163" t="str">
        <f>IF(ISNUMBER(SEARCH("Streaming", M163)), "streaming", "cinema")</f>
        <v>streaming</v>
      </c>
      <c r="O163" t="str">
        <f>IF(I163=1, "non-original", "original")</f>
        <v>original</v>
      </c>
      <c r="P163" t="str">
        <f>IF(J163 = 1, "franchise", "non-franchise")</f>
        <v>non-franchise</v>
      </c>
      <c r="Q163" t="str">
        <f>IF(OR(I163 = 1,J163 =1), "old", "new")</f>
        <v>new</v>
      </c>
      <c r="R163">
        <f t="shared" si="4"/>
        <v>0.34647679056675762</v>
      </c>
      <c r="S163">
        <f>IF(Q163="new",1.5,1)*(K163/10)*(1-(MIN(F163,180)/180))</f>
        <v>0.33349999999999991</v>
      </c>
      <c r="T163" t="str">
        <f t="shared" si="5"/>
        <v>Scenario 3: Strong Convenience</v>
      </c>
    </row>
    <row r="164" spans="1:20" x14ac:dyDescent="0.35">
      <c r="A164" t="s">
        <v>250</v>
      </c>
      <c r="B164" s="1">
        <v>44351</v>
      </c>
      <c r="C164">
        <v>2021</v>
      </c>
      <c r="D164">
        <v>6</v>
      </c>
      <c r="E164" t="s">
        <v>78</v>
      </c>
      <c r="F164">
        <v>102</v>
      </c>
      <c r="G164" t="s">
        <v>90</v>
      </c>
      <c r="H164" t="s">
        <v>16</v>
      </c>
      <c r="I164">
        <v>0</v>
      </c>
      <c r="J164">
        <v>0</v>
      </c>
      <c r="K164">
        <v>6.6</v>
      </c>
      <c r="L164">
        <v>4000</v>
      </c>
      <c r="M164" t="s">
        <v>17</v>
      </c>
      <c r="N164" t="str">
        <f>IF(ISNUMBER(SEARCH("Streaming", M164)), "streaming", "cinema")</f>
        <v>streaming</v>
      </c>
      <c r="O164" t="str">
        <f>IF(I164=1, "non-original", "original")</f>
        <v>original</v>
      </c>
      <c r="P164" t="str">
        <f>IF(J164 = 1, "franchise", "non-franchise")</f>
        <v>non-franchise</v>
      </c>
      <c r="Q164" t="str">
        <f>IF(OR(I164 = 1,J164 =1), "old", "new")</f>
        <v>new</v>
      </c>
      <c r="R164">
        <f t="shared" si="4"/>
        <v>0.33999582371139492</v>
      </c>
      <c r="S164">
        <f>IF(Q164="new",1.5,1)*(K164/10)*(1-(MIN(F164,180)/180))</f>
        <v>0.42899999999999994</v>
      </c>
      <c r="T164" t="str">
        <f t="shared" si="5"/>
        <v>Scenario 3: Strong Convenience</v>
      </c>
    </row>
    <row r="165" spans="1:20" x14ac:dyDescent="0.35">
      <c r="A165" t="s">
        <v>251</v>
      </c>
      <c r="B165" s="1">
        <v>44351</v>
      </c>
      <c r="C165">
        <v>2021</v>
      </c>
      <c r="D165">
        <v>6</v>
      </c>
      <c r="E165" t="s">
        <v>78</v>
      </c>
      <c r="F165">
        <v>93</v>
      </c>
      <c r="G165" t="s">
        <v>21</v>
      </c>
      <c r="H165" t="s">
        <v>16</v>
      </c>
      <c r="I165">
        <v>0</v>
      </c>
      <c r="J165">
        <v>0</v>
      </c>
      <c r="K165">
        <v>5.3</v>
      </c>
      <c r="L165">
        <v>479</v>
      </c>
      <c r="M165" t="s">
        <v>17</v>
      </c>
      <c r="N165" t="str">
        <f>IF(ISNUMBER(SEARCH("Streaming", M165)), "streaming", "cinema")</f>
        <v>streaming</v>
      </c>
      <c r="O165" t="str">
        <f>IF(I165=1, "non-original", "original")</f>
        <v>original</v>
      </c>
      <c r="P165" t="str">
        <f>IF(J165 = 1, "franchise", "non-franchise")</f>
        <v>non-franchise</v>
      </c>
      <c r="Q165" t="str">
        <f>IF(OR(I165 = 1,J165 =1), "old", "new")</f>
        <v>new</v>
      </c>
      <c r="R165">
        <f t="shared" si="4"/>
        <v>0.23067183916906034</v>
      </c>
      <c r="S165">
        <f>IF(Q165="new",1.5,1)*(K165/10)*(1-(MIN(F165,180)/180))</f>
        <v>0.38424999999999998</v>
      </c>
      <c r="T165" t="str">
        <f t="shared" si="5"/>
        <v>Scenario 3: Strong Convenience</v>
      </c>
    </row>
    <row r="166" spans="1:20" x14ac:dyDescent="0.35">
      <c r="A166" t="s">
        <v>252</v>
      </c>
      <c r="B166" s="1">
        <v>44351</v>
      </c>
      <c r="C166">
        <v>2021</v>
      </c>
      <c r="D166">
        <v>6</v>
      </c>
      <c r="E166" t="s">
        <v>78</v>
      </c>
      <c r="F166">
        <v>112</v>
      </c>
      <c r="G166" t="s">
        <v>58</v>
      </c>
      <c r="H166" t="s">
        <v>16</v>
      </c>
      <c r="I166">
        <v>0</v>
      </c>
      <c r="J166">
        <v>0</v>
      </c>
      <c r="K166">
        <v>5.8</v>
      </c>
      <c r="L166">
        <v>5578</v>
      </c>
      <c r="M166" t="s">
        <v>88</v>
      </c>
      <c r="N166" t="str">
        <f>IF(ISNUMBER(SEARCH("Streaming", M166)), "streaming", "cinema")</f>
        <v>streaming</v>
      </c>
      <c r="O166" t="str">
        <f>IF(I166=1, "non-original", "original")</f>
        <v>original</v>
      </c>
      <c r="P166" t="str">
        <f>IF(J166 = 1, "franchise", "non-franchise")</f>
        <v>non-franchise</v>
      </c>
      <c r="Q166" t="str">
        <f>IF(OR(I166 = 1,J166 =1), "old", "new")</f>
        <v>new</v>
      </c>
      <c r="R166">
        <f t="shared" si="4"/>
        <v>0.38829673392650554</v>
      </c>
      <c r="S166">
        <f>IF(Q166="new",1.5,1)*(K166/10)*(1-(MIN(F166,180)/180))</f>
        <v>0.32866666666666661</v>
      </c>
      <c r="T166" t="str">
        <f t="shared" si="5"/>
        <v>Scenario 3: Strong Convenience</v>
      </c>
    </row>
    <row r="167" spans="1:20" x14ac:dyDescent="0.35">
      <c r="A167" t="s">
        <v>253</v>
      </c>
      <c r="B167" s="1">
        <v>44356</v>
      </c>
      <c r="C167">
        <v>2021</v>
      </c>
      <c r="D167">
        <v>6</v>
      </c>
      <c r="E167" t="s">
        <v>78</v>
      </c>
      <c r="F167">
        <v>97</v>
      </c>
      <c r="G167" t="s">
        <v>238</v>
      </c>
      <c r="H167" t="s">
        <v>24</v>
      </c>
      <c r="I167">
        <v>0</v>
      </c>
      <c r="J167">
        <v>0</v>
      </c>
      <c r="K167">
        <v>4.9000000000000004</v>
      </c>
      <c r="L167">
        <v>28697</v>
      </c>
      <c r="M167" t="s">
        <v>17</v>
      </c>
      <c r="N167" t="str">
        <f>IF(ISNUMBER(SEARCH("Streaming", M167)), "streaming", "cinema")</f>
        <v>streaming</v>
      </c>
      <c r="O167" t="str">
        <f>IF(I167=1, "non-original", "original")</f>
        <v>original</v>
      </c>
      <c r="P167" t="str">
        <f>IF(J167 = 1, "franchise", "non-franchise")</f>
        <v>non-franchise</v>
      </c>
      <c r="Q167" t="str">
        <f>IF(OR(I167 = 1,J167 =1), "old", "new")</f>
        <v>new</v>
      </c>
      <c r="R167">
        <f t="shared" si="4"/>
        <v>0.40014587017742365</v>
      </c>
      <c r="S167">
        <f>IF(Q167="new",1.5,1)*(K167/10)*(1-(MIN(F167,180)/180))</f>
        <v>0.33891666666666675</v>
      </c>
      <c r="T167" t="str">
        <f t="shared" si="5"/>
        <v>Scenario 3: Strong Convenience</v>
      </c>
    </row>
    <row r="168" spans="1:20" x14ac:dyDescent="0.35">
      <c r="A168" t="s">
        <v>254</v>
      </c>
      <c r="B168" s="1">
        <v>44358</v>
      </c>
      <c r="C168">
        <v>2021</v>
      </c>
      <c r="D168">
        <v>6</v>
      </c>
      <c r="E168" t="s">
        <v>78</v>
      </c>
      <c r="F168">
        <v>109</v>
      </c>
      <c r="G168" t="s">
        <v>255</v>
      </c>
      <c r="H168" t="s">
        <v>56</v>
      </c>
      <c r="I168">
        <v>0</v>
      </c>
      <c r="J168">
        <v>0</v>
      </c>
      <c r="K168">
        <v>6.7</v>
      </c>
      <c r="L168">
        <v>8272</v>
      </c>
      <c r="M168" t="s">
        <v>17</v>
      </c>
      <c r="N168" t="str">
        <f>IF(ISNUMBER(SEARCH("Streaming", M168)), "streaming", "cinema")</f>
        <v>streaming</v>
      </c>
      <c r="O168" t="str">
        <f>IF(I168=1, "non-original", "original")</f>
        <v>original</v>
      </c>
      <c r="P168" t="str">
        <f>IF(J168 = 1, "franchise", "non-franchise")</f>
        <v>non-franchise</v>
      </c>
      <c r="Q168" t="str">
        <f>IF(OR(I168 = 1,J168 =1), "old", "new")</f>
        <v>new</v>
      </c>
      <c r="R168">
        <f t="shared" si="4"/>
        <v>0.39515749614342743</v>
      </c>
      <c r="S168">
        <f>IF(Q168="new",1.5,1)*(K168/10)*(1-(MIN(F168,180)/180))</f>
        <v>0.39641666666666675</v>
      </c>
      <c r="T168" t="str">
        <f t="shared" si="5"/>
        <v>Scenario 3: Strong Convenience</v>
      </c>
    </row>
    <row r="169" spans="1:20" x14ac:dyDescent="0.35">
      <c r="A169" t="s">
        <v>256</v>
      </c>
      <c r="B169" s="1">
        <v>44365</v>
      </c>
      <c r="C169">
        <v>2021</v>
      </c>
      <c r="D169">
        <v>6</v>
      </c>
      <c r="E169" t="s">
        <v>78</v>
      </c>
      <c r="F169">
        <v>158</v>
      </c>
      <c r="G169" t="s">
        <v>49</v>
      </c>
      <c r="H169" t="s">
        <v>30</v>
      </c>
      <c r="I169">
        <v>0</v>
      </c>
      <c r="J169">
        <v>0</v>
      </c>
      <c r="K169">
        <v>5.8</v>
      </c>
      <c r="L169">
        <v>13058</v>
      </c>
      <c r="M169" t="s">
        <v>17</v>
      </c>
      <c r="N169" t="str">
        <f>IF(ISNUMBER(SEARCH("Streaming", M169)), "streaming", "cinema")</f>
        <v>streaming</v>
      </c>
      <c r="O169" t="str">
        <f>IF(I169=1, "non-original", "original")</f>
        <v>original</v>
      </c>
      <c r="P169" t="str">
        <f>IF(J169 = 1, "franchise", "non-franchise")</f>
        <v>non-franchise</v>
      </c>
      <c r="Q169" t="str">
        <f>IF(OR(I169 = 1,J169 =1), "old", "new")</f>
        <v>new</v>
      </c>
      <c r="R169">
        <f t="shared" si="4"/>
        <v>0.60178576208183021</v>
      </c>
      <c r="S169">
        <f>IF(Q169="new",1.5,1)*(K169/10)*(1-(MIN(F169,180)/180))</f>
        <v>0.10633333333333332</v>
      </c>
      <c r="T169" t="str">
        <f t="shared" si="5"/>
        <v>Scenario 1: Strong Commitment</v>
      </c>
    </row>
    <row r="170" spans="1:20" x14ac:dyDescent="0.35">
      <c r="A170" t="s">
        <v>257</v>
      </c>
      <c r="B170" s="1">
        <v>44370</v>
      </c>
      <c r="C170">
        <v>2021</v>
      </c>
      <c r="D170">
        <v>6</v>
      </c>
      <c r="E170" t="s">
        <v>78</v>
      </c>
      <c r="F170">
        <v>94</v>
      </c>
      <c r="G170" t="s">
        <v>21</v>
      </c>
      <c r="H170" t="s">
        <v>24</v>
      </c>
      <c r="I170">
        <v>0</v>
      </c>
      <c r="J170">
        <v>0</v>
      </c>
      <c r="K170">
        <v>5.6</v>
      </c>
      <c r="L170">
        <v>15082</v>
      </c>
      <c r="M170" t="s">
        <v>17</v>
      </c>
      <c r="N170" t="str">
        <f>IF(ISNUMBER(SEARCH("Streaming", M170)), "streaming", "cinema")</f>
        <v>streaming</v>
      </c>
      <c r="O170" t="str">
        <f>IF(I170=1, "non-original", "original")</f>
        <v>original</v>
      </c>
      <c r="P170" t="str">
        <f>IF(J170 = 1, "franchise", "non-franchise")</f>
        <v>non-franchise</v>
      </c>
      <c r="Q170" t="str">
        <f>IF(OR(I170 = 1,J170 =1), "old", "new")</f>
        <v>new</v>
      </c>
      <c r="R170">
        <f t="shared" si="4"/>
        <v>0.36346823432129671</v>
      </c>
      <c r="S170">
        <f>IF(Q170="new",1.5,1)*(K170/10)*(1-(MIN(F170,180)/180))</f>
        <v>0.40133333333333326</v>
      </c>
      <c r="T170" t="str">
        <f t="shared" si="5"/>
        <v>Scenario 3: Strong Convenience</v>
      </c>
    </row>
    <row r="171" spans="1:20" x14ac:dyDescent="0.35">
      <c r="A171" t="s">
        <v>258</v>
      </c>
      <c r="B171" s="1">
        <v>44377</v>
      </c>
      <c r="C171">
        <v>2021</v>
      </c>
      <c r="D171">
        <v>6</v>
      </c>
      <c r="E171" t="s">
        <v>78</v>
      </c>
      <c r="F171">
        <v>98</v>
      </c>
      <c r="G171" t="s">
        <v>259</v>
      </c>
      <c r="H171" t="s">
        <v>24</v>
      </c>
      <c r="I171">
        <v>0</v>
      </c>
      <c r="J171">
        <v>0</v>
      </c>
      <c r="K171">
        <v>5.6</v>
      </c>
      <c r="L171">
        <v>8001</v>
      </c>
      <c r="M171" t="s">
        <v>17</v>
      </c>
      <c r="N171" t="str">
        <f>IF(ISNUMBER(SEARCH("Streaming", M171)), "streaming", "cinema")</f>
        <v>streaming</v>
      </c>
      <c r="O171" t="str">
        <f>IF(I171=1, "non-original", "original")</f>
        <v>original</v>
      </c>
      <c r="P171" t="str">
        <f>IF(J171 = 1, "franchise", "non-franchise")</f>
        <v>non-franchise</v>
      </c>
      <c r="Q171" t="str">
        <f>IF(OR(I171 = 1,J171 =1), "old", "new")</f>
        <v>new</v>
      </c>
      <c r="R171">
        <f t="shared" si="4"/>
        <v>0.35396730481666278</v>
      </c>
      <c r="S171">
        <f>IF(Q171="new",1.5,1)*(K171/10)*(1-(MIN(F171,180)/180))</f>
        <v>0.38266666666666665</v>
      </c>
      <c r="T171" t="str">
        <f t="shared" si="5"/>
        <v>Scenario 3: Strong Convenience</v>
      </c>
    </row>
    <row r="172" spans="1:20" x14ac:dyDescent="0.35">
      <c r="A172" t="s">
        <v>260</v>
      </c>
      <c r="B172" s="1">
        <v>44379</v>
      </c>
      <c r="C172">
        <v>2021</v>
      </c>
      <c r="D172">
        <v>7</v>
      </c>
      <c r="E172" t="s">
        <v>78</v>
      </c>
      <c r="F172">
        <v>115</v>
      </c>
      <c r="G172" t="s">
        <v>261</v>
      </c>
      <c r="H172" t="s">
        <v>30</v>
      </c>
      <c r="I172">
        <v>0</v>
      </c>
      <c r="J172">
        <v>0</v>
      </c>
      <c r="K172">
        <v>5.4</v>
      </c>
      <c r="L172">
        <v>5292</v>
      </c>
      <c r="M172" t="s">
        <v>17</v>
      </c>
      <c r="N172" t="str">
        <f>IF(ISNUMBER(SEARCH("Streaming", M172)), "streaming", "cinema")</f>
        <v>streaming</v>
      </c>
      <c r="O172" t="str">
        <f>IF(I172=1, "non-original", "original")</f>
        <v>original</v>
      </c>
      <c r="P172" t="str">
        <f>IF(J172 = 1, "franchise", "non-franchise")</f>
        <v>non-franchise</v>
      </c>
      <c r="Q172" t="str">
        <f>IF(OR(I172 = 1,J172 =1), "old", "new")</f>
        <v>new</v>
      </c>
      <c r="R172">
        <f t="shared" si="4"/>
        <v>0.3962649356647952</v>
      </c>
      <c r="S172">
        <f>IF(Q172="new",1.5,1)*(K172/10)*(1-(MIN(F172,180)/180))</f>
        <v>0.29250000000000004</v>
      </c>
      <c r="T172" t="str">
        <f t="shared" si="5"/>
        <v>Scenario 2: Weak Commitment/Convenience</v>
      </c>
    </row>
    <row r="173" spans="1:20" x14ac:dyDescent="0.35">
      <c r="A173" t="s">
        <v>262</v>
      </c>
      <c r="B173" s="1">
        <v>44379</v>
      </c>
      <c r="C173">
        <v>2021</v>
      </c>
      <c r="D173">
        <v>7</v>
      </c>
      <c r="E173" t="s">
        <v>78</v>
      </c>
      <c r="F173">
        <v>135</v>
      </c>
      <c r="G173" t="s">
        <v>151</v>
      </c>
      <c r="H173" t="s">
        <v>24</v>
      </c>
      <c r="I173">
        <v>0</v>
      </c>
      <c r="J173">
        <v>0</v>
      </c>
      <c r="K173">
        <v>6.9</v>
      </c>
      <c r="L173">
        <v>34939</v>
      </c>
      <c r="M173" t="s">
        <v>88</v>
      </c>
      <c r="N173" t="str">
        <f>IF(ISNUMBER(SEARCH("Streaming", M173)), "streaming", "cinema")</f>
        <v>streaming</v>
      </c>
      <c r="O173" t="str">
        <f>IF(I173=1, "non-original", "original")</f>
        <v>original</v>
      </c>
      <c r="P173" t="str">
        <f>IF(J173 = 1, "franchise", "non-franchise")</f>
        <v>non-franchise</v>
      </c>
      <c r="Q173" t="str">
        <f>IF(OR(I173 = 1,J173 =1), "old", "new")</f>
        <v>new</v>
      </c>
      <c r="R173">
        <f t="shared" si="4"/>
        <v>0.56758205134802131</v>
      </c>
      <c r="S173">
        <f>IF(Q173="new",1.5,1)*(K173/10)*(1-(MIN(F173,180)/180))</f>
        <v>0.25875000000000004</v>
      </c>
      <c r="T173" t="str">
        <f t="shared" si="5"/>
        <v>Scenario 1: Strong Commitment</v>
      </c>
    </row>
    <row r="174" spans="1:20" x14ac:dyDescent="0.35">
      <c r="A174" t="s">
        <v>263</v>
      </c>
      <c r="B174" s="1">
        <v>44386</v>
      </c>
      <c r="C174">
        <v>2021</v>
      </c>
      <c r="D174">
        <v>7</v>
      </c>
      <c r="E174" t="s">
        <v>78</v>
      </c>
      <c r="F174">
        <v>101</v>
      </c>
      <c r="G174" t="s">
        <v>90</v>
      </c>
      <c r="H174" t="s">
        <v>30</v>
      </c>
      <c r="I174">
        <v>0</v>
      </c>
      <c r="J174">
        <v>0</v>
      </c>
      <c r="K174">
        <v>6.2</v>
      </c>
      <c r="L174">
        <v>4209</v>
      </c>
      <c r="M174" t="s">
        <v>17</v>
      </c>
      <c r="N174" t="str">
        <f>IF(ISNUMBER(SEARCH("Streaming", M174)), "streaming", "cinema")</f>
        <v>streaming</v>
      </c>
      <c r="O174" t="str">
        <f>IF(I174=1, "non-original", "original")</f>
        <v>original</v>
      </c>
      <c r="P174" t="str">
        <f>IF(J174 = 1, "franchise", "non-franchise")</f>
        <v>non-franchise</v>
      </c>
      <c r="Q174" t="str">
        <f>IF(OR(I174 = 1,J174 =1), "old", "new")</f>
        <v>new</v>
      </c>
      <c r="R174">
        <f t="shared" si="4"/>
        <v>0.33872985292968427</v>
      </c>
      <c r="S174">
        <f>IF(Q174="new",1.5,1)*(K174/10)*(1-(MIN(F174,180)/180))</f>
        <v>0.40816666666666662</v>
      </c>
      <c r="T174" t="str">
        <f t="shared" si="5"/>
        <v>Scenario 3: Strong Convenience</v>
      </c>
    </row>
    <row r="175" spans="1:20" x14ac:dyDescent="0.35">
      <c r="A175" t="s">
        <v>264</v>
      </c>
      <c r="B175" s="1">
        <v>44391</v>
      </c>
      <c r="C175">
        <v>2021</v>
      </c>
      <c r="D175">
        <v>7</v>
      </c>
      <c r="E175" t="s">
        <v>78</v>
      </c>
      <c r="F175">
        <v>95</v>
      </c>
      <c r="G175" t="s">
        <v>92</v>
      </c>
      <c r="H175" t="s">
        <v>265</v>
      </c>
      <c r="I175">
        <v>0</v>
      </c>
      <c r="J175">
        <v>0</v>
      </c>
      <c r="K175">
        <v>5.7</v>
      </c>
      <c r="L175">
        <v>24556</v>
      </c>
      <c r="M175" t="s">
        <v>17</v>
      </c>
      <c r="N175" t="str">
        <f>IF(ISNUMBER(SEARCH("Streaming", M175)), "streaming", "cinema")</f>
        <v>streaming</v>
      </c>
      <c r="O175" t="str">
        <f>IF(I175=1, "non-original", "original")</f>
        <v>original</v>
      </c>
      <c r="P175" t="str">
        <f>IF(J175 = 1, "franchise", "non-franchise")</f>
        <v>non-franchise</v>
      </c>
      <c r="Q175" t="str">
        <f>IF(OR(I175 = 1,J175 =1), "old", "new")</f>
        <v>new</v>
      </c>
      <c r="R175">
        <f t="shared" si="4"/>
        <v>0.38594568335723645</v>
      </c>
      <c r="S175">
        <f>IF(Q175="new",1.5,1)*(K175/10)*(1-(MIN(F175,180)/180))</f>
        <v>0.40375000000000005</v>
      </c>
      <c r="T175" t="str">
        <f t="shared" si="5"/>
        <v>Scenario 3: Strong Convenience</v>
      </c>
    </row>
    <row r="176" spans="1:20" x14ac:dyDescent="0.35">
      <c r="A176" t="s">
        <v>266</v>
      </c>
      <c r="B176" s="1">
        <v>44392</v>
      </c>
      <c r="C176">
        <v>2021</v>
      </c>
      <c r="D176">
        <v>7</v>
      </c>
      <c r="E176" t="s">
        <v>78</v>
      </c>
      <c r="F176">
        <v>112</v>
      </c>
      <c r="G176" t="s">
        <v>267</v>
      </c>
      <c r="H176" t="s">
        <v>30</v>
      </c>
      <c r="I176">
        <v>0</v>
      </c>
      <c r="J176">
        <v>0</v>
      </c>
      <c r="K176">
        <v>5.4</v>
      </c>
      <c r="L176">
        <v>792</v>
      </c>
      <c r="M176" t="s">
        <v>17</v>
      </c>
      <c r="N176" t="str">
        <f>IF(ISNUMBER(SEARCH("Streaming", M176)), "streaming", "cinema")</f>
        <v>streaming</v>
      </c>
      <c r="O176" t="str">
        <f>IF(I176=1, "non-original", "original")</f>
        <v>original</v>
      </c>
      <c r="P176" t="str">
        <f>IF(J176 = 1, "franchise", "non-franchise")</f>
        <v>non-franchise</v>
      </c>
      <c r="Q176" t="str">
        <f>IF(OR(I176 = 1,J176 =1), "old", "new")</f>
        <v>new</v>
      </c>
      <c r="R176">
        <f t="shared" si="4"/>
        <v>0.30043293123887105</v>
      </c>
      <c r="S176">
        <f>IF(Q176="new",1.5,1)*(K176/10)*(1-(MIN(F176,180)/180))</f>
        <v>0.30599999999999999</v>
      </c>
      <c r="T176" t="str">
        <f t="shared" si="5"/>
        <v>Scenario 2: Weak Commitment/Convenience</v>
      </c>
    </row>
    <row r="177" spans="1:20" x14ac:dyDescent="0.35">
      <c r="A177" t="s">
        <v>268</v>
      </c>
      <c r="B177" s="1">
        <v>44392</v>
      </c>
      <c r="C177">
        <v>2021</v>
      </c>
      <c r="D177">
        <v>7</v>
      </c>
      <c r="E177" t="s">
        <v>78</v>
      </c>
      <c r="F177">
        <v>89</v>
      </c>
      <c r="G177" t="s">
        <v>269</v>
      </c>
      <c r="H177" t="s">
        <v>30</v>
      </c>
      <c r="I177">
        <v>0</v>
      </c>
      <c r="J177">
        <v>0</v>
      </c>
      <c r="K177">
        <v>5.9</v>
      </c>
      <c r="L177">
        <v>420</v>
      </c>
      <c r="M177" t="s">
        <v>17</v>
      </c>
      <c r="N177" t="str">
        <f>IF(ISNUMBER(SEARCH("Streaming", M177)), "streaming", "cinema")</f>
        <v>streaming</v>
      </c>
      <c r="O177" t="str">
        <f>IF(I177=1, "non-original", "original")</f>
        <v>original</v>
      </c>
      <c r="P177" t="str">
        <f>IF(J177 = 1, "franchise", "non-franchise")</f>
        <v>non-franchise</v>
      </c>
      <c r="Q177" t="str">
        <f>IF(OR(I177 = 1,J177 =1), "old", "new")</f>
        <v>new</v>
      </c>
      <c r="R177">
        <f t="shared" si="4"/>
        <v>0.21604889022610857</v>
      </c>
      <c r="S177">
        <f>IF(Q177="new",1.5,1)*(K177/10)*(1-(MIN(F177,180)/180))</f>
        <v>0.44741666666666668</v>
      </c>
      <c r="T177" t="str">
        <f t="shared" si="5"/>
        <v>Scenario 3: Strong Convenience</v>
      </c>
    </row>
    <row r="178" spans="1:20" x14ac:dyDescent="0.35">
      <c r="A178" t="s">
        <v>270</v>
      </c>
      <c r="B178" s="1">
        <v>44393</v>
      </c>
      <c r="C178">
        <v>2021</v>
      </c>
      <c r="D178">
        <v>7</v>
      </c>
      <c r="E178" t="s">
        <v>78</v>
      </c>
      <c r="F178">
        <v>101</v>
      </c>
      <c r="G178" t="s">
        <v>192</v>
      </c>
      <c r="H178" t="s">
        <v>30</v>
      </c>
      <c r="I178">
        <v>0</v>
      </c>
      <c r="J178">
        <v>0</v>
      </c>
      <c r="K178">
        <v>5</v>
      </c>
      <c r="L178">
        <v>2053</v>
      </c>
      <c r="M178" t="s">
        <v>17</v>
      </c>
      <c r="N178" t="str">
        <f>IF(ISNUMBER(SEARCH("Streaming", M178)), "streaming", "cinema")</f>
        <v>streaming</v>
      </c>
      <c r="O178" t="str">
        <f>IF(I178=1, "non-original", "original")</f>
        <v>original</v>
      </c>
      <c r="P178" t="str">
        <f>IF(J178 = 1, "franchise", "non-franchise")</f>
        <v>non-franchise</v>
      </c>
      <c r="Q178" t="str">
        <f>IF(OR(I178 = 1,J178 =1), "old", "new")</f>
        <v>new</v>
      </c>
      <c r="R178">
        <f t="shared" si="4"/>
        <v>0.30958874952197141</v>
      </c>
      <c r="S178">
        <f>IF(Q178="new",1.5,1)*(K178/10)*(1-(MIN(F178,180)/180))</f>
        <v>0.32916666666666666</v>
      </c>
      <c r="T178" t="str">
        <f t="shared" si="5"/>
        <v>Scenario 3: Strong Convenience</v>
      </c>
    </row>
    <row r="179" spans="1:20" x14ac:dyDescent="0.35">
      <c r="A179" t="s">
        <v>271</v>
      </c>
      <c r="B179" s="1">
        <v>44400</v>
      </c>
      <c r="C179">
        <v>2021</v>
      </c>
      <c r="D179">
        <v>7</v>
      </c>
      <c r="E179" t="s">
        <v>78</v>
      </c>
      <c r="F179">
        <v>123</v>
      </c>
      <c r="G179" t="s">
        <v>19</v>
      </c>
      <c r="H179" t="s">
        <v>30</v>
      </c>
      <c r="I179">
        <v>0</v>
      </c>
      <c r="J179">
        <v>0</v>
      </c>
      <c r="K179">
        <v>6.1</v>
      </c>
      <c r="L179">
        <v>60080</v>
      </c>
      <c r="M179" t="s">
        <v>88</v>
      </c>
      <c r="N179" t="str">
        <f>IF(ISNUMBER(SEARCH("Streaming", M179)), "streaming", "cinema")</f>
        <v>streaming</v>
      </c>
      <c r="O179" t="str">
        <f>IF(I179=1, "non-original", "original")</f>
        <v>original</v>
      </c>
      <c r="P179" t="str">
        <f>IF(J179 = 1, "franchise", "non-franchise")</f>
        <v>non-franchise</v>
      </c>
      <c r="Q179" t="str">
        <f>IF(OR(I179 = 1,J179 =1), "old", "new")</f>
        <v>new</v>
      </c>
      <c r="R179">
        <f t="shared" si="4"/>
        <v>0.54392631087010024</v>
      </c>
      <c r="S179">
        <f>IF(Q179="new",1.5,1)*(K179/10)*(1-(MIN(F179,180)/180))</f>
        <v>0.28975000000000001</v>
      </c>
      <c r="T179" t="str">
        <f t="shared" si="5"/>
        <v>Scenario 1: Strong Commitment</v>
      </c>
    </row>
    <row r="180" spans="1:20" x14ac:dyDescent="0.35">
      <c r="A180" t="s">
        <v>272</v>
      </c>
      <c r="B180" s="1">
        <v>44400</v>
      </c>
      <c r="C180">
        <v>2021</v>
      </c>
      <c r="D180">
        <v>7</v>
      </c>
      <c r="E180" t="s">
        <v>78</v>
      </c>
      <c r="F180">
        <v>97</v>
      </c>
      <c r="G180" t="s">
        <v>21</v>
      </c>
      <c r="H180" t="s">
        <v>30</v>
      </c>
      <c r="I180">
        <v>0</v>
      </c>
      <c r="J180">
        <v>0</v>
      </c>
      <c r="K180">
        <v>4.2</v>
      </c>
      <c r="L180">
        <v>376</v>
      </c>
      <c r="M180" t="s">
        <v>17</v>
      </c>
      <c r="N180" t="str">
        <f>IF(ISNUMBER(SEARCH("Streaming", M180)), "streaming", "cinema")</f>
        <v>streaming</v>
      </c>
      <c r="O180" t="str">
        <f>IF(I180=1, "non-original", "original")</f>
        <v>original</v>
      </c>
      <c r="P180" t="str">
        <f>IF(J180 = 1, "franchise", "non-franchise")</f>
        <v>non-franchise</v>
      </c>
      <c r="Q180" t="str">
        <f>IF(OR(I180 = 1,J180 =1), "old", "new")</f>
        <v>new</v>
      </c>
      <c r="R180">
        <f t="shared" si="4"/>
        <v>0.23115490700582636</v>
      </c>
      <c r="S180">
        <f>IF(Q180="new",1.5,1)*(K180/10)*(1-(MIN(F180,180)/180))</f>
        <v>0.29050000000000009</v>
      </c>
      <c r="T180" t="str">
        <f t="shared" si="5"/>
        <v>Scenario 2: Weak Commitment/Convenience</v>
      </c>
    </row>
    <row r="181" spans="1:20" x14ac:dyDescent="0.35">
      <c r="A181" t="s">
        <v>273</v>
      </c>
      <c r="B181" s="1">
        <v>44405</v>
      </c>
      <c r="C181">
        <v>2021</v>
      </c>
      <c r="D181">
        <v>7</v>
      </c>
      <c r="E181" t="s">
        <v>78</v>
      </c>
      <c r="F181">
        <v>91</v>
      </c>
      <c r="G181" t="s">
        <v>58</v>
      </c>
      <c r="H181" t="s">
        <v>30</v>
      </c>
      <c r="I181">
        <v>0</v>
      </c>
      <c r="J181">
        <v>0</v>
      </c>
      <c r="K181">
        <v>5.0999999999999996</v>
      </c>
      <c r="L181">
        <v>1553</v>
      </c>
      <c r="M181" t="s">
        <v>17</v>
      </c>
      <c r="N181" t="str">
        <f>IF(ISNUMBER(SEARCH("Streaming", M181)), "streaming", "cinema")</f>
        <v>streaming</v>
      </c>
      <c r="O181" t="str">
        <f>IF(I181=1, "non-original", "original")</f>
        <v>original</v>
      </c>
      <c r="P181" t="str">
        <f>IF(J181 = 1, "franchise", "non-franchise")</f>
        <v>non-franchise</v>
      </c>
      <c r="Q181" t="str">
        <f>IF(OR(I181 = 1,J181 =1), "old", "new")</f>
        <v>new</v>
      </c>
      <c r="R181">
        <f t="shared" si="4"/>
        <v>0.26872866838268666</v>
      </c>
      <c r="S181">
        <f>IF(Q181="new",1.5,1)*(K181/10)*(1-(MIN(F181,180)/180))</f>
        <v>0.37825000000000003</v>
      </c>
      <c r="T181" t="str">
        <f t="shared" si="5"/>
        <v>Scenario 3: Strong Convenience</v>
      </c>
    </row>
    <row r="182" spans="1:20" x14ac:dyDescent="0.35">
      <c r="A182" t="s">
        <v>274</v>
      </c>
      <c r="B182" s="1">
        <v>44406</v>
      </c>
      <c r="C182">
        <v>2021</v>
      </c>
      <c r="D182">
        <v>7</v>
      </c>
      <c r="E182" t="s">
        <v>78</v>
      </c>
      <c r="F182">
        <v>101</v>
      </c>
      <c r="G182" t="s">
        <v>29</v>
      </c>
      <c r="H182" t="s">
        <v>30</v>
      </c>
      <c r="I182">
        <v>0</v>
      </c>
      <c r="J182">
        <v>0</v>
      </c>
      <c r="K182">
        <v>5.7</v>
      </c>
      <c r="L182">
        <v>7402</v>
      </c>
      <c r="M182" t="s">
        <v>88</v>
      </c>
      <c r="N182" t="str">
        <f>IF(ISNUMBER(SEARCH("Streaming", M182)), "streaming", "cinema")</f>
        <v>streaming</v>
      </c>
      <c r="O182" t="str">
        <f>IF(I182=1, "non-original", "original")</f>
        <v>original</v>
      </c>
      <c r="P182" t="str">
        <f>IF(J182 = 1, "franchise", "non-franchise")</f>
        <v>non-franchise</v>
      </c>
      <c r="Q182" t="str">
        <f>IF(OR(I182 = 1,J182 =1), "old", "new")</f>
        <v>new</v>
      </c>
      <c r="R182">
        <f t="shared" si="4"/>
        <v>0.36164440881974896</v>
      </c>
      <c r="S182">
        <f>IF(Q182="new",1.5,1)*(K182/10)*(1-(MIN(F182,180)/180))</f>
        <v>0.37525000000000003</v>
      </c>
      <c r="T182" t="str">
        <f t="shared" si="5"/>
        <v>Scenario 3: Strong Convenience</v>
      </c>
    </row>
    <row r="183" spans="1:20" x14ac:dyDescent="0.35">
      <c r="A183" t="s">
        <v>275</v>
      </c>
      <c r="B183" s="1">
        <v>44407</v>
      </c>
      <c r="C183">
        <v>2021</v>
      </c>
      <c r="D183">
        <v>7</v>
      </c>
      <c r="E183" t="s">
        <v>78</v>
      </c>
      <c r="F183">
        <v>112</v>
      </c>
      <c r="G183" t="s">
        <v>41</v>
      </c>
      <c r="H183" t="s">
        <v>30</v>
      </c>
      <c r="I183">
        <v>0</v>
      </c>
      <c r="J183">
        <v>0</v>
      </c>
      <c r="K183">
        <v>5.3</v>
      </c>
      <c r="L183">
        <v>10404</v>
      </c>
      <c r="M183" t="s">
        <v>88</v>
      </c>
      <c r="N183" t="str">
        <f>IF(ISNUMBER(SEARCH("Streaming", M183)), "streaming", "cinema")</f>
        <v>streaming</v>
      </c>
      <c r="O183" t="str">
        <f>IF(I183=1, "non-original", "original")</f>
        <v>original</v>
      </c>
      <c r="P183" t="str">
        <f>IF(J183 = 1, "franchise", "non-franchise")</f>
        <v>non-franchise</v>
      </c>
      <c r="Q183" t="str">
        <f>IF(OR(I183 = 1,J183 =1), "old", "new")</f>
        <v>new</v>
      </c>
      <c r="R183">
        <f t="shared" si="4"/>
        <v>0.41635519028984719</v>
      </c>
      <c r="S183">
        <f>IF(Q183="new",1.5,1)*(K183/10)*(1-(MIN(F183,180)/180))</f>
        <v>0.30033333333333334</v>
      </c>
      <c r="T183" t="str">
        <f t="shared" si="5"/>
        <v>Scenario 2: Weak Commitment/Convenience</v>
      </c>
    </row>
    <row r="184" spans="1:20" x14ac:dyDescent="0.35">
      <c r="A184" t="s">
        <v>276</v>
      </c>
      <c r="B184" s="1">
        <v>44419</v>
      </c>
      <c r="C184">
        <v>2021</v>
      </c>
      <c r="D184">
        <v>8</v>
      </c>
      <c r="E184" t="s">
        <v>78</v>
      </c>
      <c r="F184">
        <v>113</v>
      </c>
      <c r="G184" t="s">
        <v>116</v>
      </c>
      <c r="H184" t="s">
        <v>27</v>
      </c>
      <c r="I184">
        <v>0</v>
      </c>
      <c r="J184">
        <v>1</v>
      </c>
      <c r="K184">
        <v>4.8</v>
      </c>
      <c r="L184">
        <v>26538</v>
      </c>
      <c r="M184" t="s">
        <v>17</v>
      </c>
      <c r="N184" t="str">
        <f>IF(ISNUMBER(SEARCH("Streaming", M184)), "streaming", "cinema")</f>
        <v>streaming</v>
      </c>
      <c r="O184" t="str">
        <f>IF(I184=1, "non-original", "original")</f>
        <v>original</v>
      </c>
      <c r="P184" t="str">
        <f>IF(J184 = 1, "franchise", "non-franchise")</f>
        <v>franchise</v>
      </c>
      <c r="Q184" t="str">
        <f>IF(OR(I184 = 1,J184 =1), "old", "new")</f>
        <v>old</v>
      </c>
      <c r="R184">
        <f t="shared" si="4"/>
        <v>0.6938959460816867</v>
      </c>
      <c r="S184">
        <f>IF(Q184="new",1.5,1)*(K184/10)*(1-(MIN(F184,180)/180))</f>
        <v>0.17866666666666667</v>
      </c>
      <c r="T184" t="str">
        <f t="shared" si="5"/>
        <v>Scenario 1: Strong Commitment</v>
      </c>
    </row>
    <row r="185" spans="1:20" x14ac:dyDescent="0.35">
      <c r="A185" t="s">
        <v>277</v>
      </c>
      <c r="B185" s="1">
        <v>44421</v>
      </c>
      <c r="C185">
        <v>2021</v>
      </c>
      <c r="D185">
        <v>8</v>
      </c>
      <c r="E185" t="s">
        <v>78</v>
      </c>
      <c r="F185">
        <v>110</v>
      </c>
      <c r="G185" t="s">
        <v>49</v>
      </c>
      <c r="H185" t="s">
        <v>24</v>
      </c>
      <c r="I185">
        <v>0</v>
      </c>
      <c r="J185">
        <v>0</v>
      </c>
      <c r="K185">
        <v>5.7</v>
      </c>
      <c r="L185">
        <v>30468</v>
      </c>
      <c r="M185" t="s">
        <v>17</v>
      </c>
      <c r="N185" t="str">
        <f>IF(ISNUMBER(SEARCH("Streaming", M185)), "streaming", "cinema")</f>
        <v>streaming</v>
      </c>
      <c r="O185" t="str">
        <f>IF(I185=1, "non-original", "original")</f>
        <v>original</v>
      </c>
      <c r="P185" t="str">
        <f>IF(J185 = 1, "franchise", "non-franchise")</f>
        <v>non-franchise</v>
      </c>
      <c r="Q185" t="str">
        <f>IF(OR(I185 = 1,J185 =1), "old", "new")</f>
        <v>new</v>
      </c>
      <c r="R185">
        <f t="shared" si="4"/>
        <v>0.4564210266654673</v>
      </c>
      <c r="S185">
        <f>IF(Q185="new",1.5,1)*(K185/10)*(1-(MIN(F185,180)/180))</f>
        <v>0.33250000000000002</v>
      </c>
      <c r="T185" t="str">
        <f t="shared" si="5"/>
        <v>Scenario 3: Strong Convenience</v>
      </c>
    </row>
    <row r="186" spans="1:20" x14ac:dyDescent="0.35">
      <c r="A186" t="s">
        <v>278</v>
      </c>
      <c r="B186" s="1">
        <v>44426</v>
      </c>
      <c r="C186">
        <v>2021</v>
      </c>
      <c r="D186">
        <v>8</v>
      </c>
      <c r="E186" t="s">
        <v>78</v>
      </c>
      <c r="F186">
        <v>104</v>
      </c>
      <c r="G186" t="s">
        <v>19</v>
      </c>
      <c r="H186" t="s">
        <v>30</v>
      </c>
      <c r="I186">
        <v>0</v>
      </c>
      <c r="J186">
        <v>0</v>
      </c>
      <c r="K186">
        <v>5.2</v>
      </c>
      <c r="L186">
        <v>3707</v>
      </c>
      <c r="M186" t="s">
        <v>17</v>
      </c>
      <c r="N186" t="str">
        <f>IF(ISNUMBER(SEARCH("Streaming", M186)), "streaming", "cinema")</f>
        <v>streaming</v>
      </c>
      <c r="O186" t="str">
        <f>IF(I186=1, "non-original", "original")</f>
        <v>original</v>
      </c>
      <c r="P186" t="str">
        <f>IF(J186 = 1, "franchise", "non-franchise")</f>
        <v>non-franchise</v>
      </c>
      <c r="Q186" t="str">
        <f>IF(OR(I186 = 1,J186 =1), "old", "new")</f>
        <v>new</v>
      </c>
      <c r="R186">
        <f t="shared" si="4"/>
        <v>0.34348288718319253</v>
      </c>
      <c r="S186">
        <f>IF(Q186="new",1.5,1)*(K186/10)*(1-(MIN(F186,180)/180))</f>
        <v>0.32933333333333337</v>
      </c>
      <c r="T186" t="str">
        <f t="shared" si="5"/>
        <v>Scenario 3: Strong Convenience</v>
      </c>
    </row>
    <row r="187" spans="1:20" x14ac:dyDescent="0.35">
      <c r="A187" t="s">
        <v>279</v>
      </c>
      <c r="B187" s="1">
        <v>44426</v>
      </c>
      <c r="C187">
        <v>2021</v>
      </c>
      <c r="D187">
        <v>8</v>
      </c>
      <c r="E187" t="s">
        <v>78</v>
      </c>
      <c r="F187">
        <v>96</v>
      </c>
      <c r="G187" t="s">
        <v>29</v>
      </c>
      <c r="H187" t="s">
        <v>30</v>
      </c>
      <c r="I187">
        <v>0</v>
      </c>
      <c r="J187">
        <v>0</v>
      </c>
      <c r="K187">
        <v>5.5</v>
      </c>
      <c r="L187">
        <v>1202</v>
      </c>
      <c r="M187" t="s">
        <v>88</v>
      </c>
      <c r="N187" t="str">
        <f>IF(ISNUMBER(SEARCH("Streaming", M187)), "streaming", "cinema")</f>
        <v>streaming</v>
      </c>
      <c r="O187" t="str">
        <f>IF(I187=1, "non-original", "original")</f>
        <v>original</v>
      </c>
      <c r="P187" t="str">
        <f>IF(J187 = 1, "franchise", "non-franchise")</f>
        <v>non-franchise</v>
      </c>
      <c r="Q187" t="str">
        <f>IF(OR(I187 = 1,J187 =1), "old", "new")</f>
        <v>new</v>
      </c>
      <c r="R187">
        <f t="shared" si="4"/>
        <v>0.2736093585553625</v>
      </c>
      <c r="S187">
        <f>IF(Q187="new",1.5,1)*(K187/10)*(1-(MIN(F187,180)/180))</f>
        <v>0.38500000000000006</v>
      </c>
      <c r="T187" t="str">
        <f t="shared" si="5"/>
        <v>Scenario 3: Strong Convenience</v>
      </c>
    </row>
    <row r="188" spans="1:20" x14ac:dyDescent="0.35">
      <c r="A188" t="s">
        <v>280</v>
      </c>
      <c r="B188" s="1">
        <v>44428</v>
      </c>
      <c r="C188">
        <v>2021</v>
      </c>
      <c r="D188">
        <v>8</v>
      </c>
      <c r="E188" t="s">
        <v>78</v>
      </c>
      <c r="F188">
        <v>110</v>
      </c>
      <c r="G188" t="s">
        <v>58</v>
      </c>
      <c r="H188" t="s">
        <v>24</v>
      </c>
      <c r="I188">
        <v>0</v>
      </c>
      <c r="J188">
        <v>0</v>
      </c>
      <c r="K188">
        <v>5.5</v>
      </c>
      <c r="L188">
        <v>37965</v>
      </c>
      <c r="M188" t="s">
        <v>88</v>
      </c>
      <c r="N188" t="str">
        <f>IF(ISNUMBER(SEARCH("Streaming", M188)), "streaming", "cinema")</f>
        <v>streaming</v>
      </c>
      <c r="O188" t="str">
        <f>IF(I188=1, "non-original", "original")</f>
        <v>original</v>
      </c>
      <c r="P188" t="str">
        <f>IF(J188 = 1, "franchise", "non-franchise")</f>
        <v>non-franchise</v>
      </c>
      <c r="Q188" t="str">
        <f>IF(OR(I188 = 1,J188 =1), "old", "new")</f>
        <v>new</v>
      </c>
      <c r="R188">
        <f t="shared" si="4"/>
        <v>0.46614621284517038</v>
      </c>
      <c r="S188">
        <f>IF(Q188="new",1.5,1)*(K188/10)*(1-(MIN(F188,180)/180))</f>
        <v>0.3208333333333333</v>
      </c>
      <c r="T188" t="str">
        <f t="shared" si="5"/>
        <v>Scenario 3: Strong Convenience</v>
      </c>
    </row>
    <row r="189" spans="1:20" x14ac:dyDescent="0.35">
      <c r="A189" t="s">
        <v>281</v>
      </c>
      <c r="B189" s="1">
        <v>44428</v>
      </c>
      <c r="C189">
        <v>2021</v>
      </c>
      <c r="D189">
        <v>8</v>
      </c>
      <c r="E189" t="s">
        <v>78</v>
      </c>
      <c r="F189">
        <v>87</v>
      </c>
      <c r="G189" t="s">
        <v>282</v>
      </c>
      <c r="H189" t="s">
        <v>86</v>
      </c>
      <c r="I189">
        <v>0</v>
      </c>
      <c r="J189">
        <v>0</v>
      </c>
      <c r="K189">
        <v>6</v>
      </c>
      <c r="L189">
        <v>3454</v>
      </c>
      <c r="M189" t="s">
        <v>17</v>
      </c>
      <c r="N189" t="str">
        <f>IF(ISNUMBER(SEARCH("Streaming", M189)), "streaming", "cinema")</f>
        <v>streaming</v>
      </c>
      <c r="O189" t="str">
        <f>IF(I189=1, "non-original", "original")</f>
        <v>original</v>
      </c>
      <c r="P189" t="str">
        <f>IF(J189 = 1, "franchise", "non-franchise")</f>
        <v>non-franchise</v>
      </c>
      <c r="Q189" t="str">
        <f>IF(OR(I189 = 1,J189 =1), "old", "new")</f>
        <v>new</v>
      </c>
      <c r="R189">
        <f t="shared" si="4"/>
        <v>0.28486501478281745</v>
      </c>
      <c r="S189">
        <f>IF(Q189="new",1.5,1)*(K189/10)*(1-(MIN(F189,180)/180))</f>
        <v>0.46499999999999991</v>
      </c>
      <c r="T189" t="str">
        <f t="shared" si="5"/>
        <v>Scenario 3: Strong Convenience</v>
      </c>
    </row>
    <row r="190" spans="1:20" x14ac:dyDescent="0.35">
      <c r="A190" t="s">
        <v>283</v>
      </c>
      <c r="B190" s="1">
        <v>44431</v>
      </c>
      <c r="C190">
        <v>2021</v>
      </c>
      <c r="D190">
        <v>8</v>
      </c>
      <c r="E190" t="s">
        <v>78</v>
      </c>
      <c r="F190">
        <v>83</v>
      </c>
      <c r="G190" t="s">
        <v>284</v>
      </c>
      <c r="H190" t="s">
        <v>24</v>
      </c>
      <c r="I190">
        <v>0</v>
      </c>
      <c r="J190">
        <v>0</v>
      </c>
      <c r="K190">
        <v>7.2</v>
      </c>
      <c r="L190">
        <v>54885</v>
      </c>
      <c r="M190" t="s">
        <v>17</v>
      </c>
      <c r="N190" t="str">
        <f>IF(ISNUMBER(SEARCH("Streaming", M190)), "streaming", "cinema")</f>
        <v>streaming</v>
      </c>
      <c r="O190" t="str">
        <f>IF(I190=1, "non-original", "original")</f>
        <v>original</v>
      </c>
      <c r="P190" t="str">
        <f>IF(J190 = 1, "franchise", "non-franchise")</f>
        <v>non-franchise</v>
      </c>
      <c r="Q190" t="str">
        <f>IF(OR(I190 = 1,J190 =1), "old", "new")</f>
        <v>new</v>
      </c>
      <c r="R190">
        <f t="shared" si="4"/>
        <v>0.36402301602953147</v>
      </c>
      <c r="S190">
        <f>IF(Q190="new",1.5,1)*(K190/10)*(1-(MIN(F190,180)/180))</f>
        <v>0.58199999999999996</v>
      </c>
      <c r="T190" t="str">
        <f t="shared" si="5"/>
        <v>Scenario 3: Strong Convenience</v>
      </c>
    </row>
    <row r="191" spans="1:20" x14ac:dyDescent="0.35">
      <c r="A191" t="s">
        <v>285</v>
      </c>
      <c r="B191" s="1">
        <v>44435</v>
      </c>
      <c r="C191">
        <v>2021</v>
      </c>
      <c r="D191">
        <v>8</v>
      </c>
      <c r="E191" t="s">
        <v>78</v>
      </c>
      <c r="F191">
        <v>91</v>
      </c>
      <c r="G191" t="s">
        <v>26</v>
      </c>
      <c r="H191" t="s">
        <v>30</v>
      </c>
      <c r="I191">
        <v>1</v>
      </c>
      <c r="J191">
        <v>1</v>
      </c>
      <c r="K191">
        <v>4.4000000000000004</v>
      </c>
      <c r="L191">
        <v>32215</v>
      </c>
      <c r="M191" t="s">
        <v>17</v>
      </c>
      <c r="N191" t="str">
        <f>IF(ISNUMBER(SEARCH("Streaming", M191)), "streaming", "cinema")</f>
        <v>streaming</v>
      </c>
      <c r="O191" t="str">
        <f>IF(I191=1, "non-original", "original")</f>
        <v>non-original</v>
      </c>
      <c r="P191" t="str">
        <f>IF(J191 = 1, "franchise", "non-franchise")</f>
        <v>franchise</v>
      </c>
      <c r="Q191" t="str">
        <f>IF(OR(I191 = 1,J191 =1), "old", "new")</f>
        <v>old</v>
      </c>
      <c r="R191">
        <f t="shared" si="4"/>
        <v>0.56943561789149333</v>
      </c>
      <c r="S191">
        <f>IF(Q191="new",1.5,1)*(K191/10)*(1-(MIN(F191,180)/180))</f>
        <v>0.21755555555555559</v>
      </c>
      <c r="T191" t="str">
        <f t="shared" si="5"/>
        <v>Scenario 1: Strong Commitment</v>
      </c>
    </row>
    <row r="192" spans="1:20" x14ac:dyDescent="0.35">
      <c r="A192" t="s">
        <v>286</v>
      </c>
      <c r="B192" s="1">
        <v>44441</v>
      </c>
      <c r="C192">
        <v>2021</v>
      </c>
      <c r="D192">
        <v>9</v>
      </c>
      <c r="E192" t="s">
        <v>125</v>
      </c>
      <c r="F192">
        <v>109</v>
      </c>
      <c r="G192" t="s">
        <v>21</v>
      </c>
      <c r="H192" t="s">
        <v>30</v>
      </c>
      <c r="I192">
        <v>0</v>
      </c>
      <c r="J192">
        <v>0</v>
      </c>
      <c r="K192">
        <v>5.8</v>
      </c>
      <c r="L192">
        <v>11657</v>
      </c>
      <c r="M192" t="s">
        <v>17</v>
      </c>
      <c r="N192" t="str">
        <f>IF(ISNUMBER(SEARCH("Streaming", M192)), "streaming", "cinema")</f>
        <v>streaming</v>
      </c>
      <c r="O192" t="str">
        <f>IF(I192=1, "non-original", "original")</f>
        <v>original</v>
      </c>
      <c r="P192" t="str">
        <f>IF(J192 = 1, "franchise", "non-franchise")</f>
        <v>non-franchise</v>
      </c>
      <c r="Q192" t="str">
        <f>IF(OR(I192 = 1,J192 =1), "old", "new")</f>
        <v>new</v>
      </c>
      <c r="R192">
        <f t="shared" si="4"/>
        <v>0.41018428089803483</v>
      </c>
      <c r="S192">
        <f>IF(Q192="new",1.5,1)*(K192/10)*(1-(MIN(F192,180)/180))</f>
        <v>0.34316666666666668</v>
      </c>
      <c r="T192" t="str">
        <f t="shared" si="5"/>
        <v>Scenario 3: Strong Convenience</v>
      </c>
    </row>
    <row r="193" spans="1:20" x14ac:dyDescent="0.35">
      <c r="A193" t="s">
        <v>287</v>
      </c>
      <c r="B193" s="1">
        <v>44447</v>
      </c>
      <c r="C193">
        <v>2021</v>
      </c>
      <c r="D193">
        <v>9</v>
      </c>
      <c r="E193" t="s">
        <v>125</v>
      </c>
      <c r="F193">
        <v>91</v>
      </c>
      <c r="G193" t="s">
        <v>269</v>
      </c>
      <c r="H193" t="s">
        <v>30</v>
      </c>
      <c r="I193">
        <v>0</v>
      </c>
      <c r="J193">
        <v>0</v>
      </c>
      <c r="K193">
        <v>5.4</v>
      </c>
      <c r="L193">
        <v>2911</v>
      </c>
      <c r="M193" t="s">
        <v>17</v>
      </c>
      <c r="N193" t="str">
        <f>IF(ISNUMBER(SEARCH("Streaming", M193)), "streaming", "cinema")</f>
        <v>streaming</v>
      </c>
      <c r="O193" t="str">
        <f>IF(I193=1, "non-original", "original")</f>
        <v>original</v>
      </c>
      <c r="P193" t="str">
        <f>IF(J193 = 1, "franchise", "non-franchise")</f>
        <v>non-franchise</v>
      </c>
      <c r="Q193" t="str">
        <f>IF(OR(I193 = 1,J193 =1), "old", "new")</f>
        <v>new</v>
      </c>
      <c r="R193">
        <f t="shared" si="4"/>
        <v>0.29170712448493963</v>
      </c>
      <c r="S193">
        <f>IF(Q193="new",1.5,1)*(K193/10)*(1-(MIN(F193,180)/180))</f>
        <v>0.40050000000000002</v>
      </c>
      <c r="T193" t="str">
        <f t="shared" si="5"/>
        <v>Scenario 3: Strong Convenience</v>
      </c>
    </row>
    <row r="194" spans="1:20" x14ac:dyDescent="0.35">
      <c r="A194" t="s">
        <v>288</v>
      </c>
      <c r="B194" s="1">
        <v>44449</v>
      </c>
      <c r="C194">
        <v>2021</v>
      </c>
      <c r="D194">
        <v>9</v>
      </c>
      <c r="E194" t="s">
        <v>125</v>
      </c>
      <c r="F194">
        <v>106</v>
      </c>
      <c r="G194" t="s">
        <v>49</v>
      </c>
      <c r="H194" t="s">
        <v>24</v>
      </c>
      <c r="I194">
        <v>0</v>
      </c>
      <c r="J194">
        <v>0</v>
      </c>
      <c r="K194">
        <v>6.3</v>
      </c>
      <c r="L194">
        <v>76505</v>
      </c>
      <c r="M194" t="s">
        <v>88</v>
      </c>
      <c r="N194" t="str">
        <f>IF(ISNUMBER(SEARCH("Streaming", M194)), "streaming", "cinema")</f>
        <v>streaming</v>
      </c>
      <c r="O194" t="str">
        <f>IF(I194=1, "non-original", "original")</f>
        <v>original</v>
      </c>
      <c r="P194" t="str">
        <f>IF(J194 = 1, "franchise", "non-franchise")</f>
        <v>non-franchise</v>
      </c>
      <c r="Q194" t="str">
        <f>IF(OR(I194 = 1,J194 =1), "old", "new")</f>
        <v>new</v>
      </c>
      <c r="R194">
        <f t="shared" si="4"/>
        <v>0.47904510516482496</v>
      </c>
      <c r="S194">
        <f>IF(Q194="new",1.5,1)*(K194/10)*(1-(MIN(F194,180)/180))</f>
        <v>0.38850000000000001</v>
      </c>
      <c r="T194" t="str">
        <f t="shared" si="5"/>
        <v>Scenario 4: Hybrid Logic</v>
      </c>
    </row>
    <row r="195" spans="1:20" x14ac:dyDescent="0.35">
      <c r="A195" t="s">
        <v>289</v>
      </c>
      <c r="B195" s="1">
        <v>44449</v>
      </c>
      <c r="C195">
        <v>2021</v>
      </c>
      <c r="D195">
        <v>9</v>
      </c>
      <c r="E195" t="s">
        <v>125</v>
      </c>
      <c r="F195">
        <v>87</v>
      </c>
      <c r="G195" t="s">
        <v>19</v>
      </c>
      <c r="H195" t="s">
        <v>30</v>
      </c>
      <c r="I195">
        <v>0</v>
      </c>
      <c r="J195">
        <v>0</v>
      </c>
      <c r="K195">
        <v>4.4000000000000004</v>
      </c>
      <c r="L195">
        <v>10282</v>
      </c>
      <c r="M195" t="s">
        <v>17</v>
      </c>
      <c r="N195" t="str">
        <f>IF(ISNUMBER(SEARCH("Streaming", M195)), "streaming", "cinema")</f>
        <v>streaming</v>
      </c>
      <c r="O195" t="str">
        <f>IF(I195=1, "non-original", "original")</f>
        <v>original</v>
      </c>
      <c r="P195" t="str">
        <f>IF(J195 = 1, "franchise", "non-franchise")</f>
        <v>non-franchise</v>
      </c>
      <c r="Q195" t="str">
        <f>IF(OR(I195 = 1,J195 =1), "old", "new")</f>
        <v>new</v>
      </c>
      <c r="R195">
        <f t="shared" ref="R195:R258" si="6">IF(Q195="old",1.5,1)*(LOG10(L195)/LOG10(MAX($L$2:$L$1078)))*(MIN(F195,180)/180)</f>
        <v>0.32300633946383217</v>
      </c>
      <c r="S195">
        <f>IF(Q195="new",1.5,1)*(K195/10)*(1-(MIN(F195,180)/180))</f>
        <v>0.34100000000000003</v>
      </c>
      <c r="T195" t="str">
        <f t="shared" ref="T195:T258" si="7">IF(AND(R195&gt;=AVERAGE($R$2:$R$1078),S195&gt;=AVERAGE($S$2:$S$1078)),"Scenario 4: Hybrid Logic",
 IF(AND(R195&gt;=AVERAGE($R$2:$R$1078),S195&lt;AVERAGE($S$2:$S$1078)),"Scenario 1: Strong Commitment",
  IF(AND(R195&lt;AVERAGE($R$2:$R$1078),S195&gt;=AVERAGE($S$2:$S$1078)),"Scenario 3: Strong Convenience",
   "Scenario 2: Weak Commitment/Convenience")))</f>
        <v>Scenario 3: Strong Convenience</v>
      </c>
    </row>
    <row r="196" spans="1:20" x14ac:dyDescent="0.35">
      <c r="A196" t="s">
        <v>290</v>
      </c>
      <c r="B196" s="1">
        <v>44454</v>
      </c>
      <c r="C196">
        <v>2021</v>
      </c>
      <c r="D196">
        <v>9</v>
      </c>
      <c r="E196" t="s">
        <v>125</v>
      </c>
      <c r="F196">
        <v>100</v>
      </c>
      <c r="G196" t="s">
        <v>291</v>
      </c>
      <c r="H196" t="s">
        <v>16</v>
      </c>
      <c r="I196">
        <v>0</v>
      </c>
      <c r="J196">
        <v>0</v>
      </c>
      <c r="K196">
        <v>5.8</v>
      </c>
      <c r="L196">
        <v>11480</v>
      </c>
      <c r="M196" t="s">
        <v>17</v>
      </c>
      <c r="N196" t="str">
        <f>IF(ISNUMBER(SEARCH("Streaming", M196)), "streaming", "cinema")</f>
        <v>streaming</v>
      </c>
      <c r="O196" t="str">
        <f>IF(I196=1, "non-original", "original")</f>
        <v>original</v>
      </c>
      <c r="P196" t="str">
        <f>IF(J196 = 1, "franchise", "non-franchise")</f>
        <v>non-franchise</v>
      </c>
      <c r="Q196" t="str">
        <f>IF(OR(I196 = 1,J196 =1), "old", "new")</f>
        <v>new</v>
      </c>
      <c r="R196">
        <f t="shared" si="6"/>
        <v>0.37570094415888022</v>
      </c>
      <c r="S196">
        <f>IF(Q196="new",1.5,1)*(K196/10)*(1-(MIN(F196,180)/180))</f>
        <v>0.3866666666666666</v>
      </c>
      <c r="T196" t="str">
        <f t="shared" si="7"/>
        <v>Scenario 3: Strong Convenience</v>
      </c>
    </row>
    <row r="197" spans="1:20" x14ac:dyDescent="0.35">
      <c r="A197" t="s">
        <v>292</v>
      </c>
      <c r="B197" s="1">
        <v>44456</v>
      </c>
      <c r="C197">
        <v>2021</v>
      </c>
      <c r="D197">
        <v>9</v>
      </c>
      <c r="E197" t="s">
        <v>125</v>
      </c>
      <c r="F197">
        <v>110</v>
      </c>
      <c r="G197" t="s">
        <v>293</v>
      </c>
      <c r="H197" t="s">
        <v>30</v>
      </c>
      <c r="I197">
        <v>0</v>
      </c>
      <c r="J197">
        <v>0</v>
      </c>
      <c r="K197">
        <v>5.6</v>
      </c>
      <c r="L197">
        <v>1070</v>
      </c>
      <c r="M197" t="s">
        <v>17</v>
      </c>
      <c r="N197" t="str">
        <f>IF(ISNUMBER(SEARCH("Streaming", M197)), "streaming", "cinema")</f>
        <v>streaming</v>
      </c>
      <c r="O197" t="str">
        <f>IF(I197=1, "non-original", "original")</f>
        <v>original</v>
      </c>
      <c r="P197" t="str">
        <f>IF(J197 = 1, "franchise", "non-franchise")</f>
        <v>non-franchise</v>
      </c>
      <c r="Q197" t="str">
        <f>IF(OR(I197 = 1,J197 =1), "old", "new")</f>
        <v>new</v>
      </c>
      <c r="R197">
        <f t="shared" si="6"/>
        <v>0.30836810342700566</v>
      </c>
      <c r="S197">
        <f>IF(Q197="new",1.5,1)*(K197/10)*(1-(MIN(F197,180)/180))</f>
        <v>0.32666666666666655</v>
      </c>
      <c r="T197" t="str">
        <f t="shared" si="7"/>
        <v>Scenario 3: Strong Convenience</v>
      </c>
    </row>
    <row r="198" spans="1:20" x14ac:dyDescent="0.35">
      <c r="A198" t="s">
        <v>294</v>
      </c>
      <c r="B198" s="1">
        <v>44461</v>
      </c>
      <c r="C198">
        <v>2021</v>
      </c>
      <c r="D198">
        <v>9</v>
      </c>
      <c r="E198" t="s">
        <v>125</v>
      </c>
      <c r="F198">
        <v>91</v>
      </c>
      <c r="G198" t="s">
        <v>34</v>
      </c>
      <c r="H198" t="s">
        <v>30</v>
      </c>
      <c r="I198">
        <v>0</v>
      </c>
      <c r="J198">
        <v>0</v>
      </c>
      <c r="K198">
        <v>5.3</v>
      </c>
      <c r="L198">
        <v>1603</v>
      </c>
      <c r="M198" t="s">
        <v>88</v>
      </c>
      <c r="N198" t="str">
        <f>IF(ISNUMBER(SEARCH("Streaming", M198)), "streaming", "cinema")</f>
        <v>streaming</v>
      </c>
      <c r="O198" t="str">
        <f>IF(I198=1, "non-original", "original")</f>
        <v>original</v>
      </c>
      <c r="P198" t="str">
        <f>IF(J198 = 1, "franchise", "non-franchise")</f>
        <v>non-franchise</v>
      </c>
      <c r="Q198" t="str">
        <f>IF(OR(I198 = 1,J198 =1), "old", "new")</f>
        <v>new</v>
      </c>
      <c r="R198">
        <f t="shared" si="6"/>
        <v>0.26988757253114559</v>
      </c>
      <c r="S198">
        <f>IF(Q198="new",1.5,1)*(K198/10)*(1-(MIN(F198,180)/180))</f>
        <v>0.3930833333333334</v>
      </c>
      <c r="T198" t="str">
        <f t="shared" si="7"/>
        <v>Scenario 3: Strong Convenience</v>
      </c>
    </row>
    <row r="199" spans="1:20" x14ac:dyDescent="0.35">
      <c r="A199" t="s">
        <v>295</v>
      </c>
      <c r="B199" s="1">
        <v>44461</v>
      </c>
      <c r="C199">
        <v>2021</v>
      </c>
      <c r="D199">
        <v>9</v>
      </c>
      <c r="E199" t="s">
        <v>125</v>
      </c>
      <c r="F199">
        <v>93</v>
      </c>
      <c r="G199" t="s">
        <v>19</v>
      </c>
      <c r="H199" t="s">
        <v>30</v>
      </c>
      <c r="I199">
        <v>0</v>
      </c>
      <c r="J199">
        <v>0</v>
      </c>
      <c r="K199">
        <v>5.3</v>
      </c>
      <c r="L199">
        <v>24484</v>
      </c>
      <c r="M199" t="s">
        <v>17</v>
      </c>
      <c r="N199" t="str">
        <f>IF(ISNUMBER(SEARCH("Streaming", M199)), "streaming", "cinema")</f>
        <v>streaming</v>
      </c>
      <c r="O199" t="str">
        <f>IF(I199=1, "non-original", "original")</f>
        <v>original</v>
      </c>
      <c r="P199" t="str">
        <f>IF(J199 = 1, "franchise", "non-franchise")</f>
        <v>non-franchise</v>
      </c>
      <c r="Q199" t="str">
        <f>IF(OR(I199 = 1,J199 =1), "old", "new")</f>
        <v>new</v>
      </c>
      <c r="R199">
        <f t="shared" si="6"/>
        <v>0.37771076169701134</v>
      </c>
      <c r="S199">
        <f>IF(Q199="new",1.5,1)*(K199/10)*(1-(MIN(F199,180)/180))</f>
        <v>0.38424999999999998</v>
      </c>
      <c r="T199" t="str">
        <f t="shared" si="7"/>
        <v>Scenario 3: Strong Convenience</v>
      </c>
    </row>
    <row r="200" spans="1:20" x14ac:dyDescent="0.35">
      <c r="A200" t="s">
        <v>296</v>
      </c>
      <c r="B200" s="1">
        <v>44463</v>
      </c>
      <c r="C200">
        <v>2021</v>
      </c>
      <c r="D200">
        <v>9</v>
      </c>
      <c r="E200" t="s">
        <v>125</v>
      </c>
      <c r="F200">
        <v>104</v>
      </c>
      <c r="G200" t="s">
        <v>116</v>
      </c>
      <c r="H200" t="s">
        <v>27</v>
      </c>
      <c r="I200">
        <v>0</v>
      </c>
      <c r="J200">
        <v>0</v>
      </c>
      <c r="K200">
        <v>6.4</v>
      </c>
      <c r="L200">
        <v>16954</v>
      </c>
      <c r="M200" t="s">
        <v>17</v>
      </c>
      <c r="N200" t="str">
        <f>IF(ISNUMBER(SEARCH("Streaming", M200)), "streaming", "cinema")</f>
        <v>streaming</v>
      </c>
      <c r="O200" t="str">
        <f>IF(I200=1, "non-original", "original")</f>
        <v>original</v>
      </c>
      <c r="P200" t="str">
        <f>IF(J200 = 1, "franchise", "non-franchise")</f>
        <v>non-franchise</v>
      </c>
      <c r="Q200" t="str">
        <f>IF(OR(I200 = 1,J200 =1), "old", "new")</f>
        <v>new</v>
      </c>
      <c r="R200">
        <f t="shared" si="6"/>
        <v>0.40702533639081184</v>
      </c>
      <c r="S200">
        <f>IF(Q200="new",1.5,1)*(K200/10)*(1-(MIN(F200,180)/180))</f>
        <v>0.40533333333333338</v>
      </c>
      <c r="T200" t="str">
        <f t="shared" si="7"/>
        <v>Scenario 3: Strong Convenience</v>
      </c>
    </row>
    <row r="201" spans="1:20" x14ac:dyDescent="0.35">
      <c r="A201" t="s">
        <v>297</v>
      </c>
      <c r="B201" s="1">
        <v>44468</v>
      </c>
      <c r="C201">
        <v>2021</v>
      </c>
      <c r="D201">
        <v>9</v>
      </c>
      <c r="E201" t="s">
        <v>125</v>
      </c>
      <c r="F201">
        <v>88</v>
      </c>
      <c r="G201" t="s">
        <v>29</v>
      </c>
      <c r="H201" t="s">
        <v>30</v>
      </c>
      <c r="I201">
        <v>0</v>
      </c>
      <c r="J201">
        <v>0</v>
      </c>
      <c r="K201">
        <v>5.9</v>
      </c>
      <c r="L201">
        <v>4857</v>
      </c>
      <c r="M201" t="s">
        <v>88</v>
      </c>
      <c r="N201" t="str">
        <f>IF(ISNUMBER(SEARCH("Streaming", M201)), "streaming", "cinema")</f>
        <v>streaming</v>
      </c>
      <c r="O201" t="str">
        <f>IF(I201=1, "non-original", "original")</f>
        <v>original</v>
      </c>
      <c r="P201" t="str">
        <f>IF(J201 = 1, "franchise", "non-franchise")</f>
        <v>non-franchise</v>
      </c>
      <c r="Q201" t="str">
        <f>IF(OR(I201 = 1,J201 =1), "old", "new")</f>
        <v>new</v>
      </c>
      <c r="R201">
        <f t="shared" si="6"/>
        <v>0.30019526716298695</v>
      </c>
      <c r="S201">
        <f>IF(Q201="new",1.5,1)*(K201/10)*(1-(MIN(F201,180)/180))</f>
        <v>0.45233333333333337</v>
      </c>
      <c r="T201" t="str">
        <f t="shared" si="7"/>
        <v>Scenario 3: Strong Convenience</v>
      </c>
    </row>
    <row r="202" spans="1:20" x14ac:dyDescent="0.35">
      <c r="A202" t="s">
        <v>298</v>
      </c>
      <c r="B202" s="1">
        <v>44468</v>
      </c>
      <c r="C202">
        <v>2021</v>
      </c>
      <c r="D202">
        <v>9</v>
      </c>
      <c r="E202" t="s">
        <v>125</v>
      </c>
      <c r="F202">
        <v>85</v>
      </c>
      <c r="G202" t="s">
        <v>92</v>
      </c>
      <c r="H202" t="s">
        <v>24</v>
      </c>
      <c r="I202">
        <v>0</v>
      </c>
      <c r="J202">
        <v>0</v>
      </c>
      <c r="K202">
        <v>5.4</v>
      </c>
      <c r="L202">
        <v>24348</v>
      </c>
      <c r="M202" t="s">
        <v>17</v>
      </c>
      <c r="N202" t="str">
        <f>IF(ISNUMBER(SEARCH("Streaming", M202)), "streaming", "cinema")</f>
        <v>streaming</v>
      </c>
      <c r="O202" t="str">
        <f>IF(I202=1, "non-original", "original")</f>
        <v>original</v>
      </c>
      <c r="P202" t="str">
        <f>IF(J202 = 1, "franchise", "non-franchise")</f>
        <v>non-franchise</v>
      </c>
      <c r="Q202" t="str">
        <f>IF(OR(I202 = 1,J202 =1), "old", "new")</f>
        <v>new</v>
      </c>
      <c r="R202">
        <f t="shared" si="6"/>
        <v>0.34502923422092502</v>
      </c>
      <c r="S202">
        <f>IF(Q202="new",1.5,1)*(K202/10)*(1-(MIN(F202,180)/180))</f>
        <v>0.42750000000000005</v>
      </c>
      <c r="T202" t="str">
        <f t="shared" si="7"/>
        <v>Scenario 3: Strong Convenience</v>
      </c>
    </row>
    <row r="203" spans="1:20" x14ac:dyDescent="0.35">
      <c r="A203" t="s">
        <v>299</v>
      </c>
      <c r="B203" s="1">
        <v>44468</v>
      </c>
      <c r="C203">
        <v>2021</v>
      </c>
      <c r="D203">
        <v>9</v>
      </c>
      <c r="E203" t="s">
        <v>125</v>
      </c>
      <c r="F203">
        <v>110</v>
      </c>
      <c r="G203" t="s">
        <v>29</v>
      </c>
      <c r="H203" t="s">
        <v>30</v>
      </c>
      <c r="I203">
        <v>0</v>
      </c>
      <c r="J203">
        <v>0</v>
      </c>
      <c r="K203">
        <v>5.4</v>
      </c>
      <c r="L203">
        <v>3013</v>
      </c>
      <c r="M203" t="s">
        <v>17</v>
      </c>
      <c r="N203" t="str">
        <f>IF(ISNUMBER(SEARCH("Streaming", M203)), "streaming", "cinema")</f>
        <v>streaming</v>
      </c>
      <c r="O203" t="str">
        <f>IF(I203=1, "non-original", "original")</f>
        <v>original</v>
      </c>
      <c r="P203" t="str">
        <f>IF(J203 = 1, "franchise", "non-franchise")</f>
        <v>non-franchise</v>
      </c>
      <c r="Q203" t="str">
        <f>IF(OR(I203 = 1,J203 =1), "old", "new")</f>
        <v>new</v>
      </c>
      <c r="R203">
        <f t="shared" si="6"/>
        <v>0.35413550833696683</v>
      </c>
      <c r="S203">
        <f>IF(Q203="new",1.5,1)*(K203/10)*(1-(MIN(F203,180)/180))</f>
        <v>0.315</v>
      </c>
      <c r="T203" t="str">
        <f t="shared" si="7"/>
        <v>Scenario 2: Weak Commitment/Convenience</v>
      </c>
    </row>
    <row r="204" spans="1:20" x14ac:dyDescent="0.35">
      <c r="A204" t="s">
        <v>300</v>
      </c>
      <c r="B204" s="1">
        <v>44470</v>
      </c>
      <c r="C204">
        <v>2021</v>
      </c>
      <c r="D204">
        <v>10</v>
      </c>
      <c r="E204" t="s">
        <v>125</v>
      </c>
      <c r="F204">
        <v>90</v>
      </c>
      <c r="G204" t="s">
        <v>19</v>
      </c>
      <c r="H204" t="s">
        <v>24</v>
      </c>
      <c r="I204">
        <v>0</v>
      </c>
      <c r="J204">
        <v>0</v>
      </c>
      <c r="K204">
        <v>5.6</v>
      </c>
      <c r="L204">
        <v>1827</v>
      </c>
      <c r="M204" t="s">
        <v>17</v>
      </c>
      <c r="N204" t="str">
        <f>IF(ISNUMBER(SEARCH("Streaming", M204)), "streaming", "cinema")</f>
        <v>streaming</v>
      </c>
      <c r="O204" t="str">
        <f>IF(I204=1, "non-original", "original")</f>
        <v>original</v>
      </c>
      <c r="P204" t="str">
        <f>IF(J204 = 1, "franchise", "non-franchise")</f>
        <v>non-franchise</v>
      </c>
      <c r="Q204" t="str">
        <f>IF(OR(I204 = 1,J204 =1), "old", "new")</f>
        <v>new</v>
      </c>
      <c r="R204">
        <f t="shared" si="6"/>
        <v>0.27165276180400255</v>
      </c>
      <c r="S204">
        <f>IF(Q204="new",1.5,1)*(K204/10)*(1-(MIN(F204,180)/180))</f>
        <v>0.41999999999999993</v>
      </c>
      <c r="T204" t="str">
        <f t="shared" si="7"/>
        <v>Scenario 3: Strong Convenience</v>
      </c>
    </row>
    <row r="205" spans="1:20" x14ac:dyDescent="0.35">
      <c r="A205" t="s">
        <v>301</v>
      </c>
      <c r="B205" s="1">
        <v>44470</v>
      </c>
      <c r="C205">
        <v>2021</v>
      </c>
      <c r="D205">
        <v>10</v>
      </c>
      <c r="E205" t="s">
        <v>125</v>
      </c>
      <c r="F205">
        <v>128</v>
      </c>
      <c r="G205" t="s">
        <v>34</v>
      </c>
      <c r="H205" t="s">
        <v>30</v>
      </c>
      <c r="I205">
        <v>0</v>
      </c>
      <c r="J205">
        <v>0</v>
      </c>
      <c r="K205">
        <v>4.0999999999999996</v>
      </c>
      <c r="L205">
        <v>246</v>
      </c>
      <c r="M205" t="s">
        <v>17</v>
      </c>
      <c r="N205" t="str">
        <f>IF(ISNUMBER(SEARCH("Streaming", M205)), "streaming", "cinema")</f>
        <v>streaming</v>
      </c>
      <c r="O205" t="str">
        <f>IF(I205=1, "non-original", "original")</f>
        <v>original</v>
      </c>
      <c r="P205" t="str">
        <f>IF(J205 = 1, "franchise", "non-franchise")</f>
        <v>non-franchise</v>
      </c>
      <c r="Q205" t="str">
        <f>IF(OR(I205 = 1,J205 =1), "old", "new")</f>
        <v>new</v>
      </c>
      <c r="R205">
        <f t="shared" si="6"/>
        <v>0.28320455082065105</v>
      </c>
      <c r="S205">
        <f>IF(Q205="new",1.5,1)*(K205/10)*(1-(MIN(F205,180)/180))</f>
        <v>0.17766666666666664</v>
      </c>
      <c r="T205" t="str">
        <f t="shared" si="7"/>
        <v>Scenario 2: Weak Commitment/Convenience</v>
      </c>
    </row>
    <row r="206" spans="1:20" x14ac:dyDescent="0.35">
      <c r="A206" t="s">
        <v>302</v>
      </c>
      <c r="B206" s="1">
        <v>44470</v>
      </c>
      <c r="C206">
        <v>2021</v>
      </c>
      <c r="D206">
        <v>10</v>
      </c>
      <c r="E206" t="s">
        <v>125</v>
      </c>
      <c r="F206">
        <v>91</v>
      </c>
      <c r="G206" t="s">
        <v>19</v>
      </c>
      <c r="H206" t="s">
        <v>24</v>
      </c>
      <c r="I206">
        <v>1</v>
      </c>
      <c r="J206">
        <v>1</v>
      </c>
      <c r="K206">
        <v>6.3</v>
      </c>
      <c r="L206">
        <v>173014</v>
      </c>
      <c r="M206" t="s">
        <v>88</v>
      </c>
      <c r="N206" t="str">
        <f>IF(ISNUMBER(SEARCH("Streaming", M206)), "streaming", "cinema")</f>
        <v>streaming</v>
      </c>
      <c r="O206" t="str">
        <f>IF(I206=1, "non-original", "original")</f>
        <v>non-original</v>
      </c>
      <c r="P206" t="str">
        <f>IF(J206 = 1, "franchise", "non-franchise")</f>
        <v>franchise</v>
      </c>
      <c r="Q206" t="str">
        <f>IF(OR(I206 = 1,J206 =1), "old", "new")</f>
        <v>old</v>
      </c>
      <c r="R206">
        <f t="shared" si="6"/>
        <v>0.66164852839837995</v>
      </c>
      <c r="S206">
        <f>IF(Q206="new",1.5,1)*(K206/10)*(1-(MIN(F206,180)/180))</f>
        <v>0.3115</v>
      </c>
      <c r="T206" t="str">
        <f t="shared" si="7"/>
        <v>Scenario 1: Strong Commitment</v>
      </c>
    </row>
    <row r="207" spans="1:20" x14ac:dyDescent="0.35">
      <c r="A207" t="s">
        <v>303</v>
      </c>
      <c r="B207" s="1">
        <v>44475</v>
      </c>
      <c r="C207">
        <v>2021</v>
      </c>
      <c r="D207">
        <v>10</v>
      </c>
      <c r="E207" t="s">
        <v>125</v>
      </c>
      <c r="F207">
        <v>96</v>
      </c>
      <c r="G207" t="s">
        <v>304</v>
      </c>
      <c r="H207" t="s">
        <v>16</v>
      </c>
      <c r="I207">
        <v>0</v>
      </c>
      <c r="J207">
        <v>0</v>
      </c>
      <c r="K207">
        <v>4.9000000000000004</v>
      </c>
      <c r="L207">
        <v>22332</v>
      </c>
      <c r="M207" t="s">
        <v>17</v>
      </c>
      <c r="N207" t="str">
        <f>IF(ISNUMBER(SEARCH("Streaming", M207)), "streaming", "cinema")</f>
        <v>streaming</v>
      </c>
      <c r="O207" t="str">
        <f>IF(I207=1, "non-original", "original")</f>
        <v>original</v>
      </c>
      <c r="P207" t="str">
        <f>IF(J207 = 1, "franchise", "non-franchise")</f>
        <v>non-franchise</v>
      </c>
      <c r="Q207" t="str">
        <f>IF(OR(I207 = 1,J207 =1), "old", "new")</f>
        <v>new</v>
      </c>
      <c r="R207">
        <f t="shared" si="6"/>
        <v>0.38634552103122582</v>
      </c>
      <c r="S207">
        <f>IF(Q207="new",1.5,1)*(K207/10)*(1-(MIN(F207,180)/180))</f>
        <v>0.34300000000000003</v>
      </c>
      <c r="T207" t="str">
        <f t="shared" si="7"/>
        <v>Scenario 3: Strong Convenience</v>
      </c>
    </row>
    <row r="208" spans="1:20" x14ac:dyDescent="0.35">
      <c r="A208" t="s">
        <v>305</v>
      </c>
      <c r="B208" s="1">
        <v>44477</v>
      </c>
      <c r="C208">
        <v>2021</v>
      </c>
      <c r="D208">
        <v>10</v>
      </c>
      <c r="E208" t="s">
        <v>125</v>
      </c>
      <c r="F208">
        <v>106</v>
      </c>
      <c r="G208" t="s">
        <v>19</v>
      </c>
      <c r="H208" t="s">
        <v>30</v>
      </c>
      <c r="I208">
        <v>0</v>
      </c>
      <c r="J208">
        <v>0</v>
      </c>
      <c r="K208">
        <v>5.5</v>
      </c>
      <c r="L208">
        <v>5216</v>
      </c>
      <c r="M208" t="s">
        <v>88</v>
      </c>
      <c r="N208" t="str">
        <f>IF(ISNUMBER(SEARCH("Streaming", M208)), "streaming", "cinema")</f>
        <v>streaming</v>
      </c>
      <c r="O208" t="str">
        <f>IF(I208=1, "non-original", "original")</f>
        <v>original</v>
      </c>
      <c r="P208" t="str">
        <f>IF(J208 = 1, "franchise", "non-franchise")</f>
        <v>non-franchise</v>
      </c>
      <c r="Q208" t="str">
        <f>IF(OR(I208 = 1,J208 =1), "old", "new")</f>
        <v>new</v>
      </c>
      <c r="R208">
        <f t="shared" si="6"/>
        <v>0.36463666593723737</v>
      </c>
      <c r="S208">
        <f>IF(Q208="new",1.5,1)*(K208/10)*(1-(MIN(F208,180)/180))</f>
        <v>0.33916666666666667</v>
      </c>
      <c r="T208" t="str">
        <f t="shared" si="7"/>
        <v>Scenario 3: Strong Convenience</v>
      </c>
    </row>
    <row r="209" spans="1:20" x14ac:dyDescent="0.35">
      <c r="A209" t="s">
        <v>306</v>
      </c>
      <c r="B209" s="1">
        <v>44477</v>
      </c>
      <c r="C209">
        <v>2021</v>
      </c>
      <c r="D209">
        <v>10</v>
      </c>
      <c r="E209" t="s">
        <v>125</v>
      </c>
      <c r="F209">
        <v>110</v>
      </c>
      <c r="G209" t="s">
        <v>34</v>
      </c>
      <c r="H209" t="s">
        <v>30</v>
      </c>
      <c r="I209">
        <v>0</v>
      </c>
      <c r="J209">
        <v>0</v>
      </c>
      <c r="K209">
        <v>6.1</v>
      </c>
      <c r="L209">
        <v>1294</v>
      </c>
      <c r="M209" t="s">
        <v>17</v>
      </c>
      <c r="N209" t="str">
        <f>IF(ISNUMBER(SEARCH("Streaming", M209)), "streaming", "cinema")</f>
        <v>streaming</v>
      </c>
      <c r="O209" t="str">
        <f>IF(I209=1, "non-original", "original")</f>
        <v>original</v>
      </c>
      <c r="P209" t="str">
        <f>IF(J209 = 1, "franchise", "non-franchise")</f>
        <v>non-franchise</v>
      </c>
      <c r="Q209" t="str">
        <f>IF(OR(I209 = 1,J209 =1), "old", "new")</f>
        <v>new</v>
      </c>
      <c r="R209">
        <f t="shared" si="6"/>
        <v>0.31677111294081695</v>
      </c>
      <c r="S209">
        <f>IF(Q209="new",1.5,1)*(K209/10)*(1-(MIN(F209,180)/180))</f>
        <v>0.35583333333333328</v>
      </c>
      <c r="T209" t="str">
        <f t="shared" si="7"/>
        <v>Scenario 3: Strong Convenience</v>
      </c>
    </row>
    <row r="210" spans="1:20" x14ac:dyDescent="0.35">
      <c r="A210" t="s">
        <v>307</v>
      </c>
      <c r="B210" s="1">
        <v>44481</v>
      </c>
      <c r="C210">
        <v>2021</v>
      </c>
      <c r="D210">
        <v>10</v>
      </c>
      <c r="E210" t="s">
        <v>125</v>
      </c>
      <c r="F210">
        <v>80</v>
      </c>
      <c r="G210" t="s">
        <v>308</v>
      </c>
      <c r="H210" t="s">
        <v>27</v>
      </c>
      <c r="I210">
        <v>0</v>
      </c>
      <c r="J210">
        <v>0</v>
      </c>
      <c r="K210">
        <v>5.5</v>
      </c>
      <c r="L210">
        <v>1253</v>
      </c>
      <c r="M210" t="s">
        <v>17</v>
      </c>
      <c r="N210" t="str">
        <f>IF(ISNUMBER(SEARCH("Streaming", M210)), "streaming", "cinema")</f>
        <v>streaming</v>
      </c>
      <c r="O210" t="str">
        <f>IF(I210=1, "non-original", "original")</f>
        <v>original</v>
      </c>
      <c r="P210" t="str">
        <f>IF(J210 = 1, "franchise", "non-franchise")</f>
        <v>non-franchise</v>
      </c>
      <c r="Q210" t="str">
        <f>IF(OR(I210 = 1,J210 =1), "old", "new")</f>
        <v>new</v>
      </c>
      <c r="R210">
        <f t="shared" si="6"/>
        <v>0.22934380331953264</v>
      </c>
      <c r="S210">
        <f>IF(Q210="new",1.5,1)*(K210/10)*(1-(MIN(F210,180)/180))</f>
        <v>0.45833333333333337</v>
      </c>
      <c r="T210" t="str">
        <f t="shared" si="7"/>
        <v>Scenario 3: Strong Convenience</v>
      </c>
    </row>
    <row r="211" spans="1:20" x14ac:dyDescent="0.35">
      <c r="A211" t="s">
        <v>309</v>
      </c>
      <c r="B211" s="1">
        <v>44482</v>
      </c>
      <c r="C211">
        <v>2021</v>
      </c>
      <c r="D211">
        <v>10</v>
      </c>
      <c r="E211" t="s">
        <v>125</v>
      </c>
      <c r="F211">
        <v>93</v>
      </c>
      <c r="G211" t="s">
        <v>34</v>
      </c>
      <c r="H211" t="s">
        <v>24</v>
      </c>
      <c r="I211">
        <v>0</v>
      </c>
      <c r="J211">
        <v>0</v>
      </c>
      <c r="K211">
        <v>5.4</v>
      </c>
      <c r="L211">
        <v>2686</v>
      </c>
      <c r="M211" t="s">
        <v>17</v>
      </c>
      <c r="N211" t="str">
        <f>IF(ISNUMBER(SEARCH("Streaming", M211)), "streaming", "cinema")</f>
        <v>streaming</v>
      </c>
      <c r="O211" t="str">
        <f>IF(I211=1, "non-original", "original")</f>
        <v>original</v>
      </c>
      <c r="P211" t="str">
        <f>IF(J211 = 1, "franchise", "non-franchise")</f>
        <v>non-franchise</v>
      </c>
      <c r="Q211" t="str">
        <f>IF(OR(I211 = 1,J211 =1), "old", "new")</f>
        <v>new</v>
      </c>
      <c r="R211">
        <f t="shared" si="6"/>
        <v>0.2951116327373885</v>
      </c>
      <c r="S211">
        <f>IF(Q211="new",1.5,1)*(K211/10)*(1-(MIN(F211,180)/180))</f>
        <v>0.39149999999999996</v>
      </c>
      <c r="T211" t="str">
        <f t="shared" si="7"/>
        <v>Scenario 3: Strong Convenience</v>
      </c>
    </row>
    <row r="212" spans="1:20" x14ac:dyDescent="0.35">
      <c r="A212" t="s">
        <v>310</v>
      </c>
      <c r="B212" s="1">
        <v>44482</v>
      </c>
      <c r="C212">
        <v>2021</v>
      </c>
      <c r="D212">
        <v>10</v>
      </c>
      <c r="E212" t="s">
        <v>125</v>
      </c>
      <c r="F212">
        <v>112</v>
      </c>
      <c r="G212" t="s">
        <v>34</v>
      </c>
      <c r="H212" t="s">
        <v>30</v>
      </c>
      <c r="I212">
        <v>0</v>
      </c>
      <c r="J212">
        <v>0</v>
      </c>
      <c r="K212">
        <v>6.8</v>
      </c>
      <c r="L212">
        <v>4984</v>
      </c>
      <c r="M212" t="s">
        <v>17</v>
      </c>
      <c r="N212" t="str">
        <f>IF(ISNUMBER(SEARCH("Streaming", M212)), "streaming", "cinema")</f>
        <v>streaming</v>
      </c>
      <c r="O212" t="str">
        <f>IF(I212=1, "non-original", "original")</f>
        <v>original</v>
      </c>
      <c r="P212" t="str">
        <f>IF(J212 = 1, "franchise", "non-franchise")</f>
        <v>non-franchise</v>
      </c>
      <c r="Q212" t="str">
        <f>IF(OR(I212 = 1,J212 =1), "old", "new")</f>
        <v>new</v>
      </c>
      <c r="R212">
        <f t="shared" si="6"/>
        <v>0.38322853583695904</v>
      </c>
      <c r="S212">
        <f>IF(Q212="new",1.5,1)*(K212/10)*(1-(MIN(F212,180)/180))</f>
        <v>0.38533333333333331</v>
      </c>
      <c r="T212" t="str">
        <f t="shared" si="7"/>
        <v>Scenario 3: Strong Convenience</v>
      </c>
    </row>
    <row r="213" spans="1:20" x14ac:dyDescent="0.35">
      <c r="A213" t="s">
        <v>311</v>
      </c>
      <c r="B213" s="1">
        <v>44483</v>
      </c>
      <c r="C213">
        <v>2021</v>
      </c>
      <c r="D213">
        <v>10</v>
      </c>
      <c r="E213" t="s">
        <v>125</v>
      </c>
      <c r="F213">
        <v>107</v>
      </c>
      <c r="G213" t="s">
        <v>312</v>
      </c>
      <c r="H213" t="s">
        <v>30</v>
      </c>
      <c r="I213">
        <v>0</v>
      </c>
      <c r="J213">
        <v>0</v>
      </c>
      <c r="K213">
        <v>3.9</v>
      </c>
      <c r="L213">
        <v>484</v>
      </c>
      <c r="M213" t="s">
        <v>17</v>
      </c>
      <c r="N213" t="str">
        <f>IF(ISNUMBER(SEARCH("Streaming", M213)), "streaming", "cinema")</f>
        <v>streaming</v>
      </c>
      <c r="O213" t="str">
        <f>IF(I213=1, "non-original", "original")</f>
        <v>original</v>
      </c>
      <c r="P213" t="str">
        <f>IF(J213 = 1, "franchise", "non-franchise")</f>
        <v>non-franchise</v>
      </c>
      <c r="Q213" t="str">
        <f>IF(OR(I213 = 1,J213 =1), "old", "new")</f>
        <v>new</v>
      </c>
      <c r="R213">
        <f t="shared" si="6"/>
        <v>0.2658431801879656</v>
      </c>
      <c r="S213">
        <f>IF(Q213="new",1.5,1)*(K213/10)*(1-(MIN(F213,180)/180))</f>
        <v>0.23724999999999999</v>
      </c>
      <c r="T213" t="str">
        <f t="shared" si="7"/>
        <v>Scenario 2: Weak Commitment/Convenience</v>
      </c>
    </row>
    <row r="214" spans="1:20" x14ac:dyDescent="0.35">
      <c r="A214" t="s">
        <v>313</v>
      </c>
      <c r="B214" s="1">
        <v>44484</v>
      </c>
      <c r="C214">
        <v>2021</v>
      </c>
      <c r="D214">
        <v>10</v>
      </c>
      <c r="E214" t="s">
        <v>125</v>
      </c>
      <c r="F214">
        <v>88</v>
      </c>
      <c r="G214" t="s">
        <v>21</v>
      </c>
      <c r="H214" t="s">
        <v>30</v>
      </c>
      <c r="I214">
        <v>0</v>
      </c>
      <c r="J214">
        <v>0</v>
      </c>
      <c r="K214">
        <v>5.4</v>
      </c>
      <c r="L214">
        <v>1683</v>
      </c>
      <c r="M214" t="s">
        <v>17</v>
      </c>
      <c r="N214" t="str">
        <f>IF(ISNUMBER(SEARCH("Streaming", M214)), "streaming", "cinema")</f>
        <v>streaming</v>
      </c>
      <c r="O214" t="str">
        <f>IF(I214=1, "non-original", "original")</f>
        <v>original</v>
      </c>
      <c r="P214" t="str">
        <f>IF(J214 = 1, "franchise", "non-franchise")</f>
        <v>non-franchise</v>
      </c>
      <c r="Q214" t="str">
        <f>IF(OR(I214 = 1,J214 =1), "old", "new")</f>
        <v>new</v>
      </c>
      <c r="R214">
        <f t="shared" si="6"/>
        <v>0.26271255498690455</v>
      </c>
      <c r="S214">
        <f>IF(Q214="new",1.5,1)*(K214/10)*(1-(MIN(F214,180)/180))</f>
        <v>0.41399999999999998</v>
      </c>
      <c r="T214" t="str">
        <f t="shared" si="7"/>
        <v>Scenario 3: Strong Convenience</v>
      </c>
    </row>
    <row r="215" spans="1:20" x14ac:dyDescent="0.35">
      <c r="A215" t="s">
        <v>314</v>
      </c>
      <c r="B215" s="1">
        <v>44489</v>
      </c>
      <c r="C215">
        <v>2021</v>
      </c>
      <c r="D215">
        <v>10</v>
      </c>
      <c r="E215" t="s">
        <v>125</v>
      </c>
      <c r="F215">
        <v>108</v>
      </c>
      <c r="G215" t="s">
        <v>19</v>
      </c>
      <c r="H215" t="s">
        <v>24</v>
      </c>
      <c r="I215">
        <v>0</v>
      </c>
      <c r="J215">
        <v>0</v>
      </c>
      <c r="K215">
        <v>5.7</v>
      </c>
      <c r="L215">
        <v>24208</v>
      </c>
      <c r="M215" t="s">
        <v>17</v>
      </c>
      <c r="N215" t="str">
        <f>IF(ISNUMBER(SEARCH("Streaming", M215)), "streaming", "cinema")</f>
        <v>streaming</v>
      </c>
      <c r="O215" t="str">
        <f>IF(I215=1, "non-original", "original")</f>
        <v>original</v>
      </c>
      <c r="P215" t="str">
        <f>IF(J215 = 1, "franchise", "non-franchise")</f>
        <v>non-franchise</v>
      </c>
      <c r="Q215" t="str">
        <f>IF(OR(I215 = 1,J215 =1), "old", "new")</f>
        <v>new</v>
      </c>
      <c r="R215">
        <f t="shared" si="6"/>
        <v>0.43813979389165175</v>
      </c>
      <c r="S215">
        <f>IF(Q215="new",1.5,1)*(K215/10)*(1-(MIN(F215,180)/180))</f>
        <v>0.34200000000000008</v>
      </c>
      <c r="T215" t="str">
        <f t="shared" si="7"/>
        <v>Scenario 3: Strong Convenience</v>
      </c>
    </row>
    <row r="216" spans="1:20" x14ac:dyDescent="0.35">
      <c r="A216" t="s">
        <v>315</v>
      </c>
      <c r="B216" s="1">
        <v>44489</v>
      </c>
      <c r="C216">
        <v>2021</v>
      </c>
      <c r="D216">
        <v>10</v>
      </c>
      <c r="E216" t="s">
        <v>125</v>
      </c>
      <c r="F216">
        <v>126</v>
      </c>
      <c r="G216" t="s">
        <v>21</v>
      </c>
      <c r="H216" t="s">
        <v>30</v>
      </c>
      <c r="I216">
        <v>0</v>
      </c>
      <c r="J216">
        <v>0</v>
      </c>
      <c r="K216">
        <v>6.3</v>
      </c>
      <c r="L216">
        <v>8439</v>
      </c>
      <c r="M216" t="s">
        <v>88</v>
      </c>
      <c r="N216" t="str">
        <f>IF(ISNUMBER(SEARCH("Streaming", M216)), "streaming", "cinema")</f>
        <v>streaming</v>
      </c>
      <c r="O216" t="str">
        <f>IF(I216=1, "non-original", "original")</f>
        <v>original</v>
      </c>
      <c r="P216" t="str">
        <f>IF(J216 = 1, "franchise", "non-franchise")</f>
        <v>non-franchise</v>
      </c>
      <c r="Q216" t="str">
        <f>IF(OR(I216 = 1,J216 =1), "old", "new")</f>
        <v>new</v>
      </c>
      <c r="R216">
        <f t="shared" si="6"/>
        <v>0.45779969321539193</v>
      </c>
      <c r="S216">
        <f>IF(Q216="new",1.5,1)*(K216/10)*(1-(MIN(F216,180)/180))</f>
        <v>0.28350000000000009</v>
      </c>
      <c r="T216" t="str">
        <f t="shared" si="7"/>
        <v>Scenario 2: Weak Commitment/Convenience</v>
      </c>
    </row>
    <row r="217" spans="1:20" x14ac:dyDescent="0.35">
      <c r="A217" t="s">
        <v>316</v>
      </c>
      <c r="B217" s="1">
        <v>44491</v>
      </c>
      <c r="C217">
        <v>2021</v>
      </c>
      <c r="D217">
        <v>10</v>
      </c>
      <c r="E217" t="s">
        <v>125</v>
      </c>
      <c r="F217">
        <v>94</v>
      </c>
      <c r="G217" t="s">
        <v>29</v>
      </c>
      <c r="H217" t="s">
        <v>30</v>
      </c>
      <c r="I217">
        <v>0</v>
      </c>
      <c r="J217">
        <v>0</v>
      </c>
      <c r="K217">
        <v>4.3</v>
      </c>
      <c r="L217">
        <v>228</v>
      </c>
      <c r="M217" t="s">
        <v>17</v>
      </c>
      <c r="N217" t="str">
        <f>IF(ISNUMBER(SEARCH("Streaming", M217)), "streaming", "cinema")</f>
        <v>streaming</v>
      </c>
      <c r="O217" t="str">
        <f>IF(I217=1, "non-original", "original")</f>
        <v>original</v>
      </c>
      <c r="P217" t="str">
        <f>IF(J217 = 1, "franchise", "non-franchise")</f>
        <v>non-franchise</v>
      </c>
      <c r="Q217" t="str">
        <f>IF(OR(I217 = 1,J217 =1), "old", "new")</f>
        <v>new</v>
      </c>
      <c r="R217">
        <f t="shared" si="6"/>
        <v>0.205107775023773</v>
      </c>
      <c r="S217">
        <f>IF(Q217="new",1.5,1)*(K217/10)*(1-(MIN(F217,180)/180))</f>
        <v>0.30816666666666664</v>
      </c>
      <c r="T217" t="str">
        <f t="shared" si="7"/>
        <v>Scenario 2: Weak Commitment/Convenience</v>
      </c>
    </row>
    <row r="218" spans="1:20" x14ac:dyDescent="0.35">
      <c r="A218" t="s">
        <v>317</v>
      </c>
      <c r="B218" s="1">
        <v>44496</v>
      </c>
      <c r="C218">
        <v>2021</v>
      </c>
      <c r="D218">
        <v>10</v>
      </c>
      <c r="E218" t="s">
        <v>125</v>
      </c>
      <c r="F218">
        <v>89</v>
      </c>
      <c r="G218" t="s">
        <v>19</v>
      </c>
      <c r="H218" t="s">
        <v>30</v>
      </c>
      <c r="I218">
        <v>0</v>
      </c>
      <c r="J218">
        <v>0</v>
      </c>
      <c r="K218">
        <v>5.3</v>
      </c>
      <c r="L218">
        <v>22061</v>
      </c>
      <c r="M218" t="s">
        <v>17</v>
      </c>
      <c r="N218" t="str">
        <f>IF(ISNUMBER(SEARCH("Streaming", M218)), "streaming", "cinema")</f>
        <v>streaming</v>
      </c>
      <c r="O218" t="str">
        <f>IF(I218=1, "non-original", "original")</f>
        <v>original</v>
      </c>
      <c r="P218" t="str">
        <f>IF(J218 = 1, "franchise", "non-franchise")</f>
        <v>non-franchise</v>
      </c>
      <c r="Q218" t="str">
        <f>IF(OR(I218 = 1,J218 =1), "old", "new")</f>
        <v>new</v>
      </c>
      <c r="R218">
        <f t="shared" si="6"/>
        <v>0.35773778965339847</v>
      </c>
      <c r="S218">
        <f>IF(Q218="new",1.5,1)*(K218/10)*(1-(MIN(F218,180)/180))</f>
        <v>0.40191666666666664</v>
      </c>
      <c r="T218" t="str">
        <f t="shared" si="7"/>
        <v>Scenario 3: Strong Convenience</v>
      </c>
    </row>
    <row r="219" spans="1:20" x14ac:dyDescent="0.35">
      <c r="A219" t="s">
        <v>318</v>
      </c>
      <c r="B219" s="1">
        <v>44498</v>
      </c>
      <c r="C219">
        <v>2021</v>
      </c>
      <c r="D219">
        <v>10</v>
      </c>
      <c r="E219" t="s">
        <v>125</v>
      </c>
      <c r="F219">
        <v>129</v>
      </c>
      <c r="G219" t="s">
        <v>319</v>
      </c>
      <c r="H219" t="s">
        <v>24</v>
      </c>
      <c r="I219">
        <v>0</v>
      </c>
      <c r="J219">
        <v>0</v>
      </c>
      <c r="K219">
        <v>6.4</v>
      </c>
      <c r="L219">
        <v>97270</v>
      </c>
      <c r="M219" t="s">
        <v>88</v>
      </c>
      <c r="N219" t="str">
        <f>IF(ISNUMBER(SEARCH("Streaming", M219)), "streaming", "cinema")</f>
        <v>streaming</v>
      </c>
      <c r="O219" t="str">
        <f>IF(I219=1, "non-original", "original")</f>
        <v>original</v>
      </c>
      <c r="P219" t="str">
        <f>IF(J219 = 1, "franchise", "non-franchise")</f>
        <v>non-franchise</v>
      </c>
      <c r="Q219" t="str">
        <f>IF(OR(I219 = 1,J219 =1), "old", "new")</f>
        <v>new</v>
      </c>
      <c r="R219">
        <f t="shared" si="6"/>
        <v>0.59543833073268559</v>
      </c>
      <c r="S219">
        <f>IF(Q219="new",1.5,1)*(K219/10)*(1-(MIN(F219,180)/180))</f>
        <v>0.27199999999999996</v>
      </c>
      <c r="T219" t="str">
        <f t="shared" si="7"/>
        <v>Scenario 1: Strong Commitment</v>
      </c>
    </row>
    <row r="220" spans="1:20" x14ac:dyDescent="0.35">
      <c r="A220" t="s">
        <v>320</v>
      </c>
      <c r="B220" s="1">
        <v>44503</v>
      </c>
      <c r="C220">
        <v>2021</v>
      </c>
      <c r="D220">
        <v>11</v>
      </c>
      <c r="E220" t="s">
        <v>125</v>
      </c>
      <c r="F220">
        <v>139</v>
      </c>
      <c r="G220" t="s">
        <v>321</v>
      </c>
      <c r="H220" t="s">
        <v>24</v>
      </c>
      <c r="I220">
        <v>0</v>
      </c>
      <c r="J220">
        <v>0</v>
      </c>
      <c r="K220">
        <v>6.6</v>
      </c>
      <c r="L220">
        <v>77109</v>
      </c>
      <c r="M220" t="s">
        <v>17</v>
      </c>
      <c r="N220" t="str">
        <f>IF(ISNUMBER(SEARCH("Streaming", M220)), "streaming", "cinema")</f>
        <v>streaming</v>
      </c>
      <c r="O220" t="str">
        <f>IF(I220=1, "non-original", "original")</f>
        <v>original</v>
      </c>
      <c r="P220" t="str">
        <f>IF(J220 = 1, "franchise", "non-franchise")</f>
        <v>non-franchise</v>
      </c>
      <c r="Q220" t="str">
        <f>IF(OR(I220 = 1,J220 =1), "old", "new")</f>
        <v>new</v>
      </c>
      <c r="R220">
        <f t="shared" si="6"/>
        <v>0.62862108758559365</v>
      </c>
      <c r="S220">
        <f>IF(Q220="new",1.5,1)*(K220/10)*(1-(MIN(F220,180)/180))</f>
        <v>0.22549999999999995</v>
      </c>
      <c r="T220" t="str">
        <f t="shared" si="7"/>
        <v>Scenario 1: Strong Commitment</v>
      </c>
    </row>
    <row r="221" spans="1:20" x14ac:dyDescent="0.35">
      <c r="A221" t="s">
        <v>322</v>
      </c>
      <c r="B221" s="1">
        <v>44505</v>
      </c>
      <c r="C221">
        <v>2021</v>
      </c>
      <c r="D221">
        <v>11</v>
      </c>
      <c r="E221" t="s">
        <v>125</v>
      </c>
      <c r="F221">
        <v>106</v>
      </c>
      <c r="G221" t="s">
        <v>29</v>
      </c>
      <c r="H221" t="s">
        <v>30</v>
      </c>
      <c r="I221">
        <v>0</v>
      </c>
      <c r="J221">
        <v>0</v>
      </c>
      <c r="K221">
        <v>6.3</v>
      </c>
      <c r="L221">
        <v>68436</v>
      </c>
      <c r="M221" t="s">
        <v>88</v>
      </c>
      <c r="N221" t="str">
        <f>IF(ISNUMBER(SEARCH("Streaming", M221)), "streaming", "cinema")</f>
        <v>streaming</v>
      </c>
      <c r="O221" t="str">
        <f>IF(I221=1, "non-original", "original")</f>
        <v>original</v>
      </c>
      <c r="P221" t="str">
        <f>IF(J221 = 1, "franchise", "non-franchise")</f>
        <v>non-franchise</v>
      </c>
      <c r="Q221" t="str">
        <f>IF(OR(I221 = 1,J221 =1), "old", "new")</f>
        <v>new</v>
      </c>
      <c r="R221">
        <f t="shared" si="6"/>
        <v>0.47429699955829352</v>
      </c>
      <c r="S221">
        <f>IF(Q221="new",1.5,1)*(K221/10)*(1-(MIN(F221,180)/180))</f>
        <v>0.38850000000000001</v>
      </c>
      <c r="T221" t="str">
        <f t="shared" si="7"/>
        <v>Scenario 3: Strong Convenience</v>
      </c>
    </row>
    <row r="222" spans="1:20" x14ac:dyDescent="0.35">
      <c r="A222" t="s">
        <v>323</v>
      </c>
      <c r="B222" s="1">
        <v>44505</v>
      </c>
      <c r="C222">
        <v>2021</v>
      </c>
      <c r="D222">
        <v>11</v>
      </c>
      <c r="E222" t="s">
        <v>125</v>
      </c>
      <c r="F222">
        <v>141</v>
      </c>
      <c r="G222" t="s">
        <v>29</v>
      </c>
      <c r="H222" t="s">
        <v>30</v>
      </c>
      <c r="I222">
        <v>0</v>
      </c>
      <c r="J222">
        <v>0</v>
      </c>
      <c r="K222">
        <v>6.6</v>
      </c>
      <c r="L222">
        <v>18995</v>
      </c>
      <c r="M222" t="s">
        <v>17</v>
      </c>
      <c r="N222" t="str">
        <f>IF(ISNUMBER(SEARCH("Streaming", M222)), "streaming", "cinema")</f>
        <v>streaming</v>
      </c>
      <c r="O222" t="str">
        <f>IF(I222=1, "non-original", "original")</f>
        <v>original</v>
      </c>
      <c r="P222" t="str">
        <f>IF(J222 = 1, "franchise", "non-franchise")</f>
        <v>non-franchise</v>
      </c>
      <c r="Q222" t="str">
        <f>IF(OR(I222 = 1,J222 =1), "old", "new")</f>
        <v>new</v>
      </c>
      <c r="R222">
        <f t="shared" si="6"/>
        <v>0.55827381382231134</v>
      </c>
      <c r="S222">
        <f>IF(Q222="new",1.5,1)*(K222/10)*(1-(MIN(F222,180)/180))</f>
        <v>0.21449999999999997</v>
      </c>
      <c r="T222" t="str">
        <f t="shared" si="7"/>
        <v>Scenario 1: Strong Commitment</v>
      </c>
    </row>
    <row r="223" spans="1:20" x14ac:dyDescent="0.35">
      <c r="A223" t="s">
        <v>324</v>
      </c>
      <c r="B223" s="1">
        <v>44505</v>
      </c>
      <c r="C223">
        <v>2021</v>
      </c>
      <c r="D223">
        <v>11</v>
      </c>
      <c r="E223" t="s">
        <v>125</v>
      </c>
      <c r="F223">
        <v>124</v>
      </c>
      <c r="G223" t="s">
        <v>34</v>
      </c>
      <c r="H223" t="s">
        <v>30</v>
      </c>
      <c r="I223">
        <v>0</v>
      </c>
      <c r="J223">
        <v>0</v>
      </c>
      <c r="K223">
        <v>6.5</v>
      </c>
      <c r="L223">
        <v>1203</v>
      </c>
      <c r="M223" t="s">
        <v>17</v>
      </c>
      <c r="N223" t="str">
        <f>IF(ISNUMBER(SEARCH("Streaming", M223)), "streaming", "cinema")</f>
        <v>streaming</v>
      </c>
      <c r="O223" t="str">
        <f>IF(I223=1, "non-original", "original")</f>
        <v>original</v>
      </c>
      <c r="P223" t="str">
        <f>IF(J223 = 1, "franchise", "non-franchise")</f>
        <v>non-franchise</v>
      </c>
      <c r="Q223" t="str">
        <f>IF(OR(I223 = 1,J223 =1), "old", "new")</f>
        <v>new</v>
      </c>
      <c r="R223">
        <f t="shared" si="6"/>
        <v>0.35345353039157612</v>
      </c>
      <c r="S223">
        <f>IF(Q223="new",1.5,1)*(K223/10)*(1-(MIN(F223,180)/180))</f>
        <v>0.30333333333333334</v>
      </c>
      <c r="T223" t="str">
        <f t="shared" si="7"/>
        <v>Scenario 2: Weak Commitment/Convenience</v>
      </c>
    </row>
    <row r="224" spans="1:20" x14ac:dyDescent="0.35">
      <c r="A224" t="s">
        <v>325</v>
      </c>
      <c r="B224" s="1">
        <v>44505</v>
      </c>
      <c r="C224">
        <v>2021</v>
      </c>
      <c r="D224">
        <v>11</v>
      </c>
      <c r="E224" t="s">
        <v>125</v>
      </c>
      <c r="F224">
        <v>96</v>
      </c>
      <c r="G224" t="s">
        <v>34</v>
      </c>
      <c r="H224" t="s">
        <v>30</v>
      </c>
      <c r="I224">
        <v>0</v>
      </c>
      <c r="J224">
        <v>0</v>
      </c>
      <c r="K224">
        <v>6.3</v>
      </c>
      <c r="L224">
        <v>7447</v>
      </c>
      <c r="M224" t="s">
        <v>88</v>
      </c>
      <c r="N224" t="str">
        <f>IF(ISNUMBER(SEARCH("Streaming", M224)), "streaming", "cinema")</f>
        <v>streaming</v>
      </c>
      <c r="O224" t="str">
        <f>IF(I224=1, "non-original", "original")</f>
        <v>original</v>
      </c>
      <c r="P224" t="str">
        <f>IF(J224 = 1, "franchise", "non-franchise")</f>
        <v>non-franchise</v>
      </c>
      <c r="Q224" t="str">
        <f>IF(OR(I224 = 1,J224 =1), "old", "new")</f>
        <v>new</v>
      </c>
      <c r="R224">
        <f t="shared" si="6"/>
        <v>0.34397506341032652</v>
      </c>
      <c r="S224">
        <f>IF(Q224="new",1.5,1)*(K224/10)*(1-(MIN(F224,180)/180))</f>
        <v>0.44100000000000006</v>
      </c>
      <c r="T224" t="str">
        <f t="shared" si="7"/>
        <v>Scenario 3: Strong Convenience</v>
      </c>
    </row>
    <row r="225" spans="1:20" x14ac:dyDescent="0.35">
      <c r="A225" t="s">
        <v>326</v>
      </c>
      <c r="B225" s="1">
        <v>44507</v>
      </c>
      <c r="C225">
        <v>2021</v>
      </c>
      <c r="D225">
        <v>11</v>
      </c>
      <c r="E225" t="s">
        <v>125</v>
      </c>
      <c r="F225">
        <v>105</v>
      </c>
      <c r="G225" t="s">
        <v>21</v>
      </c>
      <c r="H225" t="s">
        <v>30</v>
      </c>
      <c r="I225">
        <v>0</v>
      </c>
      <c r="J225">
        <v>0</v>
      </c>
      <c r="K225">
        <v>4.5999999999999996</v>
      </c>
      <c r="L225">
        <v>8240</v>
      </c>
      <c r="M225" t="s">
        <v>17</v>
      </c>
      <c r="N225" t="str">
        <f>IF(ISNUMBER(SEARCH("Streaming", M225)), "streaming", "cinema")</f>
        <v>streaming</v>
      </c>
      <c r="O225" t="str">
        <f>IF(I225=1, "non-original", "original")</f>
        <v>original</v>
      </c>
      <c r="P225" t="str">
        <f>IF(J225 = 1, "franchise", "non-franchise")</f>
        <v>non-franchise</v>
      </c>
      <c r="Q225" t="str">
        <f>IF(OR(I225 = 1,J225 =1), "old", "new")</f>
        <v>new</v>
      </c>
      <c r="R225">
        <f t="shared" si="6"/>
        <v>0.38049274369394304</v>
      </c>
      <c r="S225">
        <f>IF(Q225="new",1.5,1)*(K225/10)*(1-(MIN(F225,180)/180))</f>
        <v>0.28749999999999998</v>
      </c>
      <c r="T225" t="str">
        <f t="shared" si="7"/>
        <v>Scenario 2: Weak Commitment/Convenience</v>
      </c>
    </row>
    <row r="226" spans="1:20" x14ac:dyDescent="0.35">
      <c r="A226" t="s">
        <v>327</v>
      </c>
      <c r="B226" s="1">
        <v>44510</v>
      </c>
      <c r="C226">
        <v>2021</v>
      </c>
      <c r="D226">
        <v>11</v>
      </c>
      <c r="E226" t="s">
        <v>125</v>
      </c>
      <c r="F226">
        <v>99</v>
      </c>
      <c r="G226" t="s">
        <v>90</v>
      </c>
      <c r="H226" t="s">
        <v>24</v>
      </c>
      <c r="I226">
        <v>0</v>
      </c>
      <c r="J226">
        <v>1</v>
      </c>
      <c r="K226">
        <v>4.7</v>
      </c>
      <c r="L226">
        <v>221</v>
      </c>
      <c r="M226" t="s">
        <v>17</v>
      </c>
      <c r="N226" t="str">
        <f>IF(ISNUMBER(SEARCH("Streaming", M226)), "streaming", "cinema")</f>
        <v>streaming</v>
      </c>
      <c r="O226" t="str">
        <f>IF(I226=1, "non-original", "original")</f>
        <v>original</v>
      </c>
      <c r="P226" t="str">
        <f>IF(J226 = 1, "franchise", "non-franchise")</f>
        <v>franchise</v>
      </c>
      <c r="Q226" t="str">
        <f>IF(OR(I226 = 1,J226 =1), "old", "new")</f>
        <v>old</v>
      </c>
      <c r="R226">
        <f t="shared" si="6"/>
        <v>0.32216562853742159</v>
      </c>
      <c r="S226">
        <f>IF(Q226="new",1.5,1)*(K226/10)*(1-(MIN(F226,180)/180))</f>
        <v>0.21149999999999999</v>
      </c>
      <c r="T226" t="str">
        <f t="shared" si="7"/>
        <v>Scenario 2: Weak Commitment/Convenience</v>
      </c>
    </row>
    <row r="227" spans="1:20" x14ac:dyDescent="0.35">
      <c r="A227" t="s">
        <v>328</v>
      </c>
      <c r="B227" s="1">
        <v>44510</v>
      </c>
      <c r="C227">
        <v>2021</v>
      </c>
      <c r="D227">
        <v>11</v>
      </c>
      <c r="E227" t="s">
        <v>125</v>
      </c>
      <c r="F227">
        <v>99</v>
      </c>
      <c r="G227" t="s">
        <v>34</v>
      </c>
      <c r="H227" t="s">
        <v>27</v>
      </c>
      <c r="I227">
        <v>0</v>
      </c>
      <c r="J227">
        <v>0</v>
      </c>
      <c r="K227">
        <v>6.6</v>
      </c>
      <c r="L227">
        <v>17588</v>
      </c>
      <c r="M227" t="s">
        <v>17</v>
      </c>
      <c r="N227" t="str">
        <f>IF(ISNUMBER(SEARCH("Streaming", M227)), "streaming", "cinema")</f>
        <v>streaming</v>
      </c>
      <c r="O227" t="str">
        <f>IF(I227=1, "non-original", "original")</f>
        <v>original</v>
      </c>
      <c r="P227" t="str">
        <f>IF(J227 = 1, "franchise", "non-franchise")</f>
        <v>non-franchise</v>
      </c>
      <c r="Q227" t="str">
        <f>IF(OR(I227 = 1,J227 =1), "old", "new")</f>
        <v>new</v>
      </c>
      <c r="R227">
        <f t="shared" si="6"/>
        <v>0.38891751563406102</v>
      </c>
      <c r="S227">
        <f>IF(Q227="new",1.5,1)*(K227/10)*(1-(MIN(F227,180)/180))</f>
        <v>0.4454999999999999</v>
      </c>
      <c r="T227" t="str">
        <f t="shared" si="7"/>
        <v>Scenario 3: Strong Convenience</v>
      </c>
    </row>
    <row r="228" spans="1:20" x14ac:dyDescent="0.35">
      <c r="A228" t="s">
        <v>329</v>
      </c>
      <c r="B228" s="1">
        <v>44511</v>
      </c>
      <c r="C228">
        <v>2021</v>
      </c>
      <c r="D228">
        <v>11</v>
      </c>
      <c r="E228" t="s">
        <v>125</v>
      </c>
      <c r="F228">
        <v>94</v>
      </c>
      <c r="G228" t="s">
        <v>34</v>
      </c>
      <c r="H228" t="s">
        <v>30</v>
      </c>
      <c r="I228">
        <v>0</v>
      </c>
      <c r="J228">
        <v>0</v>
      </c>
      <c r="K228">
        <v>7.1</v>
      </c>
      <c r="L228">
        <v>10310</v>
      </c>
      <c r="M228" t="s">
        <v>17</v>
      </c>
      <c r="N228" t="str">
        <f>IF(ISNUMBER(SEARCH("Streaming", M228)), "streaming", "cinema")</f>
        <v>streaming</v>
      </c>
      <c r="O228" t="str">
        <f>IF(I228=1, "non-original", "original")</f>
        <v>original</v>
      </c>
      <c r="P228" t="str">
        <f>IF(J228 = 1, "franchise", "non-franchise")</f>
        <v>non-franchise</v>
      </c>
      <c r="Q228" t="str">
        <f>IF(OR(I228 = 1,J228 =1), "old", "new")</f>
        <v>new</v>
      </c>
      <c r="R228">
        <f t="shared" si="6"/>
        <v>0.34909809169592404</v>
      </c>
      <c r="S228">
        <f>IF(Q228="new",1.5,1)*(K228/10)*(1-(MIN(F228,180)/180))</f>
        <v>0.50883333333333325</v>
      </c>
      <c r="T228" t="str">
        <f t="shared" si="7"/>
        <v>Scenario 3: Strong Convenience</v>
      </c>
    </row>
    <row r="229" spans="1:20" x14ac:dyDescent="0.35">
      <c r="A229" t="s">
        <v>330</v>
      </c>
      <c r="B229" s="1">
        <v>44512</v>
      </c>
      <c r="C229">
        <v>2021</v>
      </c>
      <c r="D229">
        <v>11</v>
      </c>
      <c r="E229" t="s">
        <v>125</v>
      </c>
      <c r="F229">
        <v>117</v>
      </c>
      <c r="G229" t="s">
        <v>41</v>
      </c>
      <c r="H229" t="s">
        <v>27</v>
      </c>
      <c r="I229">
        <v>0</v>
      </c>
      <c r="J229">
        <v>0</v>
      </c>
      <c r="K229">
        <v>6.3</v>
      </c>
      <c r="L229">
        <v>351936</v>
      </c>
      <c r="M229" t="s">
        <v>88</v>
      </c>
      <c r="N229" t="str">
        <f>IF(ISNUMBER(SEARCH("Streaming", M229)), "streaming", "cinema")</f>
        <v>streaming</v>
      </c>
      <c r="O229" t="str">
        <f>IF(I229=1, "non-original", "original")</f>
        <v>original</v>
      </c>
      <c r="P229" t="str">
        <f>IF(J229 = 1, "franchise", "non-franchise")</f>
        <v>non-franchise</v>
      </c>
      <c r="Q229" t="str">
        <f>IF(OR(I229 = 1,J229 =1), "old", "new")</f>
        <v>new</v>
      </c>
      <c r="R229">
        <f t="shared" si="6"/>
        <v>0.60051589248585169</v>
      </c>
      <c r="S229">
        <f>IF(Q229="new",1.5,1)*(K229/10)*(1-(MIN(F229,180)/180))</f>
        <v>0.33074999999999999</v>
      </c>
      <c r="T229" t="str">
        <f t="shared" si="7"/>
        <v>Scenario 4: Hybrid Logic</v>
      </c>
    </row>
    <row r="230" spans="1:20" x14ac:dyDescent="0.35">
      <c r="A230" t="s">
        <v>331</v>
      </c>
      <c r="B230" s="1">
        <v>44518</v>
      </c>
      <c r="C230">
        <v>2021</v>
      </c>
      <c r="D230">
        <v>11</v>
      </c>
      <c r="E230" t="s">
        <v>125</v>
      </c>
      <c r="F230">
        <v>94</v>
      </c>
      <c r="G230" t="s">
        <v>29</v>
      </c>
      <c r="H230" t="s">
        <v>30</v>
      </c>
      <c r="I230">
        <v>0</v>
      </c>
      <c r="J230">
        <v>0</v>
      </c>
      <c r="K230">
        <v>5.5</v>
      </c>
      <c r="L230">
        <v>1408</v>
      </c>
      <c r="M230" t="s">
        <v>17</v>
      </c>
      <c r="N230" t="str">
        <f>IF(ISNUMBER(SEARCH("Streaming", M230)), "streaming", "cinema")</f>
        <v>streaming</v>
      </c>
      <c r="O230" t="str">
        <f>IF(I230=1, "non-original", "original")</f>
        <v>original</v>
      </c>
      <c r="P230" t="str">
        <f>IF(J230 = 1, "franchise", "non-franchise")</f>
        <v>non-franchise</v>
      </c>
      <c r="Q230" t="str">
        <f>IF(OR(I230 = 1,J230 =1), "old", "new")</f>
        <v>new</v>
      </c>
      <c r="R230">
        <f t="shared" si="6"/>
        <v>0.27388495733151957</v>
      </c>
      <c r="S230">
        <f>IF(Q230="new",1.5,1)*(K230/10)*(1-(MIN(F230,180)/180))</f>
        <v>0.39416666666666667</v>
      </c>
      <c r="T230" t="str">
        <f t="shared" si="7"/>
        <v>Scenario 3: Strong Convenience</v>
      </c>
    </row>
    <row r="231" spans="1:20" x14ac:dyDescent="0.35">
      <c r="A231" t="s">
        <v>332</v>
      </c>
      <c r="B231" s="1">
        <v>44519</v>
      </c>
      <c r="C231">
        <v>2021</v>
      </c>
      <c r="D231">
        <v>11</v>
      </c>
      <c r="E231" t="s">
        <v>125</v>
      </c>
      <c r="F231">
        <v>104</v>
      </c>
      <c r="G231" t="s">
        <v>49</v>
      </c>
      <c r="H231" t="s">
        <v>30</v>
      </c>
      <c r="I231">
        <v>1</v>
      </c>
      <c r="J231">
        <v>1</v>
      </c>
      <c r="K231">
        <v>6.7</v>
      </c>
      <c r="L231">
        <v>43940</v>
      </c>
      <c r="M231" t="s">
        <v>17</v>
      </c>
      <c r="N231" t="str">
        <f>IF(ISNUMBER(SEARCH("Streaming", M231)), "streaming", "cinema")</f>
        <v>streaming</v>
      </c>
      <c r="O231" t="str">
        <f>IF(I231=1, "non-original", "original")</f>
        <v>non-original</v>
      </c>
      <c r="P231" t="str">
        <f>IF(J231 = 1, "franchise", "non-franchise")</f>
        <v>franchise</v>
      </c>
      <c r="Q231" t="str">
        <f>IF(OR(I231 = 1,J231 =1), "old", "new")</f>
        <v>old</v>
      </c>
      <c r="R231">
        <f t="shared" si="6"/>
        <v>0.67024357672530299</v>
      </c>
      <c r="S231">
        <f>IF(Q231="new",1.5,1)*(K231/10)*(1-(MIN(F231,180)/180))</f>
        <v>0.28288888888888897</v>
      </c>
      <c r="T231" t="str">
        <f t="shared" si="7"/>
        <v>Scenario 1: Strong Commitment</v>
      </c>
    </row>
    <row r="232" spans="1:20" x14ac:dyDescent="0.35">
      <c r="A232" t="s">
        <v>333</v>
      </c>
      <c r="B232" s="1">
        <v>44519</v>
      </c>
      <c r="C232">
        <v>2021</v>
      </c>
      <c r="D232">
        <v>11</v>
      </c>
      <c r="E232" t="s">
        <v>125</v>
      </c>
      <c r="F232">
        <v>124</v>
      </c>
      <c r="G232" t="s">
        <v>34</v>
      </c>
      <c r="H232" t="s">
        <v>30</v>
      </c>
      <c r="I232">
        <v>0</v>
      </c>
      <c r="J232">
        <v>0</v>
      </c>
      <c r="K232">
        <v>7</v>
      </c>
      <c r="L232">
        <v>3582</v>
      </c>
      <c r="M232" t="s">
        <v>17</v>
      </c>
      <c r="N232" t="str">
        <f>IF(ISNUMBER(SEARCH("Streaming", M232)), "streaming", "cinema")</f>
        <v>streaming</v>
      </c>
      <c r="O232" t="str">
        <f>IF(I232=1, "non-original", "original")</f>
        <v>original</v>
      </c>
      <c r="P232" t="str">
        <f>IF(J232 = 1, "franchise", "non-franchise")</f>
        <v>non-franchise</v>
      </c>
      <c r="Q232" t="str">
        <f>IF(OR(I232 = 1,J232 =1), "old", "new")</f>
        <v>new</v>
      </c>
      <c r="R232">
        <f t="shared" si="6"/>
        <v>0.40782789091006849</v>
      </c>
      <c r="S232">
        <f>IF(Q232="new",1.5,1)*(K232/10)*(1-(MIN(F232,180)/180))</f>
        <v>0.32666666666666661</v>
      </c>
      <c r="T232" t="str">
        <f t="shared" si="7"/>
        <v>Scenario 3: Strong Convenience</v>
      </c>
    </row>
    <row r="233" spans="1:20" x14ac:dyDescent="0.35">
      <c r="A233" t="s">
        <v>334</v>
      </c>
      <c r="B233" s="1">
        <v>44519</v>
      </c>
      <c r="C233">
        <v>2021</v>
      </c>
      <c r="D233">
        <v>11</v>
      </c>
      <c r="E233" t="s">
        <v>125</v>
      </c>
      <c r="F233">
        <v>115</v>
      </c>
      <c r="G233" t="s">
        <v>188</v>
      </c>
      <c r="H233" t="s">
        <v>27</v>
      </c>
      <c r="I233">
        <v>0</v>
      </c>
      <c r="J233">
        <v>0</v>
      </c>
      <c r="K233">
        <v>7.5</v>
      </c>
      <c r="L233">
        <v>128041</v>
      </c>
      <c r="M233" t="s">
        <v>17</v>
      </c>
      <c r="N233" t="str">
        <f>IF(ISNUMBER(SEARCH("Streaming", M233)), "streaming", "cinema")</f>
        <v>streaming</v>
      </c>
      <c r="O233" t="str">
        <f>IF(I233=1, "non-original", "original")</f>
        <v>original</v>
      </c>
      <c r="P233" t="str">
        <f>IF(J233 = 1, "franchise", "non-franchise")</f>
        <v>non-franchise</v>
      </c>
      <c r="Q233" t="str">
        <f>IF(OR(I233 = 1,J233 =1), "old", "new")</f>
        <v>new</v>
      </c>
      <c r="R233">
        <f t="shared" si="6"/>
        <v>0.54352040085160647</v>
      </c>
      <c r="S233">
        <f>IF(Q233="new",1.5,1)*(K233/10)*(1-(MIN(F233,180)/180))</f>
        <v>0.40625000000000006</v>
      </c>
      <c r="T233" t="str">
        <f t="shared" si="7"/>
        <v>Scenario 4: Hybrid Logic</v>
      </c>
    </row>
    <row r="234" spans="1:20" x14ac:dyDescent="0.35">
      <c r="A234" t="s">
        <v>335</v>
      </c>
      <c r="B234" s="1">
        <v>44526</v>
      </c>
      <c r="C234">
        <v>2021</v>
      </c>
      <c r="D234">
        <v>11</v>
      </c>
      <c r="E234" t="s">
        <v>125</v>
      </c>
      <c r="F234">
        <v>99</v>
      </c>
      <c r="G234" t="s">
        <v>29</v>
      </c>
      <c r="H234" t="s">
        <v>86</v>
      </c>
      <c r="I234">
        <v>0</v>
      </c>
      <c r="J234">
        <v>0</v>
      </c>
      <c r="K234">
        <v>5.6</v>
      </c>
      <c r="L234">
        <v>17240</v>
      </c>
      <c r="M234" t="s">
        <v>17</v>
      </c>
      <c r="N234" t="str">
        <f>IF(ISNUMBER(SEARCH("Streaming", M234)), "streaming", "cinema")</f>
        <v>streaming</v>
      </c>
      <c r="O234" t="str">
        <f>IF(I234=1, "non-original", "original")</f>
        <v>original</v>
      </c>
      <c r="P234" t="str">
        <f>IF(J234 = 1, "franchise", "non-franchise")</f>
        <v>non-franchise</v>
      </c>
      <c r="Q234" t="str">
        <f>IF(OR(I234 = 1,J234 =1), "old", "new")</f>
        <v>new</v>
      </c>
      <c r="R234">
        <f t="shared" si="6"/>
        <v>0.38812238747750205</v>
      </c>
      <c r="S234">
        <f>IF(Q234="new",1.5,1)*(K234/10)*(1-(MIN(F234,180)/180))</f>
        <v>0.37799999999999989</v>
      </c>
      <c r="T234" t="str">
        <f t="shared" si="7"/>
        <v>Scenario 3: Strong Convenience</v>
      </c>
    </row>
    <row r="235" spans="1:20" x14ac:dyDescent="0.35">
      <c r="A235" t="s">
        <v>336</v>
      </c>
      <c r="B235" s="1">
        <v>44531</v>
      </c>
      <c r="C235">
        <v>2021</v>
      </c>
      <c r="D235">
        <v>12</v>
      </c>
      <c r="E235" t="s">
        <v>14</v>
      </c>
      <c r="F235">
        <v>128</v>
      </c>
      <c r="G235" t="s">
        <v>34</v>
      </c>
      <c r="H235" t="s">
        <v>24</v>
      </c>
      <c r="I235">
        <v>0</v>
      </c>
      <c r="J235">
        <v>0</v>
      </c>
      <c r="K235">
        <v>6.8</v>
      </c>
      <c r="L235">
        <v>221465</v>
      </c>
      <c r="M235" t="s">
        <v>17</v>
      </c>
      <c r="N235" t="str">
        <f>IF(ISNUMBER(SEARCH("Streaming", M235)), "streaming", "cinema")</f>
        <v>streaming</v>
      </c>
      <c r="O235" t="str">
        <f>IF(I235=1, "non-original", "original")</f>
        <v>original</v>
      </c>
      <c r="P235" t="str">
        <f>IF(J235 = 1, "franchise", "non-franchise")</f>
        <v>non-franchise</v>
      </c>
      <c r="Q235" t="str">
        <f>IF(OR(I235 = 1,J235 =1), "old", "new")</f>
        <v>new</v>
      </c>
      <c r="R235">
        <f t="shared" si="6"/>
        <v>0.63314756036376452</v>
      </c>
      <c r="S235">
        <f>IF(Q235="new",1.5,1)*(K235/10)*(1-(MIN(F235,180)/180))</f>
        <v>0.29466666666666663</v>
      </c>
      <c r="T235" t="str">
        <f t="shared" si="7"/>
        <v>Scenario 1: Strong Commitment</v>
      </c>
    </row>
    <row r="236" spans="1:20" x14ac:dyDescent="0.35">
      <c r="A236" t="s">
        <v>337</v>
      </c>
      <c r="B236" s="1">
        <v>44532</v>
      </c>
      <c r="C236">
        <v>2021</v>
      </c>
      <c r="D236">
        <v>12</v>
      </c>
      <c r="E236" t="s">
        <v>14</v>
      </c>
      <c r="F236">
        <v>101</v>
      </c>
      <c r="G236" t="s">
        <v>338</v>
      </c>
      <c r="H236" t="s">
        <v>30</v>
      </c>
      <c r="I236">
        <v>0</v>
      </c>
      <c r="J236">
        <v>0</v>
      </c>
      <c r="K236">
        <v>6.2</v>
      </c>
      <c r="L236">
        <v>21789</v>
      </c>
      <c r="M236" t="s">
        <v>17</v>
      </c>
      <c r="N236" t="str">
        <f>IF(ISNUMBER(SEARCH("Streaming", M236)), "streaming", "cinema")</f>
        <v>streaming</v>
      </c>
      <c r="O236" t="str">
        <f>IF(I236=1, "non-original", "original")</f>
        <v>original</v>
      </c>
      <c r="P236" t="str">
        <f>IF(J236 = 1, "franchise", "non-franchise")</f>
        <v>non-franchise</v>
      </c>
      <c r="Q236" t="str">
        <f>IF(OR(I236 = 1,J236 =1), "old", "new")</f>
        <v>new</v>
      </c>
      <c r="R236">
        <f t="shared" si="6"/>
        <v>0.40546852468680256</v>
      </c>
      <c r="S236">
        <f>IF(Q236="new",1.5,1)*(K236/10)*(1-(MIN(F236,180)/180))</f>
        <v>0.40816666666666662</v>
      </c>
      <c r="T236" t="str">
        <f t="shared" si="7"/>
        <v>Scenario 3: Strong Convenience</v>
      </c>
    </row>
    <row r="237" spans="1:20" x14ac:dyDescent="0.35">
      <c r="A237" t="s">
        <v>339</v>
      </c>
      <c r="B237" s="1">
        <v>44532</v>
      </c>
      <c r="C237">
        <v>2021</v>
      </c>
      <c r="D237">
        <v>12</v>
      </c>
      <c r="E237" t="s">
        <v>14</v>
      </c>
      <c r="F237">
        <v>125</v>
      </c>
      <c r="G237" t="s">
        <v>92</v>
      </c>
      <c r="H237" t="s">
        <v>24</v>
      </c>
      <c r="I237">
        <v>0</v>
      </c>
      <c r="J237">
        <v>0</v>
      </c>
      <c r="K237">
        <v>5.3</v>
      </c>
      <c r="L237">
        <v>5084</v>
      </c>
      <c r="M237" t="s">
        <v>88</v>
      </c>
      <c r="N237" t="str">
        <f>IF(ISNUMBER(SEARCH("Streaming", M237)), "streaming", "cinema")</f>
        <v>streaming</v>
      </c>
      <c r="O237" t="str">
        <f>IF(I237=1, "non-original", "original")</f>
        <v>original</v>
      </c>
      <c r="P237" t="str">
        <f>IF(J237 = 1, "franchise", "non-franchise")</f>
        <v>non-franchise</v>
      </c>
      <c r="Q237" t="str">
        <f>IF(OR(I237 = 1,J237 =1), "old", "new")</f>
        <v>new</v>
      </c>
      <c r="R237">
        <f t="shared" si="6"/>
        <v>0.42870839033013086</v>
      </c>
      <c r="S237">
        <f>IF(Q237="new",1.5,1)*(K237/10)*(1-(MIN(F237,180)/180))</f>
        <v>0.2429166666666667</v>
      </c>
      <c r="T237" t="str">
        <f t="shared" si="7"/>
        <v>Scenario 2: Weak Commitment/Convenience</v>
      </c>
    </row>
    <row r="238" spans="1:20" x14ac:dyDescent="0.35">
      <c r="A238" t="s">
        <v>340</v>
      </c>
      <c r="B238" s="1">
        <v>44533</v>
      </c>
      <c r="C238">
        <v>2021</v>
      </c>
      <c r="D238">
        <v>12</v>
      </c>
      <c r="E238" t="s">
        <v>14</v>
      </c>
      <c r="F238">
        <v>97</v>
      </c>
      <c r="G238" t="s">
        <v>341</v>
      </c>
      <c r="H238" t="s">
        <v>30</v>
      </c>
      <c r="I238">
        <v>0</v>
      </c>
      <c r="J238">
        <v>0</v>
      </c>
      <c r="K238">
        <v>6.6</v>
      </c>
      <c r="L238">
        <v>4513</v>
      </c>
      <c r="M238" t="s">
        <v>17</v>
      </c>
      <c r="N238" t="str">
        <f>IF(ISNUMBER(SEARCH("Streaming", M238)), "streaming", "cinema")</f>
        <v>streaming</v>
      </c>
      <c r="O238" t="str">
        <f>IF(I238=1, "non-original", "original")</f>
        <v>original</v>
      </c>
      <c r="P238" t="str">
        <f>IF(J238 = 1, "franchise", "non-franchise")</f>
        <v>non-franchise</v>
      </c>
      <c r="Q238" t="str">
        <f>IF(OR(I238 = 1,J238 =1), "old", "new")</f>
        <v>new</v>
      </c>
      <c r="R238">
        <f t="shared" si="6"/>
        <v>0.32803338831757928</v>
      </c>
      <c r="S238">
        <f>IF(Q238="new",1.5,1)*(K238/10)*(1-(MIN(F238,180)/180))</f>
        <v>0.45649999999999996</v>
      </c>
      <c r="T238" t="str">
        <f t="shared" si="7"/>
        <v>Scenario 3: Strong Convenience</v>
      </c>
    </row>
    <row r="239" spans="1:20" x14ac:dyDescent="0.35">
      <c r="A239" t="s">
        <v>342</v>
      </c>
      <c r="B239" s="1">
        <v>44536</v>
      </c>
      <c r="C239">
        <v>2021</v>
      </c>
      <c r="D239">
        <v>12</v>
      </c>
      <c r="E239" t="s">
        <v>14</v>
      </c>
      <c r="F239">
        <v>106</v>
      </c>
      <c r="G239" t="s">
        <v>343</v>
      </c>
      <c r="H239" t="s">
        <v>30</v>
      </c>
      <c r="I239">
        <v>0</v>
      </c>
      <c r="J239">
        <v>0</v>
      </c>
      <c r="K239">
        <v>5.3</v>
      </c>
      <c r="L239">
        <v>1034</v>
      </c>
      <c r="M239" t="s">
        <v>17</v>
      </c>
      <c r="N239" t="str">
        <f>IF(ISNUMBER(SEARCH("Streaming", M239)), "streaming", "cinema")</f>
        <v>streaming</v>
      </c>
      <c r="O239" t="str">
        <f>IF(I239=1, "non-original", "original")</f>
        <v>original</v>
      </c>
      <c r="P239" t="str">
        <f>IF(J239 = 1, "franchise", "non-franchise")</f>
        <v>non-franchise</v>
      </c>
      <c r="Q239" t="str">
        <f>IF(OR(I239 = 1,J239 =1), "old", "new")</f>
        <v>new</v>
      </c>
      <c r="R239">
        <f t="shared" si="6"/>
        <v>0.29569677065664191</v>
      </c>
      <c r="S239">
        <f>IF(Q239="new",1.5,1)*(K239/10)*(1-(MIN(F239,180)/180))</f>
        <v>0.32683333333333331</v>
      </c>
      <c r="T239" t="str">
        <f t="shared" si="7"/>
        <v>Scenario 3: Strong Convenience</v>
      </c>
    </row>
    <row r="240" spans="1:20" x14ac:dyDescent="0.35">
      <c r="A240" t="s">
        <v>344</v>
      </c>
      <c r="B240" s="1">
        <v>44537</v>
      </c>
      <c r="C240">
        <v>2021</v>
      </c>
      <c r="D240">
        <v>12</v>
      </c>
      <c r="E240" t="s">
        <v>14</v>
      </c>
      <c r="F240">
        <v>97</v>
      </c>
      <c r="G240" t="s">
        <v>343</v>
      </c>
      <c r="H240" t="s">
        <v>30</v>
      </c>
      <c r="I240">
        <v>0</v>
      </c>
      <c r="J240">
        <v>0</v>
      </c>
      <c r="K240">
        <v>5.6</v>
      </c>
      <c r="L240">
        <v>1240</v>
      </c>
      <c r="M240" t="s">
        <v>17</v>
      </c>
      <c r="N240" t="str">
        <f>IF(ISNUMBER(SEARCH("Streaming", M240)), "streaming", "cinema")</f>
        <v>streaming</v>
      </c>
      <c r="O240" t="str">
        <f>IF(I240=1, "non-original", "original")</f>
        <v>original</v>
      </c>
      <c r="P240" t="str">
        <f>IF(J240 = 1, "franchise", "non-franchise")</f>
        <v>non-franchise</v>
      </c>
      <c r="Q240" t="str">
        <f>IF(OR(I240 = 1,J240 =1), "old", "new")</f>
        <v>new</v>
      </c>
      <c r="R240">
        <f t="shared" si="6"/>
        <v>0.277672793218535</v>
      </c>
      <c r="S240">
        <f>IF(Q240="new",1.5,1)*(K240/10)*(1-(MIN(F240,180)/180))</f>
        <v>0.38733333333333331</v>
      </c>
      <c r="T240" t="str">
        <f t="shared" si="7"/>
        <v>Scenario 3: Strong Convenience</v>
      </c>
    </row>
    <row r="241" spans="1:20" x14ac:dyDescent="0.35">
      <c r="A241" t="s">
        <v>345</v>
      </c>
      <c r="B241" s="1">
        <v>44539</v>
      </c>
      <c r="C241">
        <v>2021</v>
      </c>
      <c r="D241">
        <v>12</v>
      </c>
      <c r="E241" t="s">
        <v>14</v>
      </c>
      <c r="F241">
        <v>123</v>
      </c>
      <c r="G241" t="s">
        <v>34</v>
      </c>
      <c r="H241" t="s">
        <v>30</v>
      </c>
      <c r="I241">
        <v>0</v>
      </c>
      <c r="J241">
        <v>0</v>
      </c>
      <c r="K241">
        <v>7.2</v>
      </c>
      <c r="L241">
        <v>2007</v>
      </c>
      <c r="M241" t="s">
        <v>17</v>
      </c>
      <c r="N241" t="str">
        <f>IF(ISNUMBER(SEARCH("Streaming", M241)), "streaming", "cinema")</f>
        <v>streaming</v>
      </c>
      <c r="O241" t="str">
        <f>IF(I241=1, "non-original", "original")</f>
        <v>original</v>
      </c>
      <c r="P241" t="str">
        <f>IF(J241 = 1, "franchise", "non-franchise")</f>
        <v>non-franchise</v>
      </c>
      <c r="Q241" t="str">
        <f>IF(OR(I241 = 1,J241 =1), "old", "new")</f>
        <v>new</v>
      </c>
      <c r="R241">
        <f t="shared" si="6"/>
        <v>0.37590373119238923</v>
      </c>
      <c r="S241">
        <f>IF(Q241="new",1.5,1)*(K241/10)*(1-(MIN(F241,180)/180))</f>
        <v>0.34200000000000003</v>
      </c>
      <c r="T241" t="str">
        <f t="shared" si="7"/>
        <v>Scenario 3: Strong Convenience</v>
      </c>
    </row>
    <row r="242" spans="1:20" x14ac:dyDescent="0.35">
      <c r="A242" t="s">
        <v>346</v>
      </c>
      <c r="B242" s="1">
        <v>44540</v>
      </c>
      <c r="C242">
        <v>2021</v>
      </c>
      <c r="D242">
        <v>12</v>
      </c>
      <c r="E242" t="s">
        <v>14</v>
      </c>
      <c r="F242">
        <v>101</v>
      </c>
      <c r="G242" t="s">
        <v>29</v>
      </c>
      <c r="H242" t="s">
        <v>24</v>
      </c>
      <c r="I242">
        <v>0</v>
      </c>
      <c r="J242">
        <v>0</v>
      </c>
      <c r="K242">
        <v>5.8</v>
      </c>
      <c r="L242">
        <v>2776</v>
      </c>
      <c r="M242" t="s">
        <v>88</v>
      </c>
      <c r="N242" t="str">
        <f>IF(ISNUMBER(SEARCH("Streaming", M242)), "streaming", "cinema")</f>
        <v>streaming</v>
      </c>
      <c r="O242" t="str">
        <f>IF(I242=1, "non-original", "original")</f>
        <v>original</v>
      </c>
      <c r="P242" t="str">
        <f>IF(J242 = 1, "franchise", "non-franchise")</f>
        <v>non-franchise</v>
      </c>
      <c r="Q242" t="str">
        <f>IF(OR(I242 = 1,J242 =1), "old", "new")</f>
        <v>new</v>
      </c>
      <c r="R242">
        <f t="shared" si="6"/>
        <v>0.32183537064858531</v>
      </c>
      <c r="S242">
        <f>IF(Q242="new",1.5,1)*(K242/10)*(1-(MIN(F242,180)/180))</f>
        <v>0.3818333333333333</v>
      </c>
      <c r="T242" t="str">
        <f t="shared" si="7"/>
        <v>Scenario 3: Strong Convenience</v>
      </c>
    </row>
    <row r="243" spans="1:20" x14ac:dyDescent="0.35">
      <c r="A243" t="s">
        <v>347</v>
      </c>
      <c r="B243" s="1">
        <v>44540</v>
      </c>
      <c r="C243">
        <v>2021</v>
      </c>
      <c r="D243">
        <v>12</v>
      </c>
      <c r="E243" t="s">
        <v>14</v>
      </c>
      <c r="F243">
        <v>95</v>
      </c>
      <c r="G243" t="s">
        <v>348</v>
      </c>
      <c r="H243" t="s">
        <v>56</v>
      </c>
      <c r="I243">
        <v>0</v>
      </c>
      <c r="J243">
        <v>0</v>
      </c>
      <c r="K243">
        <v>6.5</v>
      </c>
      <c r="L243">
        <v>12321</v>
      </c>
      <c r="M243" t="s">
        <v>88</v>
      </c>
      <c r="N243" t="str">
        <f>IF(ISNUMBER(SEARCH("Streaming", M243)), "streaming", "cinema")</f>
        <v>streaming</v>
      </c>
      <c r="O243" t="str">
        <f>IF(I243=1, "non-original", "original")</f>
        <v>original</v>
      </c>
      <c r="P243" t="str">
        <f>IF(J243 = 1, "franchise", "non-franchise")</f>
        <v>non-franchise</v>
      </c>
      <c r="Q243" t="str">
        <f>IF(OR(I243 = 1,J243 =1), "old", "new")</f>
        <v>new</v>
      </c>
      <c r="R243">
        <f t="shared" si="6"/>
        <v>0.35961514014501111</v>
      </c>
      <c r="S243">
        <f>IF(Q243="new",1.5,1)*(K243/10)*(1-(MIN(F243,180)/180))</f>
        <v>0.4604166666666667</v>
      </c>
      <c r="T243" t="str">
        <f t="shared" si="7"/>
        <v>Scenario 3: Strong Convenience</v>
      </c>
    </row>
    <row r="244" spans="1:20" x14ac:dyDescent="0.35">
      <c r="A244" t="s">
        <v>349</v>
      </c>
      <c r="B244" s="1">
        <v>44540</v>
      </c>
      <c r="C244">
        <v>2021</v>
      </c>
      <c r="D244">
        <v>12</v>
      </c>
      <c r="E244" t="s">
        <v>14</v>
      </c>
      <c r="F244">
        <v>114</v>
      </c>
      <c r="G244" t="s">
        <v>34</v>
      </c>
      <c r="H244" t="s">
        <v>24</v>
      </c>
      <c r="I244">
        <v>0</v>
      </c>
      <c r="J244">
        <v>0</v>
      </c>
      <c r="K244">
        <v>7.2</v>
      </c>
      <c r="L244">
        <v>127401</v>
      </c>
      <c r="M244" t="s">
        <v>88</v>
      </c>
      <c r="N244" t="str">
        <f>IF(ISNUMBER(SEARCH("Streaming", M244)), "streaming", "cinema")</f>
        <v>streaming</v>
      </c>
      <c r="O244" t="str">
        <f>IF(I244=1, "non-original", "original")</f>
        <v>original</v>
      </c>
      <c r="P244" t="str">
        <f>IF(J244 = 1, "franchise", "non-franchise")</f>
        <v>non-franchise</v>
      </c>
      <c r="Q244" t="str">
        <f>IF(OR(I244 = 1,J244 =1), "old", "new")</f>
        <v>new</v>
      </c>
      <c r="R244">
        <f t="shared" si="6"/>
        <v>0.53856455853014673</v>
      </c>
      <c r="S244">
        <f>IF(Q244="new",1.5,1)*(K244/10)*(1-(MIN(F244,180)/180))</f>
        <v>0.39600000000000007</v>
      </c>
      <c r="T244" t="str">
        <f t="shared" si="7"/>
        <v>Scenario 4: Hybrid Logic</v>
      </c>
    </row>
    <row r="245" spans="1:20" x14ac:dyDescent="0.35">
      <c r="A245" t="s">
        <v>350</v>
      </c>
      <c r="B245" s="1">
        <v>44545</v>
      </c>
      <c r="C245">
        <v>2021</v>
      </c>
      <c r="D245">
        <v>12</v>
      </c>
      <c r="E245" t="s">
        <v>14</v>
      </c>
      <c r="F245">
        <v>130</v>
      </c>
      <c r="G245" t="s">
        <v>34</v>
      </c>
      <c r="H245" t="s">
        <v>24</v>
      </c>
      <c r="I245">
        <v>0</v>
      </c>
      <c r="J245">
        <v>0</v>
      </c>
      <c r="K245">
        <v>7.3</v>
      </c>
      <c r="L245">
        <v>53929</v>
      </c>
      <c r="M245" t="s">
        <v>17</v>
      </c>
      <c r="N245" t="str">
        <f>IF(ISNUMBER(SEARCH("Streaming", M245)), "streaming", "cinema")</f>
        <v>streaming</v>
      </c>
      <c r="O245" t="str">
        <f>IF(I245=1, "non-original", "original")</f>
        <v>original</v>
      </c>
      <c r="P245" t="str">
        <f>IF(J245 = 1, "franchise", "non-franchise")</f>
        <v>non-franchise</v>
      </c>
      <c r="Q245" t="str">
        <f>IF(OR(I245 = 1,J245 =1), "old", "new")</f>
        <v>new</v>
      </c>
      <c r="R245">
        <f t="shared" si="6"/>
        <v>0.56923848517895492</v>
      </c>
      <c r="S245">
        <f>IF(Q245="new",1.5,1)*(K245/10)*(1-(MIN(F245,180)/180))</f>
        <v>0.3041666666666667</v>
      </c>
      <c r="T245" t="str">
        <f t="shared" si="7"/>
        <v>Scenario 1: Strong Commitment</v>
      </c>
    </row>
    <row r="246" spans="1:20" x14ac:dyDescent="0.35">
      <c r="A246" t="s">
        <v>351</v>
      </c>
      <c r="B246" s="1">
        <v>44546</v>
      </c>
      <c r="C246">
        <v>2021</v>
      </c>
      <c r="D246">
        <v>12</v>
      </c>
      <c r="E246" t="s">
        <v>14</v>
      </c>
      <c r="F246">
        <v>121</v>
      </c>
      <c r="G246" t="s">
        <v>29</v>
      </c>
      <c r="H246" t="s">
        <v>30</v>
      </c>
      <c r="I246">
        <v>0</v>
      </c>
      <c r="J246">
        <v>0</v>
      </c>
      <c r="K246">
        <v>5</v>
      </c>
      <c r="L246">
        <v>499</v>
      </c>
      <c r="M246" t="s">
        <v>17</v>
      </c>
      <c r="N246" t="str">
        <f>IF(ISNUMBER(SEARCH("Streaming", M246)), "streaming", "cinema")</f>
        <v>streaming</v>
      </c>
      <c r="O246" t="str">
        <f>IF(I246=1, "non-original", "original")</f>
        <v>original</v>
      </c>
      <c r="P246" t="str">
        <f>IF(J246 = 1, "franchise", "non-franchise")</f>
        <v>non-franchise</v>
      </c>
      <c r="Q246" t="str">
        <f>IF(OR(I246 = 1,J246 =1), "old", "new")</f>
        <v>new</v>
      </c>
      <c r="R246">
        <f t="shared" si="6"/>
        <v>0.30211060403165624</v>
      </c>
      <c r="S246">
        <f>IF(Q246="new",1.5,1)*(K246/10)*(1-(MIN(F246,180)/180))</f>
        <v>0.24583333333333329</v>
      </c>
      <c r="T246" t="str">
        <f t="shared" si="7"/>
        <v>Scenario 2: Weak Commitment/Convenience</v>
      </c>
    </row>
    <row r="247" spans="1:20" x14ac:dyDescent="0.35">
      <c r="A247" t="s">
        <v>352</v>
      </c>
      <c r="B247" s="1">
        <v>44551</v>
      </c>
      <c r="C247">
        <v>2021</v>
      </c>
      <c r="D247">
        <v>12</v>
      </c>
      <c r="E247" t="s">
        <v>14</v>
      </c>
      <c r="F247">
        <v>87</v>
      </c>
      <c r="G247" t="s">
        <v>21</v>
      </c>
      <c r="H247" t="s">
        <v>30</v>
      </c>
      <c r="I247">
        <v>0</v>
      </c>
      <c r="J247">
        <v>0</v>
      </c>
      <c r="K247">
        <v>4.5</v>
      </c>
      <c r="L247">
        <v>492</v>
      </c>
      <c r="M247" t="s">
        <v>17</v>
      </c>
      <c r="N247" t="str">
        <f>IF(ISNUMBER(SEARCH("Streaming", M247)), "streaming", "cinema")</f>
        <v>streaming</v>
      </c>
      <c r="O247" t="str">
        <f>IF(I247=1, "non-original", "original")</f>
        <v>original</v>
      </c>
      <c r="P247" t="str">
        <f>IF(J247 = 1, "franchise", "non-franchise")</f>
        <v>non-franchise</v>
      </c>
      <c r="Q247" t="str">
        <f>IF(OR(I247 = 1,J247 =1), "old", "new")</f>
        <v>new</v>
      </c>
      <c r="R247">
        <f t="shared" si="6"/>
        <v>0.21672606579466586</v>
      </c>
      <c r="S247">
        <f>IF(Q247="new",1.5,1)*(K247/10)*(1-(MIN(F247,180)/180))</f>
        <v>0.34875</v>
      </c>
      <c r="T247" t="str">
        <f t="shared" si="7"/>
        <v>Scenario 3: Strong Convenience</v>
      </c>
    </row>
    <row r="248" spans="1:20" x14ac:dyDescent="0.35">
      <c r="A248" t="s">
        <v>353</v>
      </c>
      <c r="B248" s="1">
        <v>44554</v>
      </c>
      <c r="C248">
        <v>2021</v>
      </c>
      <c r="D248">
        <v>12</v>
      </c>
      <c r="E248" t="s">
        <v>14</v>
      </c>
      <c r="F248">
        <v>102</v>
      </c>
      <c r="G248" t="s">
        <v>354</v>
      </c>
      <c r="H248" t="s">
        <v>30</v>
      </c>
      <c r="I248">
        <v>0</v>
      </c>
      <c r="J248">
        <v>0</v>
      </c>
      <c r="K248">
        <v>5.9</v>
      </c>
      <c r="L248">
        <v>2321</v>
      </c>
      <c r="M248" t="s">
        <v>17</v>
      </c>
      <c r="N248" t="str">
        <f>IF(ISNUMBER(SEARCH("Streaming", M248)), "streaming", "cinema")</f>
        <v>streaming</v>
      </c>
      <c r="O248" t="str">
        <f>IF(I248=1, "non-original", "original")</f>
        <v>original</v>
      </c>
      <c r="P248" t="str">
        <f>IF(J248 = 1, "franchise", "non-franchise")</f>
        <v>non-franchise</v>
      </c>
      <c r="Q248" t="str">
        <f>IF(OR(I248 = 1,J248 =1), "old", "new")</f>
        <v>new</v>
      </c>
      <c r="R248">
        <f t="shared" si="6"/>
        <v>0.3176836295006854</v>
      </c>
      <c r="S248">
        <f>IF(Q248="new",1.5,1)*(K248/10)*(1-(MIN(F248,180)/180))</f>
        <v>0.38350000000000006</v>
      </c>
      <c r="T248" t="str">
        <f t="shared" si="7"/>
        <v>Scenario 3: Strong Convenience</v>
      </c>
    </row>
    <row r="249" spans="1:20" x14ac:dyDescent="0.35">
      <c r="A249" t="s">
        <v>355</v>
      </c>
      <c r="B249" s="1">
        <v>44554</v>
      </c>
      <c r="C249">
        <v>2021</v>
      </c>
      <c r="D249">
        <v>12</v>
      </c>
      <c r="E249" t="s">
        <v>14</v>
      </c>
      <c r="F249">
        <v>138</v>
      </c>
      <c r="G249" t="s">
        <v>356</v>
      </c>
      <c r="H249" t="s">
        <v>24</v>
      </c>
      <c r="I249">
        <v>0</v>
      </c>
      <c r="J249">
        <v>0</v>
      </c>
      <c r="K249">
        <v>7.1</v>
      </c>
      <c r="L249">
        <v>665319</v>
      </c>
      <c r="M249" t="s">
        <v>88</v>
      </c>
      <c r="N249" t="str">
        <f>IF(ISNUMBER(SEARCH("Streaming", M249)), "streaming", "cinema")</f>
        <v>streaming</v>
      </c>
      <c r="O249" t="str">
        <f>IF(I249=1, "non-original", "original")</f>
        <v>original</v>
      </c>
      <c r="P249" t="str">
        <f>IF(J249 = 1, "franchise", "non-franchise")</f>
        <v>non-franchise</v>
      </c>
      <c r="Q249" t="str">
        <f>IF(OR(I249 = 1,J249 =1), "old", "new")</f>
        <v>new</v>
      </c>
      <c r="R249">
        <f t="shared" si="6"/>
        <v>0.74361917090254248</v>
      </c>
      <c r="S249">
        <f>IF(Q249="new",1.5,1)*(K249/10)*(1-(MIN(F249,180)/180))</f>
        <v>0.24849999999999994</v>
      </c>
      <c r="T249" t="str">
        <f t="shared" si="7"/>
        <v>Scenario 1: Strong Commitment</v>
      </c>
    </row>
    <row r="250" spans="1:20" x14ac:dyDescent="0.35">
      <c r="A250" t="s">
        <v>357</v>
      </c>
      <c r="B250" s="1">
        <v>44556</v>
      </c>
      <c r="C250">
        <v>2021</v>
      </c>
      <c r="D250">
        <v>12</v>
      </c>
      <c r="E250" t="s">
        <v>14</v>
      </c>
      <c r="F250">
        <v>90</v>
      </c>
      <c r="G250" t="s">
        <v>21</v>
      </c>
      <c r="H250" t="s">
        <v>30</v>
      </c>
      <c r="I250">
        <v>0</v>
      </c>
      <c r="J250">
        <v>0</v>
      </c>
      <c r="K250">
        <v>4.9000000000000004</v>
      </c>
      <c r="L250">
        <v>2064</v>
      </c>
      <c r="M250" t="s">
        <v>17</v>
      </c>
      <c r="N250" t="str">
        <f>IF(ISNUMBER(SEARCH("Streaming", M250)), "streaming", "cinema")</f>
        <v>streaming</v>
      </c>
      <c r="O250" t="str">
        <f>IF(I250=1, "non-original", "original")</f>
        <v>original</v>
      </c>
      <c r="P250" t="str">
        <f>IF(J250 = 1, "franchise", "non-franchise")</f>
        <v>non-franchise</v>
      </c>
      <c r="Q250" t="str">
        <f>IF(OR(I250 = 1,J250 =1), "old", "new")</f>
        <v>new</v>
      </c>
      <c r="R250">
        <f t="shared" si="6"/>
        <v>0.27606444526359736</v>
      </c>
      <c r="S250">
        <f>IF(Q250="new",1.5,1)*(K250/10)*(1-(MIN(F250,180)/180))</f>
        <v>0.36750000000000005</v>
      </c>
      <c r="T250" t="str">
        <f t="shared" si="7"/>
        <v>Scenario 3: Strong Convenience</v>
      </c>
    </row>
    <row r="251" spans="1:20" x14ac:dyDescent="0.35">
      <c r="A251" t="s">
        <v>358</v>
      </c>
      <c r="B251" s="1">
        <v>44573</v>
      </c>
      <c r="C251">
        <v>2022</v>
      </c>
      <c r="D251">
        <v>1</v>
      </c>
      <c r="E251" t="s">
        <v>14</v>
      </c>
      <c r="F251">
        <v>179</v>
      </c>
      <c r="G251" t="s">
        <v>34</v>
      </c>
      <c r="H251" t="s">
        <v>16</v>
      </c>
      <c r="I251">
        <v>0</v>
      </c>
      <c r="J251">
        <v>0</v>
      </c>
      <c r="K251">
        <v>6.1</v>
      </c>
      <c r="L251">
        <v>3236</v>
      </c>
      <c r="M251" t="s">
        <v>88</v>
      </c>
      <c r="N251" t="str">
        <f>IF(ISNUMBER(SEARCH("Streaming", M251)), "streaming", "cinema")</f>
        <v>streaming</v>
      </c>
      <c r="O251" t="str">
        <f>IF(I251=1, "non-original", "original")</f>
        <v>original</v>
      </c>
      <c r="P251" t="str">
        <f>IF(J251 = 1, "franchise", "non-franchise")</f>
        <v>non-franchise</v>
      </c>
      <c r="Q251" t="str">
        <f>IF(OR(I251 = 1,J251 =1), "old", "new")</f>
        <v>new</v>
      </c>
      <c r="R251">
        <f t="shared" si="6"/>
        <v>0.58141156995103305</v>
      </c>
      <c r="S251">
        <f>IF(Q251="new",1.5,1)*(K251/10)*(1-(MIN(F251,180)/180))</f>
        <v>5.0833333333333156E-3</v>
      </c>
      <c r="T251" t="str">
        <f t="shared" si="7"/>
        <v>Scenario 1: Strong Commitment</v>
      </c>
    </row>
    <row r="252" spans="1:20" x14ac:dyDescent="0.35">
      <c r="A252" t="s">
        <v>359</v>
      </c>
      <c r="B252" s="1">
        <v>44574</v>
      </c>
      <c r="C252">
        <v>2022</v>
      </c>
      <c r="D252">
        <v>1</v>
      </c>
      <c r="E252" t="s">
        <v>14</v>
      </c>
      <c r="F252">
        <v>96</v>
      </c>
      <c r="G252" t="s">
        <v>151</v>
      </c>
      <c r="H252" t="s">
        <v>30</v>
      </c>
      <c r="I252">
        <v>0</v>
      </c>
      <c r="J252">
        <v>0</v>
      </c>
      <c r="K252">
        <v>4.2</v>
      </c>
      <c r="L252">
        <v>14723</v>
      </c>
      <c r="M252" t="s">
        <v>17</v>
      </c>
      <c r="N252" t="str">
        <f>IF(ISNUMBER(SEARCH("Streaming", M252)), "streaming", "cinema")</f>
        <v>streaming</v>
      </c>
      <c r="O252" t="str">
        <f>IF(I252=1, "non-original", "original")</f>
        <v>original</v>
      </c>
      <c r="P252" t="str">
        <f>IF(J252 = 1, "franchise", "non-franchise")</f>
        <v>non-franchise</v>
      </c>
      <c r="Q252" t="str">
        <f>IF(OR(I252 = 1,J252 =1), "old", "new")</f>
        <v>new</v>
      </c>
      <c r="R252">
        <f t="shared" si="6"/>
        <v>0.37027213323767671</v>
      </c>
      <c r="S252">
        <f>IF(Q252="new",1.5,1)*(K252/10)*(1-(MIN(F252,180)/180))</f>
        <v>0.29400000000000004</v>
      </c>
      <c r="T252" t="str">
        <f t="shared" si="7"/>
        <v>Scenario 2: Weak Commitment/Convenience</v>
      </c>
    </row>
    <row r="253" spans="1:20" x14ac:dyDescent="0.35">
      <c r="A253" t="s">
        <v>360</v>
      </c>
      <c r="B253" s="1">
        <v>44581</v>
      </c>
      <c r="C253">
        <v>2022</v>
      </c>
      <c r="D253">
        <v>1</v>
      </c>
      <c r="E253" t="s">
        <v>14</v>
      </c>
      <c r="F253">
        <v>97</v>
      </c>
      <c r="G253" t="s">
        <v>269</v>
      </c>
      <c r="H253" t="s">
        <v>30</v>
      </c>
      <c r="I253">
        <v>0</v>
      </c>
      <c r="J253">
        <v>0</v>
      </c>
      <c r="K253">
        <v>5.3</v>
      </c>
      <c r="L253">
        <v>12642</v>
      </c>
      <c r="M253" t="s">
        <v>17</v>
      </c>
      <c r="N253" t="str">
        <f>IF(ISNUMBER(SEARCH("Streaming", M253)), "streaming", "cinema")</f>
        <v>streaming</v>
      </c>
      <c r="O253" t="str">
        <f>IF(I253=1, "non-original", "original")</f>
        <v>original</v>
      </c>
      <c r="P253" t="str">
        <f>IF(J253 = 1, "franchise", "non-franchise")</f>
        <v>non-franchise</v>
      </c>
      <c r="Q253" t="str">
        <f>IF(OR(I253 = 1,J253 =1), "old", "new")</f>
        <v>new</v>
      </c>
      <c r="R253">
        <f t="shared" si="6"/>
        <v>0.36818861522413976</v>
      </c>
      <c r="S253">
        <f>IF(Q253="new",1.5,1)*(K253/10)*(1-(MIN(F253,180)/180))</f>
        <v>0.36658333333333337</v>
      </c>
      <c r="T253" t="str">
        <f t="shared" si="7"/>
        <v>Scenario 3: Strong Convenience</v>
      </c>
    </row>
    <row r="254" spans="1:20" x14ac:dyDescent="0.35">
      <c r="A254" t="s">
        <v>361</v>
      </c>
      <c r="B254" s="1">
        <v>44582</v>
      </c>
      <c r="C254">
        <v>2022</v>
      </c>
      <c r="D254">
        <v>1</v>
      </c>
      <c r="E254" t="s">
        <v>14</v>
      </c>
      <c r="F254">
        <v>106</v>
      </c>
      <c r="G254" t="s">
        <v>34</v>
      </c>
      <c r="H254" t="s">
        <v>30</v>
      </c>
      <c r="I254">
        <v>0</v>
      </c>
      <c r="J254">
        <v>0</v>
      </c>
      <c r="K254">
        <v>5.6</v>
      </c>
      <c r="L254">
        <v>485</v>
      </c>
      <c r="M254" t="s">
        <v>17</v>
      </c>
      <c r="N254" t="str">
        <f>IF(ISNUMBER(SEARCH("Streaming", M254)), "streaming", "cinema")</f>
        <v>streaming</v>
      </c>
      <c r="O254" t="str">
        <f>IF(I254=1, "non-original", "original")</f>
        <v>original</v>
      </c>
      <c r="P254" t="str">
        <f>IF(J254 = 1, "franchise", "non-franchise")</f>
        <v>non-franchise</v>
      </c>
      <c r="Q254" t="str">
        <f>IF(OR(I254 = 1,J254 =1), "old", "new")</f>
        <v>new</v>
      </c>
      <c r="R254">
        <f t="shared" si="6"/>
        <v>0.26344659082988531</v>
      </c>
      <c r="S254">
        <f>IF(Q254="new",1.5,1)*(K254/10)*(1-(MIN(F254,180)/180))</f>
        <v>0.34533333333333327</v>
      </c>
      <c r="T254" t="str">
        <f t="shared" si="7"/>
        <v>Scenario 3: Strong Convenience</v>
      </c>
    </row>
    <row r="255" spans="1:20" x14ac:dyDescent="0.35">
      <c r="A255" t="s">
        <v>362</v>
      </c>
      <c r="B255" s="1">
        <v>44582</v>
      </c>
      <c r="C255">
        <v>2022</v>
      </c>
      <c r="D255">
        <v>1</v>
      </c>
      <c r="E255" t="s">
        <v>14</v>
      </c>
      <c r="F255">
        <v>112</v>
      </c>
      <c r="G255" t="s">
        <v>34</v>
      </c>
      <c r="H255" t="s">
        <v>30</v>
      </c>
      <c r="I255">
        <v>0</v>
      </c>
      <c r="J255">
        <v>0</v>
      </c>
      <c r="K255">
        <v>6.5</v>
      </c>
      <c r="L255">
        <v>4441</v>
      </c>
      <c r="M255" t="s">
        <v>17</v>
      </c>
      <c r="N255" t="str">
        <f>IF(ISNUMBER(SEARCH("Streaming", M255)), "streaming", "cinema")</f>
        <v>streaming</v>
      </c>
      <c r="O255" t="str">
        <f>IF(I255=1, "non-original", "original")</f>
        <v>original</v>
      </c>
      <c r="P255" t="str">
        <f>IF(J255 = 1, "franchise", "non-franchise")</f>
        <v>non-franchise</v>
      </c>
      <c r="Q255" t="str">
        <f>IF(OR(I255 = 1,J255 =1), "old", "new")</f>
        <v>new</v>
      </c>
      <c r="R255">
        <f t="shared" si="6"/>
        <v>0.37803629929523191</v>
      </c>
      <c r="S255">
        <f>IF(Q255="new",1.5,1)*(K255/10)*(1-(MIN(F255,180)/180))</f>
        <v>0.36833333333333335</v>
      </c>
      <c r="T255" t="str">
        <f t="shared" si="7"/>
        <v>Scenario 3: Strong Convenience</v>
      </c>
    </row>
    <row r="256" spans="1:20" x14ac:dyDescent="0.35">
      <c r="A256" t="s">
        <v>363</v>
      </c>
      <c r="B256" s="1">
        <v>44589</v>
      </c>
      <c r="C256">
        <v>2022</v>
      </c>
      <c r="D256">
        <v>1</v>
      </c>
      <c r="E256" t="s">
        <v>14</v>
      </c>
      <c r="F256">
        <v>97</v>
      </c>
      <c r="G256" t="s">
        <v>53</v>
      </c>
      <c r="H256" t="s">
        <v>56</v>
      </c>
      <c r="I256">
        <v>0</v>
      </c>
      <c r="J256">
        <v>0</v>
      </c>
      <c r="K256">
        <v>6</v>
      </c>
      <c r="L256">
        <v>24119</v>
      </c>
      <c r="M256" t="s">
        <v>17</v>
      </c>
      <c r="N256" t="str">
        <f>IF(ISNUMBER(SEARCH("Streaming", M256)), "streaming", "cinema")</f>
        <v>streaming</v>
      </c>
      <c r="O256" t="str">
        <f>IF(I256=1, "non-original", "original")</f>
        <v>original</v>
      </c>
      <c r="P256" t="str">
        <f>IF(J256 = 1, "franchise", "non-franchise")</f>
        <v>non-franchise</v>
      </c>
      <c r="Q256" t="str">
        <f>IF(OR(I256 = 1,J256 =1), "old", "new")</f>
        <v>new</v>
      </c>
      <c r="R256">
        <f t="shared" si="6"/>
        <v>0.39337085948099165</v>
      </c>
      <c r="S256">
        <f>IF(Q256="new",1.5,1)*(K256/10)*(1-(MIN(F256,180)/180))</f>
        <v>0.41499999999999998</v>
      </c>
      <c r="T256" t="str">
        <f t="shared" si="7"/>
        <v>Scenario 3: Strong Convenience</v>
      </c>
    </row>
    <row r="257" spans="1:20" x14ac:dyDescent="0.35">
      <c r="A257" t="s">
        <v>364</v>
      </c>
      <c r="B257" s="1">
        <v>44596</v>
      </c>
      <c r="C257">
        <v>2022</v>
      </c>
      <c r="D257">
        <v>2</v>
      </c>
      <c r="E257" t="s">
        <v>14</v>
      </c>
      <c r="F257">
        <v>131</v>
      </c>
      <c r="G257" t="s">
        <v>151</v>
      </c>
      <c r="H257" t="s">
        <v>24</v>
      </c>
      <c r="I257">
        <v>1</v>
      </c>
      <c r="J257">
        <v>1</v>
      </c>
      <c r="K257">
        <v>5.2</v>
      </c>
      <c r="L257">
        <v>5356</v>
      </c>
      <c r="M257" t="s">
        <v>17</v>
      </c>
      <c r="N257" t="str">
        <f>IF(ISNUMBER(SEARCH("Streaming", M257)), "streaming", "cinema")</f>
        <v>streaming</v>
      </c>
      <c r="O257" t="str">
        <f>IF(I257=1, "non-original", "original")</f>
        <v>non-original</v>
      </c>
      <c r="P257" t="str">
        <f>IF(J257 = 1, "franchise", "non-franchise")</f>
        <v>franchise</v>
      </c>
      <c r="Q257" t="str">
        <f>IF(OR(I257 = 1,J257 =1), "old", "new")</f>
        <v>old</v>
      </c>
      <c r="R257">
        <f t="shared" si="6"/>
        <v>0.67804550112060691</v>
      </c>
      <c r="S257">
        <f>IF(Q257="new",1.5,1)*(K257/10)*(1-(MIN(F257,180)/180))</f>
        <v>0.14155555555555557</v>
      </c>
      <c r="T257" t="str">
        <f t="shared" si="7"/>
        <v>Scenario 1: Strong Commitment</v>
      </c>
    </row>
    <row r="258" spans="1:20" x14ac:dyDescent="0.35">
      <c r="A258" t="s">
        <v>365</v>
      </c>
      <c r="B258" s="1">
        <v>44596</v>
      </c>
      <c r="C258">
        <v>2022</v>
      </c>
      <c r="D258">
        <v>2</v>
      </c>
      <c r="E258" t="s">
        <v>14</v>
      </c>
      <c r="F258">
        <v>113</v>
      </c>
      <c r="G258" t="s">
        <v>34</v>
      </c>
      <c r="H258" t="s">
        <v>24</v>
      </c>
      <c r="I258">
        <v>0</v>
      </c>
      <c r="J258">
        <v>0</v>
      </c>
      <c r="K258">
        <v>5.5</v>
      </c>
      <c r="L258">
        <v>24816</v>
      </c>
      <c r="M258" t="s">
        <v>88</v>
      </c>
      <c r="N258" t="str">
        <f>IF(ISNUMBER(SEARCH("Streaming", M258)), "streaming", "cinema")</f>
        <v>streaming</v>
      </c>
      <c r="O258" t="str">
        <f>IF(I258=1, "non-original", "original")</f>
        <v>original</v>
      </c>
      <c r="P258" t="str">
        <f>IF(J258 = 1, "franchise", "non-franchise")</f>
        <v>non-franchise</v>
      </c>
      <c r="Q258" t="str">
        <f>IF(OR(I258 = 1,J258 =1), "old", "new")</f>
        <v>new</v>
      </c>
      <c r="R258">
        <f t="shared" si="6"/>
        <v>0.45955054653263422</v>
      </c>
      <c r="S258">
        <f>IF(Q258="new",1.5,1)*(K258/10)*(1-(MIN(F258,180)/180))</f>
        <v>0.30708333333333337</v>
      </c>
      <c r="T258" t="str">
        <f t="shared" si="7"/>
        <v>Scenario 2: Weak Commitment/Convenience</v>
      </c>
    </row>
    <row r="259" spans="1:20" x14ac:dyDescent="0.35">
      <c r="A259" t="s">
        <v>366</v>
      </c>
      <c r="B259" s="1">
        <v>44601</v>
      </c>
      <c r="C259">
        <v>2022</v>
      </c>
      <c r="D259">
        <v>2</v>
      </c>
      <c r="E259" t="s">
        <v>14</v>
      </c>
      <c r="F259">
        <v>107</v>
      </c>
      <c r="G259" t="s">
        <v>92</v>
      </c>
      <c r="H259" t="s">
        <v>24</v>
      </c>
      <c r="I259">
        <v>0</v>
      </c>
      <c r="J259">
        <v>0</v>
      </c>
      <c r="K259">
        <v>4.7</v>
      </c>
      <c r="L259">
        <v>6790</v>
      </c>
      <c r="M259" t="s">
        <v>17</v>
      </c>
      <c r="N259" t="str">
        <f>IF(ISNUMBER(SEARCH("Streaming", M259)), "streaming", "cinema")</f>
        <v>streaming</v>
      </c>
      <c r="O259" t="str">
        <f>IF(I259=1, "non-original", "original")</f>
        <v>original</v>
      </c>
      <c r="P259" t="str">
        <f>IF(J259 = 1, "franchise", "non-franchise")</f>
        <v>non-franchise</v>
      </c>
      <c r="Q259" t="str">
        <f>IF(OR(I259 = 1,J259 =1), "old", "new")</f>
        <v>new</v>
      </c>
      <c r="R259">
        <f t="shared" ref="R259:R322" si="8">IF(Q259="old",1.5,1)*(LOG10(L259)/LOG10(MAX($L$2:$L$1078)))*(MIN(F259,180)/180)</f>
        <v>0.37941717665145236</v>
      </c>
      <c r="S259">
        <f>IF(Q259="new",1.5,1)*(K259/10)*(1-(MIN(F259,180)/180))</f>
        <v>0.28591666666666671</v>
      </c>
      <c r="T259" t="str">
        <f t="shared" ref="T259:T322" si="9">IF(AND(R259&gt;=AVERAGE($R$2:$R$1078),S259&gt;=AVERAGE($S$2:$S$1078)),"Scenario 4: Hybrid Logic",
 IF(AND(R259&gt;=AVERAGE($R$2:$R$1078),S259&lt;AVERAGE($S$2:$S$1078)),"Scenario 1: Strong Commitment",
  IF(AND(R259&lt;AVERAGE($R$2:$R$1078),S259&gt;=AVERAGE($S$2:$S$1078)),"Scenario 3: Strong Convenience",
   "Scenario 2: Weak Commitment/Convenience")))</f>
        <v>Scenario 2: Weak Commitment/Convenience</v>
      </c>
    </row>
    <row r="260" spans="1:20" x14ac:dyDescent="0.35">
      <c r="A260" t="s">
        <v>367</v>
      </c>
      <c r="B260" s="1">
        <v>44602</v>
      </c>
      <c r="C260">
        <v>2022</v>
      </c>
      <c r="D260">
        <v>2</v>
      </c>
      <c r="E260" t="s">
        <v>14</v>
      </c>
      <c r="F260">
        <v>108</v>
      </c>
      <c r="G260" t="s">
        <v>90</v>
      </c>
      <c r="H260" t="s">
        <v>30</v>
      </c>
      <c r="I260">
        <v>0</v>
      </c>
      <c r="J260">
        <v>0</v>
      </c>
      <c r="K260">
        <v>5.3</v>
      </c>
      <c r="L260">
        <v>1370</v>
      </c>
      <c r="M260" t="s">
        <v>17</v>
      </c>
      <c r="N260" t="str">
        <f>IF(ISNUMBER(SEARCH("Streaming", M260)), "streaming", "cinema")</f>
        <v>streaming</v>
      </c>
      <c r="O260" t="str">
        <f>IF(I260=1, "non-original", "original")</f>
        <v>original</v>
      </c>
      <c r="P260" t="str">
        <f>IF(J260 = 1, "franchise", "non-franchise")</f>
        <v>non-franchise</v>
      </c>
      <c r="Q260" t="str">
        <f>IF(OR(I260 = 1,J260 =1), "old", "new")</f>
        <v>new</v>
      </c>
      <c r="R260">
        <f t="shared" si="8"/>
        <v>0.31348881930481393</v>
      </c>
      <c r="S260">
        <f>IF(Q260="new",1.5,1)*(K260/10)*(1-(MIN(F260,180)/180))</f>
        <v>0.31800000000000006</v>
      </c>
      <c r="T260" t="str">
        <f t="shared" si="9"/>
        <v>Scenario 3: Strong Convenience</v>
      </c>
    </row>
    <row r="261" spans="1:20" x14ac:dyDescent="0.35">
      <c r="A261" t="s">
        <v>368</v>
      </c>
      <c r="B261" s="1">
        <v>44603</v>
      </c>
      <c r="C261">
        <v>2022</v>
      </c>
      <c r="D261">
        <v>2</v>
      </c>
      <c r="E261" t="s">
        <v>14</v>
      </c>
      <c r="F261">
        <v>118</v>
      </c>
      <c r="G261" t="s">
        <v>29</v>
      </c>
      <c r="H261" t="s">
        <v>24</v>
      </c>
      <c r="I261">
        <v>0</v>
      </c>
      <c r="J261">
        <v>0</v>
      </c>
      <c r="K261">
        <v>6.3</v>
      </c>
      <c r="L261">
        <v>7909</v>
      </c>
      <c r="M261" t="s">
        <v>17</v>
      </c>
      <c r="N261" t="str">
        <f>IF(ISNUMBER(SEARCH("Streaming", M261)), "streaming", "cinema")</f>
        <v>streaming</v>
      </c>
      <c r="O261" t="str">
        <f>IF(I261=1, "non-original", "original")</f>
        <v>original</v>
      </c>
      <c r="P261" t="str">
        <f>IF(J261 = 1, "franchise", "non-franchise")</f>
        <v>non-franchise</v>
      </c>
      <c r="Q261" t="str">
        <f>IF(OR(I261 = 1,J261 =1), "old", "new")</f>
        <v>new</v>
      </c>
      <c r="R261">
        <f t="shared" si="8"/>
        <v>0.42565707494638055</v>
      </c>
      <c r="S261">
        <f>IF(Q261="new",1.5,1)*(K261/10)*(1-(MIN(F261,180)/180))</f>
        <v>0.32550000000000001</v>
      </c>
      <c r="T261" t="str">
        <f t="shared" si="9"/>
        <v>Scenario 3: Strong Convenience</v>
      </c>
    </row>
    <row r="262" spans="1:20" x14ac:dyDescent="0.35">
      <c r="A262" t="s">
        <v>369</v>
      </c>
      <c r="B262" s="1">
        <v>44603</v>
      </c>
      <c r="C262">
        <v>2022</v>
      </c>
      <c r="D262">
        <v>2</v>
      </c>
      <c r="E262" t="s">
        <v>14</v>
      </c>
      <c r="F262">
        <v>98</v>
      </c>
      <c r="G262" t="s">
        <v>29</v>
      </c>
      <c r="H262" t="s">
        <v>30</v>
      </c>
      <c r="I262">
        <v>0</v>
      </c>
      <c r="J262">
        <v>0</v>
      </c>
      <c r="K262">
        <v>5.4</v>
      </c>
      <c r="L262">
        <v>7080</v>
      </c>
      <c r="M262" t="s">
        <v>88</v>
      </c>
      <c r="N262" t="str">
        <f>IF(ISNUMBER(SEARCH("Streaming", M262)), "streaming", "cinema")</f>
        <v>streaming</v>
      </c>
      <c r="O262" t="str">
        <f>IF(I262=1, "non-original", "original")</f>
        <v>original</v>
      </c>
      <c r="P262" t="str">
        <f>IF(J262 = 1, "franchise", "non-franchise")</f>
        <v>non-franchise</v>
      </c>
      <c r="Q262" t="str">
        <f>IF(OR(I262 = 1,J262 =1), "old", "new")</f>
        <v>new</v>
      </c>
      <c r="R262">
        <f t="shared" si="8"/>
        <v>0.34915078748446393</v>
      </c>
      <c r="S262">
        <f>IF(Q262="new",1.5,1)*(K262/10)*(1-(MIN(F262,180)/180))</f>
        <v>0.36900000000000005</v>
      </c>
      <c r="T262" t="str">
        <f t="shared" si="9"/>
        <v>Scenario 3: Strong Convenience</v>
      </c>
    </row>
    <row r="263" spans="1:20" x14ac:dyDescent="0.35">
      <c r="A263" t="s">
        <v>370</v>
      </c>
      <c r="B263" s="1">
        <v>44603</v>
      </c>
      <c r="C263">
        <v>2022</v>
      </c>
      <c r="D263">
        <v>2</v>
      </c>
      <c r="E263" t="s">
        <v>14</v>
      </c>
      <c r="F263">
        <v>101</v>
      </c>
      <c r="G263" t="s">
        <v>26</v>
      </c>
      <c r="H263" t="s">
        <v>30</v>
      </c>
      <c r="I263">
        <v>0</v>
      </c>
      <c r="J263">
        <v>1</v>
      </c>
      <c r="K263">
        <v>4.7</v>
      </c>
      <c r="L263">
        <v>7612</v>
      </c>
      <c r="M263" t="s">
        <v>17</v>
      </c>
      <c r="N263" t="str">
        <f>IF(ISNUMBER(SEARCH("Streaming", M263)), "streaming", "cinema")</f>
        <v>streaming</v>
      </c>
      <c r="O263" t="str">
        <f>IF(I263=1, "non-original", "original")</f>
        <v>original</v>
      </c>
      <c r="P263" t="str">
        <f>IF(J263 = 1, "franchise", "non-franchise")</f>
        <v>franchise</v>
      </c>
      <c r="Q263" t="str">
        <f>IF(OR(I263 = 1,J263 =1), "old", "new")</f>
        <v>old</v>
      </c>
      <c r="R263">
        <f t="shared" si="8"/>
        <v>0.54416995036787452</v>
      </c>
      <c r="S263">
        <f>IF(Q263="new",1.5,1)*(K263/10)*(1-(MIN(F263,180)/180))</f>
        <v>0.20627777777777778</v>
      </c>
      <c r="T263" t="str">
        <f t="shared" si="9"/>
        <v>Scenario 1: Strong Commitment</v>
      </c>
    </row>
    <row r="264" spans="1:20" x14ac:dyDescent="0.35">
      <c r="A264" t="s">
        <v>371</v>
      </c>
      <c r="B264" s="1">
        <v>44609</v>
      </c>
      <c r="C264">
        <v>2022</v>
      </c>
      <c r="D264">
        <v>2</v>
      </c>
      <c r="E264" t="s">
        <v>14</v>
      </c>
      <c r="F264">
        <v>96</v>
      </c>
      <c r="G264" t="s">
        <v>372</v>
      </c>
      <c r="H264" t="s">
        <v>24</v>
      </c>
      <c r="I264">
        <v>0</v>
      </c>
      <c r="J264">
        <v>0</v>
      </c>
      <c r="K264">
        <v>4.5</v>
      </c>
      <c r="L264">
        <v>8083</v>
      </c>
      <c r="M264" t="s">
        <v>17</v>
      </c>
      <c r="N264" t="str">
        <f>IF(ISNUMBER(SEARCH("Streaming", M264)), "streaming", "cinema")</f>
        <v>streaming</v>
      </c>
      <c r="O264" t="str">
        <f>IF(I264=1, "non-original", "original")</f>
        <v>original</v>
      </c>
      <c r="P264" t="str">
        <f>IF(J264 = 1, "franchise", "non-franchise")</f>
        <v>non-franchise</v>
      </c>
      <c r="Q264" t="str">
        <f>IF(OR(I264 = 1,J264 =1), "old", "new")</f>
        <v>new</v>
      </c>
      <c r="R264">
        <f t="shared" si="8"/>
        <v>0.34713687973691026</v>
      </c>
      <c r="S264">
        <f>IF(Q264="new",1.5,1)*(K264/10)*(1-(MIN(F264,180)/180))</f>
        <v>0.315</v>
      </c>
      <c r="T264" t="str">
        <f t="shared" si="9"/>
        <v>Scenario 2: Weak Commitment/Convenience</v>
      </c>
    </row>
    <row r="265" spans="1:20" x14ac:dyDescent="0.35">
      <c r="A265" t="s">
        <v>373</v>
      </c>
      <c r="B265" s="1">
        <v>44610</v>
      </c>
      <c r="C265">
        <v>2022</v>
      </c>
      <c r="D265">
        <v>2</v>
      </c>
      <c r="E265" t="s">
        <v>14</v>
      </c>
      <c r="F265">
        <v>83</v>
      </c>
      <c r="G265" t="s">
        <v>304</v>
      </c>
      <c r="H265" t="s">
        <v>24</v>
      </c>
      <c r="I265">
        <v>1</v>
      </c>
      <c r="J265">
        <v>1</v>
      </c>
      <c r="K265">
        <v>4.7</v>
      </c>
      <c r="L265">
        <v>69641</v>
      </c>
      <c r="M265" t="s">
        <v>17</v>
      </c>
      <c r="N265" t="str">
        <f>IF(ISNUMBER(SEARCH("Streaming", M265)), "streaming", "cinema")</f>
        <v>streaming</v>
      </c>
      <c r="O265" t="str">
        <f>IF(I265=1, "non-original", "original")</f>
        <v>non-original</v>
      </c>
      <c r="P265" t="str">
        <f>IF(J265 = 1, "franchise", "non-franchise")</f>
        <v>franchise</v>
      </c>
      <c r="Q265" t="str">
        <f>IF(OR(I265 = 1,J265 =1), "old", "new")</f>
        <v>old</v>
      </c>
      <c r="R265">
        <f t="shared" si="8"/>
        <v>0.55794858848745366</v>
      </c>
      <c r="S265">
        <f>IF(Q265="new",1.5,1)*(K265/10)*(1-(MIN(F265,180)/180))</f>
        <v>0.25327777777777777</v>
      </c>
      <c r="T265" t="str">
        <f t="shared" si="9"/>
        <v>Scenario 1: Strong Commitment</v>
      </c>
    </row>
    <row r="266" spans="1:20" x14ac:dyDescent="0.35">
      <c r="A266" t="s">
        <v>374</v>
      </c>
      <c r="B266" s="1">
        <v>44615</v>
      </c>
      <c r="C266">
        <v>2022</v>
      </c>
      <c r="D266">
        <v>2</v>
      </c>
      <c r="E266" t="s">
        <v>14</v>
      </c>
      <c r="F266">
        <v>110</v>
      </c>
      <c r="G266" t="s">
        <v>34</v>
      </c>
      <c r="H266" t="s">
        <v>30</v>
      </c>
      <c r="I266">
        <v>0</v>
      </c>
      <c r="J266">
        <v>0</v>
      </c>
      <c r="K266">
        <v>5.0999999999999996</v>
      </c>
      <c r="L266">
        <v>2907</v>
      </c>
      <c r="M266" t="s">
        <v>17</v>
      </c>
      <c r="N266" t="str">
        <f>IF(ISNUMBER(SEARCH("Streaming", M266)), "streaming", "cinema")</f>
        <v>streaming</v>
      </c>
      <c r="O266" t="str">
        <f>IF(I266=1, "non-original", "original")</f>
        <v>original</v>
      </c>
      <c r="P266" t="str">
        <f>IF(J266 = 1, "franchise", "non-franchise")</f>
        <v>non-franchise</v>
      </c>
      <c r="Q266" t="str">
        <f>IF(OR(I266 = 1,J266 =1), "old", "new")</f>
        <v>new</v>
      </c>
      <c r="R266">
        <f t="shared" si="8"/>
        <v>0.35255221990619379</v>
      </c>
      <c r="S266">
        <f>IF(Q266="new",1.5,1)*(K266/10)*(1-(MIN(F266,180)/180))</f>
        <v>0.29749999999999999</v>
      </c>
      <c r="T266" t="str">
        <f t="shared" si="9"/>
        <v>Scenario 2: Weak Commitment/Convenience</v>
      </c>
    </row>
    <row r="267" spans="1:20" x14ac:dyDescent="0.35">
      <c r="A267" t="s">
        <v>375</v>
      </c>
      <c r="B267" s="1">
        <v>44617</v>
      </c>
      <c r="C267">
        <v>2022</v>
      </c>
      <c r="D267">
        <v>2</v>
      </c>
      <c r="E267" t="s">
        <v>14</v>
      </c>
      <c r="F267">
        <v>96</v>
      </c>
      <c r="G267" t="s">
        <v>49</v>
      </c>
      <c r="H267" t="s">
        <v>24</v>
      </c>
      <c r="I267">
        <v>1</v>
      </c>
      <c r="J267">
        <v>1</v>
      </c>
      <c r="K267">
        <v>5.8</v>
      </c>
      <c r="L267">
        <v>5994</v>
      </c>
      <c r="M267" t="s">
        <v>88</v>
      </c>
      <c r="N267" t="str">
        <f>IF(ISNUMBER(SEARCH("Streaming", M267)), "streaming", "cinema")</f>
        <v>streaming</v>
      </c>
      <c r="O267" t="str">
        <f>IF(I267=1, "non-original", "original")</f>
        <v>non-original</v>
      </c>
      <c r="P267" t="str">
        <f>IF(J267 = 1, "franchise", "non-franchise")</f>
        <v>franchise</v>
      </c>
      <c r="Q267" t="str">
        <f>IF(OR(I267 = 1,J267 =1), "old", "new")</f>
        <v>old</v>
      </c>
      <c r="R267">
        <f t="shared" si="8"/>
        <v>0.50340132194321907</v>
      </c>
      <c r="S267">
        <f>IF(Q267="new",1.5,1)*(K267/10)*(1-(MIN(F267,180)/180))</f>
        <v>0.27066666666666667</v>
      </c>
      <c r="T267" t="str">
        <f t="shared" si="9"/>
        <v>Scenario 1: Strong Commitment</v>
      </c>
    </row>
    <row r="268" spans="1:20" x14ac:dyDescent="0.35">
      <c r="A268" t="s">
        <v>376</v>
      </c>
      <c r="B268" s="1">
        <v>44622</v>
      </c>
      <c r="C268">
        <v>2022</v>
      </c>
      <c r="D268">
        <v>3</v>
      </c>
      <c r="E268" t="s">
        <v>38</v>
      </c>
      <c r="F268">
        <v>103</v>
      </c>
      <c r="G268" t="s">
        <v>377</v>
      </c>
      <c r="H268" t="s">
        <v>24</v>
      </c>
      <c r="I268">
        <v>0</v>
      </c>
      <c r="J268">
        <v>0</v>
      </c>
      <c r="K268">
        <v>6.5</v>
      </c>
      <c r="L268">
        <v>31544</v>
      </c>
      <c r="M268" t="s">
        <v>17</v>
      </c>
      <c r="N268" t="str">
        <f>IF(ISNUMBER(SEARCH("Streaming", M268)), "streaming", "cinema")</f>
        <v>streaming</v>
      </c>
      <c r="O268" t="str">
        <f>IF(I268=1, "non-original", "original")</f>
        <v>original</v>
      </c>
      <c r="P268" t="str">
        <f>IF(J268 = 1, "franchise", "non-franchise")</f>
        <v>non-franchise</v>
      </c>
      <c r="Q268" t="str">
        <f>IF(OR(I268 = 1,J268 =1), "old", "new")</f>
        <v>new</v>
      </c>
      <c r="R268">
        <f t="shared" si="8"/>
        <v>0.42881271265217558</v>
      </c>
      <c r="S268">
        <f>IF(Q268="new",1.5,1)*(K268/10)*(1-(MIN(F268,180)/180))</f>
        <v>0.41708333333333342</v>
      </c>
      <c r="T268" t="str">
        <f t="shared" si="9"/>
        <v>Scenario 3: Strong Convenience</v>
      </c>
    </row>
    <row r="269" spans="1:20" x14ac:dyDescent="0.35">
      <c r="A269" t="s">
        <v>378</v>
      </c>
      <c r="B269" s="1">
        <v>44623</v>
      </c>
      <c r="C269">
        <v>2022</v>
      </c>
      <c r="D269">
        <v>3</v>
      </c>
      <c r="E269" t="s">
        <v>38</v>
      </c>
      <c r="F269">
        <v>91</v>
      </c>
      <c r="G269" t="s">
        <v>19</v>
      </c>
      <c r="H269" t="s">
        <v>27</v>
      </c>
      <c r="I269">
        <v>0</v>
      </c>
      <c r="J269">
        <v>0</v>
      </c>
      <c r="K269">
        <v>5.7</v>
      </c>
      <c r="L269">
        <v>35694</v>
      </c>
      <c r="M269" t="s">
        <v>17</v>
      </c>
      <c r="N269" t="str">
        <f>IF(ISNUMBER(SEARCH("Streaming", M269)), "streaming", "cinema")</f>
        <v>streaming</v>
      </c>
      <c r="O269" t="str">
        <f>IF(I269=1, "non-original", "original")</f>
        <v>original</v>
      </c>
      <c r="P269" t="str">
        <f>IF(J269 = 1, "franchise", "non-franchise")</f>
        <v>non-franchise</v>
      </c>
      <c r="Q269" t="str">
        <f>IF(OR(I269 = 1,J269 =1), "old", "new")</f>
        <v>new</v>
      </c>
      <c r="R269">
        <f t="shared" si="8"/>
        <v>0.38337421474925953</v>
      </c>
      <c r="S269">
        <f>IF(Q269="new",1.5,1)*(K269/10)*(1-(MIN(F269,180)/180))</f>
        <v>0.42275000000000007</v>
      </c>
      <c r="T269" t="str">
        <f t="shared" si="9"/>
        <v>Scenario 3: Strong Convenience</v>
      </c>
    </row>
    <row r="270" spans="1:20" x14ac:dyDescent="0.35">
      <c r="A270" t="s">
        <v>379</v>
      </c>
      <c r="B270" s="1">
        <v>44631</v>
      </c>
      <c r="C270">
        <v>2022</v>
      </c>
      <c r="D270">
        <v>3</v>
      </c>
      <c r="E270" t="s">
        <v>38</v>
      </c>
      <c r="F270">
        <v>106</v>
      </c>
      <c r="G270" t="s">
        <v>192</v>
      </c>
      <c r="H270" t="s">
        <v>27</v>
      </c>
      <c r="I270">
        <v>0</v>
      </c>
      <c r="J270">
        <v>0</v>
      </c>
      <c r="K270">
        <v>6.7</v>
      </c>
      <c r="L270">
        <v>255832</v>
      </c>
      <c r="M270" t="s">
        <v>88</v>
      </c>
      <c r="N270" t="str">
        <f>IF(ISNUMBER(SEARCH("Streaming", M270)), "streaming", "cinema")</f>
        <v>streaming</v>
      </c>
      <c r="O270" t="str">
        <f>IF(I270=1, "non-original", "original")</f>
        <v>original</v>
      </c>
      <c r="P270" t="str">
        <f>IF(J270 = 1, "franchise", "non-franchise")</f>
        <v>non-franchise</v>
      </c>
      <c r="Q270" t="str">
        <f>IF(OR(I270 = 1,J270 =1), "old", "new")</f>
        <v>new</v>
      </c>
      <c r="R270">
        <f t="shared" si="8"/>
        <v>0.53047068984040002</v>
      </c>
      <c r="S270">
        <f>IF(Q270="new",1.5,1)*(K270/10)*(1-(MIN(F270,180)/180))</f>
        <v>0.41316666666666668</v>
      </c>
      <c r="T270" t="str">
        <f t="shared" si="9"/>
        <v>Scenario 4: Hybrid Logic</v>
      </c>
    </row>
    <row r="271" spans="1:20" x14ac:dyDescent="0.35">
      <c r="A271" t="s">
        <v>380</v>
      </c>
      <c r="B271" s="1">
        <v>44637</v>
      </c>
      <c r="C271">
        <v>2022</v>
      </c>
      <c r="D271">
        <v>3</v>
      </c>
      <c r="E271" t="s">
        <v>38</v>
      </c>
      <c r="F271">
        <v>93</v>
      </c>
      <c r="G271" t="s">
        <v>34</v>
      </c>
      <c r="H271" t="s">
        <v>86</v>
      </c>
      <c r="I271">
        <v>0</v>
      </c>
      <c r="J271">
        <v>0</v>
      </c>
      <c r="K271">
        <v>7.2</v>
      </c>
      <c r="L271">
        <v>13479</v>
      </c>
      <c r="M271" t="s">
        <v>17</v>
      </c>
      <c r="N271" t="str">
        <f>IF(ISNUMBER(SEARCH("Streaming", M271)), "streaming", "cinema")</f>
        <v>streaming</v>
      </c>
      <c r="O271" t="str">
        <f>IF(I271=1, "non-original", "original")</f>
        <v>original</v>
      </c>
      <c r="P271" t="str">
        <f>IF(J271 = 1, "franchise", "non-franchise")</f>
        <v>non-franchise</v>
      </c>
      <c r="Q271" t="str">
        <f>IF(OR(I271 = 1,J271 =1), "old", "new")</f>
        <v>new</v>
      </c>
      <c r="R271">
        <f t="shared" si="8"/>
        <v>0.35540167485529411</v>
      </c>
      <c r="S271">
        <f>IF(Q271="new",1.5,1)*(K271/10)*(1-(MIN(F271,180)/180))</f>
        <v>0.52200000000000002</v>
      </c>
      <c r="T271" t="str">
        <f t="shared" si="9"/>
        <v>Scenario 3: Strong Convenience</v>
      </c>
    </row>
    <row r="272" spans="1:20" x14ac:dyDescent="0.35">
      <c r="A272" t="s">
        <v>381</v>
      </c>
      <c r="B272" s="1">
        <v>44638</v>
      </c>
      <c r="C272">
        <v>2022</v>
      </c>
      <c r="D272">
        <v>3</v>
      </c>
      <c r="E272" t="s">
        <v>38</v>
      </c>
      <c r="F272">
        <v>114</v>
      </c>
      <c r="G272" t="s">
        <v>19</v>
      </c>
      <c r="H272" t="s">
        <v>24</v>
      </c>
      <c r="I272">
        <v>0</v>
      </c>
      <c r="J272">
        <v>0</v>
      </c>
      <c r="K272">
        <v>5.7</v>
      </c>
      <c r="L272">
        <v>28507</v>
      </c>
      <c r="M272" t="s">
        <v>88</v>
      </c>
      <c r="N272" t="str">
        <f>IF(ISNUMBER(SEARCH("Streaming", M272)), "streaming", "cinema")</f>
        <v>streaming</v>
      </c>
      <c r="O272" t="str">
        <f>IF(I272=1, "non-original", "original")</f>
        <v>original</v>
      </c>
      <c r="P272" t="str">
        <f>IF(J272 = 1, "franchise", "non-franchise")</f>
        <v>non-franchise</v>
      </c>
      <c r="Q272" t="str">
        <f>IF(OR(I272 = 1,J272 =1), "old", "new")</f>
        <v>new</v>
      </c>
      <c r="R272">
        <f t="shared" si="8"/>
        <v>0.4699701798547018</v>
      </c>
      <c r="S272">
        <f>IF(Q272="new",1.5,1)*(K272/10)*(1-(MIN(F272,180)/180))</f>
        <v>0.31350000000000006</v>
      </c>
      <c r="T272" t="str">
        <f t="shared" si="9"/>
        <v>Scenario 2: Weak Commitment/Convenience</v>
      </c>
    </row>
    <row r="273" spans="1:20" x14ac:dyDescent="0.35">
      <c r="A273" t="s">
        <v>382</v>
      </c>
      <c r="B273" s="1">
        <v>44638</v>
      </c>
      <c r="C273">
        <v>2022</v>
      </c>
      <c r="D273">
        <v>3</v>
      </c>
      <c r="E273" t="s">
        <v>38</v>
      </c>
      <c r="F273">
        <v>92</v>
      </c>
      <c r="G273" t="s">
        <v>19</v>
      </c>
      <c r="H273" t="s">
        <v>24</v>
      </c>
      <c r="I273">
        <v>0</v>
      </c>
      <c r="J273">
        <v>0</v>
      </c>
      <c r="K273">
        <v>5.7</v>
      </c>
      <c r="L273">
        <v>28516</v>
      </c>
      <c r="M273" t="s">
        <v>17</v>
      </c>
      <c r="N273" t="str">
        <f>IF(ISNUMBER(SEARCH("Streaming", M273)), "streaming", "cinema")</f>
        <v>streaming</v>
      </c>
      <c r="O273" t="str">
        <f>IF(I273=1, "non-original", "original")</f>
        <v>original</v>
      </c>
      <c r="P273" t="str">
        <f>IF(J273 = 1, "franchise", "non-franchise")</f>
        <v>non-franchise</v>
      </c>
      <c r="Q273" t="str">
        <f>IF(OR(I273 = 1,J273 =1), "old", "new")</f>
        <v>new</v>
      </c>
      <c r="R273">
        <f t="shared" si="8"/>
        <v>0.37928585147509192</v>
      </c>
      <c r="S273">
        <f>IF(Q273="new",1.5,1)*(K273/10)*(1-(MIN(F273,180)/180))</f>
        <v>0.41800000000000009</v>
      </c>
      <c r="T273" t="str">
        <f t="shared" si="9"/>
        <v>Scenario 3: Strong Convenience</v>
      </c>
    </row>
    <row r="274" spans="1:20" x14ac:dyDescent="0.35">
      <c r="A274" t="s">
        <v>383</v>
      </c>
      <c r="B274" s="1">
        <v>44641</v>
      </c>
      <c r="C274">
        <v>2022</v>
      </c>
      <c r="D274">
        <v>3</v>
      </c>
      <c r="E274" t="s">
        <v>38</v>
      </c>
      <c r="F274">
        <v>104</v>
      </c>
      <c r="G274" t="s">
        <v>29</v>
      </c>
      <c r="H274" t="s">
        <v>30</v>
      </c>
      <c r="I274">
        <v>0</v>
      </c>
      <c r="J274">
        <v>0</v>
      </c>
      <c r="K274">
        <v>5.8</v>
      </c>
      <c r="L274">
        <v>4671</v>
      </c>
      <c r="M274" t="s">
        <v>88</v>
      </c>
      <c r="N274" t="str">
        <f>IF(ISNUMBER(SEARCH("Streaming", M274)), "streaming", "cinema")</f>
        <v>streaming</v>
      </c>
      <c r="O274" t="str">
        <f>IF(I274=1, "non-original", "original")</f>
        <v>original</v>
      </c>
      <c r="P274" t="str">
        <f>IF(J274 = 1, "franchise", "non-franchise")</f>
        <v>non-franchise</v>
      </c>
      <c r="Q274" t="str">
        <f>IF(OR(I274 = 1,J274 =1), "old", "new")</f>
        <v>new</v>
      </c>
      <c r="R274">
        <f t="shared" si="8"/>
        <v>0.35314416344914185</v>
      </c>
      <c r="S274">
        <f>IF(Q274="new",1.5,1)*(K274/10)*(1-(MIN(F274,180)/180))</f>
        <v>0.36733333333333335</v>
      </c>
      <c r="T274" t="str">
        <f t="shared" si="9"/>
        <v>Scenario 3: Strong Convenience</v>
      </c>
    </row>
    <row r="275" spans="1:20" x14ac:dyDescent="0.35">
      <c r="A275" t="s">
        <v>384</v>
      </c>
      <c r="B275" s="1">
        <v>44644</v>
      </c>
      <c r="C275">
        <v>2022</v>
      </c>
      <c r="D275">
        <v>3</v>
      </c>
      <c r="E275" t="s">
        <v>38</v>
      </c>
      <c r="F275">
        <v>129</v>
      </c>
      <c r="G275" t="s">
        <v>34</v>
      </c>
      <c r="H275" t="s">
        <v>30</v>
      </c>
      <c r="I275">
        <v>0</v>
      </c>
      <c r="J275">
        <v>0</v>
      </c>
      <c r="K275">
        <v>6.6</v>
      </c>
      <c r="L275">
        <v>1074</v>
      </c>
      <c r="M275" t="s">
        <v>17</v>
      </c>
      <c r="N275" t="str">
        <f>IF(ISNUMBER(SEARCH("Streaming", M275)), "streaming", "cinema")</f>
        <v>streaming</v>
      </c>
      <c r="O275" t="str">
        <f>IF(I275=1, "non-original", "original")</f>
        <v>original</v>
      </c>
      <c r="P275" t="str">
        <f>IF(J275 = 1, "franchise", "non-franchise")</f>
        <v>non-franchise</v>
      </c>
      <c r="Q275" t="str">
        <f>IF(OR(I275 = 1,J275 =1), "old", "new")</f>
        <v>new</v>
      </c>
      <c r="R275">
        <f t="shared" si="8"/>
        <v>0.36182513201781569</v>
      </c>
      <c r="S275">
        <f>IF(Q275="new",1.5,1)*(K275/10)*(1-(MIN(F275,180)/180))</f>
        <v>0.28049999999999997</v>
      </c>
      <c r="T275" t="str">
        <f t="shared" si="9"/>
        <v>Scenario 2: Weak Commitment/Convenience</v>
      </c>
    </row>
    <row r="276" spans="1:20" x14ac:dyDescent="0.35">
      <c r="A276" t="s">
        <v>385</v>
      </c>
      <c r="B276" s="1">
        <v>44650</v>
      </c>
      <c r="C276">
        <v>2022</v>
      </c>
      <c r="D276">
        <v>3</v>
      </c>
      <c r="E276" t="s">
        <v>38</v>
      </c>
      <c r="F276">
        <v>118</v>
      </c>
      <c r="G276" t="s">
        <v>34</v>
      </c>
      <c r="H276" t="s">
        <v>30</v>
      </c>
      <c r="I276">
        <v>0</v>
      </c>
      <c r="J276">
        <v>0</v>
      </c>
      <c r="K276">
        <v>5.6</v>
      </c>
      <c r="L276">
        <v>4440</v>
      </c>
      <c r="M276" t="s">
        <v>88</v>
      </c>
      <c r="N276" t="str">
        <f>IF(ISNUMBER(SEARCH("Streaming", M276)), "streaming", "cinema")</f>
        <v>streaming</v>
      </c>
      <c r="O276" t="str">
        <f>IF(I276=1, "non-original", "original")</f>
        <v>original</v>
      </c>
      <c r="P276" t="str">
        <f>IF(J276 = 1, "franchise", "non-franchise")</f>
        <v>non-franchise</v>
      </c>
      <c r="Q276" t="str">
        <f>IF(OR(I276 = 1,J276 =1), "old", "new")</f>
        <v>new</v>
      </c>
      <c r="R276">
        <f t="shared" si="8"/>
        <v>0.39827756425291055</v>
      </c>
      <c r="S276">
        <f>IF(Q276="new",1.5,1)*(K276/10)*(1-(MIN(F276,180)/180))</f>
        <v>0.28933333333333328</v>
      </c>
      <c r="T276" t="str">
        <f t="shared" si="9"/>
        <v>Scenario 2: Weak Commitment/Convenience</v>
      </c>
    </row>
    <row r="277" spans="1:20" x14ac:dyDescent="0.35">
      <c r="A277" t="s">
        <v>386</v>
      </c>
      <c r="B277" s="1">
        <v>44652</v>
      </c>
      <c r="C277">
        <v>2022</v>
      </c>
      <c r="D277">
        <v>4</v>
      </c>
      <c r="E277" t="s">
        <v>38</v>
      </c>
      <c r="F277">
        <v>88</v>
      </c>
      <c r="G277" t="s">
        <v>90</v>
      </c>
      <c r="H277" t="s">
        <v>30</v>
      </c>
      <c r="I277">
        <v>0</v>
      </c>
      <c r="J277">
        <v>1</v>
      </c>
      <c r="K277">
        <v>4.7</v>
      </c>
      <c r="L277">
        <v>727</v>
      </c>
      <c r="M277" t="s">
        <v>17</v>
      </c>
      <c r="N277" t="str">
        <f>IF(ISNUMBER(SEARCH("Streaming", M277)), "streaming", "cinema")</f>
        <v>streaming</v>
      </c>
      <c r="O277" t="str">
        <f>IF(I277=1, "non-original", "original")</f>
        <v>original</v>
      </c>
      <c r="P277" t="str">
        <f>IF(J277 = 1, "franchise", "non-franchise")</f>
        <v>franchise</v>
      </c>
      <c r="Q277" t="str">
        <f>IF(OR(I277 = 1,J277 =1), "old", "new")</f>
        <v>old</v>
      </c>
      <c r="R277">
        <f t="shared" si="8"/>
        <v>0.34953878567685709</v>
      </c>
      <c r="S277">
        <f>IF(Q277="new",1.5,1)*(K277/10)*(1-(MIN(F277,180)/180))</f>
        <v>0.24022222222222223</v>
      </c>
      <c r="T277" t="str">
        <f t="shared" si="9"/>
        <v>Scenario 2: Weak Commitment/Convenience</v>
      </c>
    </row>
    <row r="278" spans="1:20" x14ac:dyDescent="0.35">
      <c r="A278" t="s">
        <v>387</v>
      </c>
      <c r="B278" s="1">
        <v>44652</v>
      </c>
      <c r="C278">
        <v>2022</v>
      </c>
      <c r="D278">
        <v>4</v>
      </c>
      <c r="E278" t="s">
        <v>38</v>
      </c>
      <c r="F278">
        <v>126</v>
      </c>
      <c r="G278" t="s">
        <v>21</v>
      </c>
      <c r="H278" t="s">
        <v>24</v>
      </c>
      <c r="I278">
        <v>0</v>
      </c>
      <c r="J278">
        <v>1</v>
      </c>
      <c r="K278">
        <v>4.7</v>
      </c>
      <c r="L278">
        <v>30317</v>
      </c>
      <c r="M278" t="s">
        <v>17</v>
      </c>
      <c r="N278" t="str">
        <f>IF(ISNUMBER(SEARCH("Streaming", M278)), "streaming", "cinema")</f>
        <v>streaming</v>
      </c>
      <c r="O278" t="str">
        <f>IF(I278=1, "non-original", "original")</f>
        <v>original</v>
      </c>
      <c r="P278" t="str">
        <f>IF(J278 = 1, "franchise", "non-franchise")</f>
        <v>franchise</v>
      </c>
      <c r="Q278" t="str">
        <f>IF(OR(I278 = 1,J278 =1), "old", "new")</f>
        <v>old</v>
      </c>
      <c r="R278">
        <f t="shared" si="8"/>
        <v>0.78383692847949238</v>
      </c>
      <c r="S278">
        <f>IF(Q278="new",1.5,1)*(K278/10)*(1-(MIN(F278,180)/180))</f>
        <v>0.14100000000000004</v>
      </c>
      <c r="T278" t="str">
        <f t="shared" si="9"/>
        <v>Scenario 1: Strong Commitment</v>
      </c>
    </row>
    <row r="279" spans="1:20" x14ac:dyDescent="0.35">
      <c r="A279" t="s">
        <v>388</v>
      </c>
      <c r="B279" s="1">
        <v>44653</v>
      </c>
      <c r="C279">
        <v>2022</v>
      </c>
      <c r="D279">
        <v>4</v>
      </c>
      <c r="E279" t="s">
        <v>38</v>
      </c>
      <c r="F279">
        <v>112</v>
      </c>
      <c r="G279" t="s">
        <v>90</v>
      </c>
      <c r="H279" t="s">
        <v>30</v>
      </c>
      <c r="I279">
        <v>0</v>
      </c>
      <c r="J279">
        <v>0</v>
      </c>
      <c r="K279">
        <v>6.6</v>
      </c>
      <c r="L279">
        <v>2798</v>
      </c>
      <c r="M279" t="s">
        <v>17</v>
      </c>
      <c r="N279" t="str">
        <f>IF(ISNUMBER(SEARCH("Streaming", M279)), "streaming", "cinema")</f>
        <v>streaming</v>
      </c>
      <c r="O279" t="str">
        <f>IF(I279=1, "non-original", "original")</f>
        <v>original</v>
      </c>
      <c r="P279" t="str">
        <f>IF(J279 = 1, "franchise", "non-franchise")</f>
        <v>non-franchise</v>
      </c>
      <c r="Q279" t="str">
        <f>IF(OR(I279 = 1,J279 =1), "old", "new")</f>
        <v>new</v>
      </c>
      <c r="R279">
        <f t="shared" si="8"/>
        <v>0.35724206201854092</v>
      </c>
      <c r="S279">
        <f>IF(Q279="new",1.5,1)*(K279/10)*(1-(MIN(F279,180)/180))</f>
        <v>0.37399999999999994</v>
      </c>
      <c r="T279" t="str">
        <f t="shared" si="9"/>
        <v>Scenario 3: Strong Convenience</v>
      </c>
    </row>
    <row r="280" spans="1:20" x14ac:dyDescent="0.35">
      <c r="A280" t="s">
        <v>389</v>
      </c>
      <c r="B280" s="1">
        <v>44659</v>
      </c>
      <c r="C280">
        <v>2022</v>
      </c>
      <c r="D280">
        <v>4</v>
      </c>
      <c r="E280" t="s">
        <v>38</v>
      </c>
      <c r="F280">
        <v>139</v>
      </c>
      <c r="G280" t="s">
        <v>34</v>
      </c>
      <c r="H280" t="s">
        <v>30</v>
      </c>
      <c r="I280">
        <v>0</v>
      </c>
      <c r="J280">
        <v>0</v>
      </c>
      <c r="K280">
        <v>5.6</v>
      </c>
      <c r="L280">
        <v>1142</v>
      </c>
      <c r="M280" t="s">
        <v>17</v>
      </c>
      <c r="N280" t="str">
        <f>IF(ISNUMBER(SEARCH("Streaming", M280)), "streaming", "cinema")</f>
        <v>streaming</v>
      </c>
      <c r="O280" t="str">
        <f>IF(I280=1, "non-original", "original")</f>
        <v>original</v>
      </c>
      <c r="P280" t="str">
        <f>IF(J280 = 1, "franchise", "non-franchise")</f>
        <v>non-franchise</v>
      </c>
      <c r="Q280" t="str">
        <f>IF(OR(I280 = 1,J280 =1), "old", "new")</f>
        <v>new</v>
      </c>
      <c r="R280">
        <f t="shared" si="8"/>
        <v>0.39330306261274167</v>
      </c>
      <c r="S280">
        <f>IF(Q280="new",1.5,1)*(K280/10)*(1-(MIN(F280,180)/180))</f>
        <v>0.19133333333333327</v>
      </c>
      <c r="T280" t="str">
        <f t="shared" si="9"/>
        <v>Scenario 2: Weak Commitment/Convenience</v>
      </c>
    </row>
    <row r="281" spans="1:20" x14ac:dyDescent="0.35">
      <c r="A281" t="s">
        <v>390</v>
      </c>
      <c r="B281" s="1">
        <v>44659</v>
      </c>
      <c r="C281">
        <v>2022</v>
      </c>
      <c r="D281">
        <v>4</v>
      </c>
      <c r="E281" t="s">
        <v>38</v>
      </c>
      <c r="F281">
        <v>98</v>
      </c>
      <c r="G281" t="s">
        <v>391</v>
      </c>
      <c r="H281" t="s">
        <v>24</v>
      </c>
      <c r="I281">
        <v>0</v>
      </c>
      <c r="J281">
        <v>0</v>
      </c>
      <c r="K281">
        <v>6.7</v>
      </c>
      <c r="L281">
        <v>36487</v>
      </c>
      <c r="M281" t="s">
        <v>17</v>
      </c>
      <c r="N281" t="str">
        <f>IF(ISNUMBER(SEARCH("Streaming", M281)), "streaming", "cinema")</f>
        <v>streaming</v>
      </c>
      <c r="O281" t="str">
        <f>IF(I281=1, "non-original", "original")</f>
        <v>original</v>
      </c>
      <c r="P281" t="str">
        <f>IF(J281 = 1, "franchise", "non-franchise")</f>
        <v>non-franchise</v>
      </c>
      <c r="Q281" t="str">
        <f>IF(OR(I281 = 1,J281 =1), "old", "new")</f>
        <v>new</v>
      </c>
      <c r="R281">
        <f t="shared" si="8"/>
        <v>0.41372996631534398</v>
      </c>
      <c r="S281">
        <f>IF(Q281="new",1.5,1)*(K281/10)*(1-(MIN(F281,180)/180))</f>
        <v>0.45783333333333343</v>
      </c>
      <c r="T281" t="str">
        <f t="shared" si="9"/>
        <v>Scenario 3: Strong Convenience</v>
      </c>
    </row>
    <row r="282" spans="1:20" x14ac:dyDescent="0.35">
      <c r="A282" t="s">
        <v>392</v>
      </c>
      <c r="B282" s="1">
        <v>44659</v>
      </c>
      <c r="C282">
        <v>2022</v>
      </c>
      <c r="D282">
        <v>4</v>
      </c>
      <c r="E282" t="s">
        <v>38</v>
      </c>
      <c r="F282">
        <v>125</v>
      </c>
      <c r="G282" t="s">
        <v>393</v>
      </c>
      <c r="H282" t="s">
        <v>30</v>
      </c>
      <c r="I282">
        <v>0</v>
      </c>
      <c r="J282">
        <v>0</v>
      </c>
      <c r="K282">
        <v>6.3</v>
      </c>
      <c r="L282">
        <v>5248</v>
      </c>
      <c r="M282" t="s">
        <v>88</v>
      </c>
      <c r="N282" t="str">
        <f>IF(ISNUMBER(SEARCH("Streaming", M282)), "streaming", "cinema")</f>
        <v>streaming</v>
      </c>
      <c r="O282" t="str">
        <f>IF(I282=1, "non-original", "original")</f>
        <v>original</v>
      </c>
      <c r="P282" t="str">
        <f>IF(J282 = 1, "franchise", "non-franchise")</f>
        <v>non-franchise</v>
      </c>
      <c r="Q282" t="str">
        <f>IF(OR(I282 = 1,J282 =1), "old", "new")</f>
        <v>new</v>
      </c>
      <c r="R282">
        <f t="shared" si="8"/>
        <v>0.43030332433485641</v>
      </c>
      <c r="S282">
        <f>IF(Q282="new",1.5,1)*(K282/10)*(1-(MIN(F282,180)/180))</f>
        <v>0.28875000000000006</v>
      </c>
      <c r="T282" t="str">
        <f t="shared" si="9"/>
        <v>Scenario 2: Weak Commitment/Convenience</v>
      </c>
    </row>
    <row r="283" spans="1:20" x14ac:dyDescent="0.35">
      <c r="A283" t="s">
        <v>394</v>
      </c>
      <c r="B283" s="1">
        <v>44666</v>
      </c>
      <c r="C283">
        <v>2022</v>
      </c>
      <c r="D283">
        <v>4</v>
      </c>
      <c r="E283" t="s">
        <v>38</v>
      </c>
      <c r="F283">
        <v>85</v>
      </c>
      <c r="G283" t="s">
        <v>92</v>
      </c>
      <c r="H283" t="s">
        <v>16</v>
      </c>
      <c r="I283">
        <v>0</v>
      </c>
      <c r="J283">
        <v>0</v>
      </c>
      <c r="K283">
        <v>4.8</v>
      </c>
      <c r="L283">
        <v>28697</v>
      </c>
      <c r="M283" t="s">
        <v>17</v>
      </c>
      <c r="N283" t="str">
        <f>IF(ISNUMBER(SEARCH("Streaming", M283)), "streaming", "cinema")</f>
        <v>streaming</v>
      </c>
      <c r="O283" t="str">
        <f>IF(I283=1, "non-original", "original")</f>
        <v>original</v>
      </c>
      <c r="P283" t="str">
        <f>IF(J283 = 1, "franchise", "non-franchise")</f>
        <v>non-franchise</v>
      </c>
      <c r="Q283" t="str">
        <f>IF(OR(I283 = 1,J283 =1), "old", "new")</f>
        <v>new</v>
      </c>
      <c r="R283">
        <f t="shared" si="8"/>
        <v>0.35064328829980423</v>
      </c>
      <c r="S283">
        <f>IF(Q283="new",1.5,1)*(K283/10)*(1-(MIN(F283,180)/180))</f>
        <v>0.38</v>
      </c>
      <c r="T283" t="str">
        <f t="shared" si="9"/>
        <v>Scenario 3: Strong Convenience</v>
      </c>
    </row>
    <row r="284" spans="1:20" x14ac:dyDescent="0.35">
      <c r="A284" t="s">
        <v>395</v>
      </c>
      <c r="B284" s="1">
        <v>44667</v>
      </c>
      <c r="C284">
        <v>2022</v>
      </c>
      <c r="D284">
        <v>4</v>
      </c>
      <c r="E284" t="s">
        <v>38</v>
      </c>
      <c r="F284">
        <v>111</v>
      </c>
      <c r="G284" t="s">
        <v>34</v>
      </c>
      <c r="H284" t="s">
        <v>30</v>
      </c>
      <c r="I284">
        <v>0</v>
      </c>
      <c r="J284">
        <v>0</v>
      </c>
      <c r="K284">
        <v>4</v>
      </c>
      <c r="L284">
        <v>227</v>
      </c>
      <c r="M284" t="s">
        <v>17</v>
      </c>
      <c r="N284" t="str">
        <f>IF(ISNUMBER(SEARCH("Streaming", M284)), "streaming", "cinema")</f>
        <v>streaming</v>
      </c>
      <c r="O284" t="str">
        <f>IF(I284=1, "non-original", "original")</f>
        <v>original</v>
      </c>
      <c r="P284" t="str">
        <f>IF(J284 = 1, "franchise", "non-franchise")</f>
        <v>non-franchise</v>
      </c>
      <c r="Q284" t="str">
        <f>IF(OR(I284 = 1,J284 =1), "old", "new")</f>
        <v>new</v>
      </c>
      <c r="R284">
        <f t="shared" si="8"/>
        <v>0.24200564722130299</v>
      </c>
      <c r="S284">
        <f>IF(Q284="new",1.5,1)*(K284/10)*(1-(MIN(F284,180)/180))</f>
        <v>0.23</v>
      </c>
      <c r="T284" t="str">
        <f t="shared" si="9"/>
        <v>Scenario 2: Weak Commitment/Convenience</v>
      </c>
    </row>
    <row r="285" spans="1:20" x14ac:dyDescent="0.35">
      <c r="A285" t="s">
        <v>396</v>
      </c>
      <c r="B285" s="1">
        <v>44678</v>
      </c>
      <c r="C285">
        <v>2022</v>
      </c>
      <c r="D285">
        <v>4</v>
      </c>
      <c r="E285" t="s">
        <v>38</v>
      </c>
      <c r="F285">
        <v>111</v>
      </c>
      <c r="G285" t="s">
        <v>397</v>
      </c>
      <c r="H285" t="s">
        <v>24</v>
      </c>
      <c r="I285">
        <v>0</v>
      </c>
      <c r="J285">
        <v>1</v>
      </c>
      <c r="K285">
        <v>2.7</v>
      </c>
      <c r="L285">
        <v>28005</v>
      </c>
      <c r="M285" t="s">
        <v>88</v>
      </c>
      <c r="N285" t="str">
        <f>IF(ISNUMBER(SEARCH("Streaming", M285)), "streaming", "cinema")</f>
        <v>streaming</v>
      </c>
      <c r="O285" t="str">
        <f>IF(I285=1, "non-original", "original")</f>
        <v>original</v>
      </c>
      <c r="P285" t="str">
        <f>IF(J285 = 1, "franchise", "non-franchise")</f>
        <v>franchise</v>
      </c>
      <c r="Q285" t="str">
        <f>IF(OR(I285 = 1,J285 =1), "old", "new")</f>
        <v>old</v>
      </c>
      <c r="R285">
        <f t="shared" si="8"/>
        <v>0.68521496965286999</v>
      </c>
      <c r="S285">
        <f>IF(Q285="new",1.5,1)*(K285/10)*(1-(MIN(F285,180)/180))</f>
        <v>0.10349999999999999</v>
      </c>
      <c r="T285" t="str">
        <f t="shared" si="9"/>
        <v>Scenario 1: Strong Commitment</v>
      </c>
    </row>
    <row r="286" spans="1:20" x14ac:dyDescent="0.35">
      <c r="A286" t="s">
        <v>398</v>
      </c>
      <c r="B286" s="1">
        <v>44678</v>
      </c>
      <c r="C286">
        <v>2022</v>
      </c>
      <c r="D286">
        <v>4</v>
      </c>
      <c r="E286" t="s">
        <v>38</v>
      </c>
      <c r="F286">
        <v>101</v>
      </c>
      <c r="G286" t="s">
        <v>49</v>
      </c>
      <c r="H286" t="s">
        <v>27</v>
      </c>
      <c r="I286">
        <v>0</v>
      </c>
      <c r="J286">
        <v>0</v>
      </c>
      <c r="K286">
        <v>6.3</v>
      </c>
      <c r="L286">
        <v>4803</v>
      </c>
      <c r="M286" t="s">
        <v>17</v>
      </c>
      <c r="N286" t="str">
        <f>IF(ISNUMBER(SEARCH("Streaming", M286)), "streaming", "cinema")</f>
        <v>streaming</v>
      </c>
      <c r="O286" t="str">
        <f>IF(I286=1, "non-original", "original")</f>
        <v>original</v>
      </c>
      <c r="P286" t="str">
        <f>IF(J286 = 1, "franchise", "non-franchise")</f>
        <v>non-franchise</v>
      </c>
      <c r="Q286" t="str">
        <f>IF(OR(I286 = 1,J286 =1), "old", "new")</f>
        <v>new</v>
      </c>
      <c r="R286">
        <f t="shared" si="8"/>
        <v>0.34408847978542095</v>
      </c>
      <c r="S286">
        <f>IF(Q286="new",1.5,1)*(K286/10)*(1-(MIN(F286,180)/180))</f>
        <v>0.41475000000000001</v>
      </c>
      <c r="T286" t="str">
        <f t="shared" si="9"/>
        <v>Scenario 3: Strong Convenience</v>
      </c>
    </row>
    <row r="287" spans="1:20" x14ac:dyDescent="0.35">
      <c r="A287" t="s">
        <v>399</v>
      </c>
      <c r="B287" s="1">
        <v>44679</v>
      </c>
      <c r="C287">
        <v>2022</v>
      </c>
      <c r="D287">
        <v>4</v>
      </c>
      <c r="E287" t="s">
        <v>38</v>
      </c>
      <c r="F287">
        <v>101</v>
      </c>
      <c r="G287" t="s">
        <v>400</v>
      </c>
      <c r="H287" t="s">
        <v>56</v>
      </c>
      <c r="I287">
        <v>0</v>
      </c>
      <c r="J287">
        <v>0</v>
      </c>
      <c r="K287">
        <v>6.4</v>
      </c>
      <c r="L287">
        <v>9615</v>
      </c>
      <c r="M287" t="s">
        <v>17</v>
      </c>
      <c r="N287" t="str">
        <f>IF(ISNUMBER(SEARCH("Streaming", M287)), "streaming", "cinema")</f>
        <v>streaming</v>
      </c>
      <c r="O287" t="str">
        <f>IF(I287=1, "non-original", "original")</f>
        <v>original</v>
      </c>
      <c r="P287" t="str">
        <f>IF(J287 = 1, "franchise", "non-franchise")</f>
        <v>non-franchise</v>
      </c>
      <c r="Q287" t="str">
        <f>IF(OR(I287 = 1,J287 =1), "old", "new")</f>
        <v>new</v>
      </c>
      <c r="R287">
        <f t="shared" si="8"/>
        <v>0.37226192591105867</v>
      </c>
      <c r="S287">
        <f>IF(Q287="new",1.5,1)*(K287/10)*(1-(MIN(F287,180)/180))</f>
        <v>0.42133333333333334</v>
      </c>
      <c r="T287" t="str">
        <f t="shared" si="9"/>
        <v>Scenario 3: Strong Convenience</v>
      </c>
    </row>
    <row r="288" spans="1:20" x14ac:dyDescent="0.35">
      <c r="A288" t="s">
        <v>401</v>
      </c>
      <c r="B288" s="1">
        <v>44687</v>
      </c>
      <c r="C288">
        <v>2022</v>
      </c>
      <c r="D288">
        <v>5</v>
      </c>
      <c r="E288" t="s">
        <v>38</v>
      </c>
      <c r="F288">
        <v>107</v>
      </c>
      <c r="G288" t="s">
        <v>34</v>
      </c>
      <c r="H288" t="s">
        <v>30</v>
      </c>
      <c r="I288">
        <v>0</v>
      </c>
      <c r="J288">
        <v>0</v>
      </c>
      <c r="K288">
        <v>6.2</v>
      </c>
      <c r="L288">
        <v>10601</v>
      </c>
      <c r="M288" t="s">
        <v>17</v>
      </c>
      <c r="N288" t="str">
        <f>IF(ISNUMBER(SEARCH("Streaming", M288)), "streaming", "cinema")</f>
        <v>streaming</v>
      </c>
      <c r="O288" t="str">
        <f>IF(I288=1, "non-original", "original")</f>
        <v>original</v>
      </c>
      <c r="P288" t="str">
        <f>IF(J288 = 1, "franchise", "non-franchise")</f>
        <v>non-franchise</v>
      </c>
      <c r="Q288" t="str">
        <f>IF(OR(I288 = 1,J288 =1), "old", "new")</f>
        <v>new</v>
      </c>
      <c r="R288">
        <f t="shared" si="8"/>
        <v>0.39857453957431355</v>
      </c>
      <c r="S288">
        <f>IF(Q288="new",1.5,1)*(K288/10)*(1-(MIN(F288,180)/180))</f>
        <v>0.37716666666666665</v>
      </c>
      <c r="T288" t="str">
        <f t="shared" si="9"/>
        <v>Scenario 3: Strong Convenience</v>
      </c>
    </row>
    <row r="289" spans="1:20" x14ac:dyDescent="0.35">
      <c r="A289" t="s">
        <v>402</v>
      </c>
      <c r="B289" s="1">
        <v>44687</v>
      </c>
      <c r="C289">
        <v>2022</v>
      </c>
      <c r="D289">
        <v>5</v>
      </c>
      <c r="E289" t="s">
        <v>38</v>
      </c>
      <c r="F289">
        <v>121</v>
      </c>
      <c r="G289" t="s">
        <v>41</v>
      </c>
      <c r="H289" t="s">
        <v>30</v>
      </c>
      <c r="I289">
        <v>0</v>
      </c>
      <c r="J289">
        <v>0</v>
      </c>
      <c r="K289">
        <v>5.8</v>
      </c>
      <c r="L289">
        <v>9586</v>
      </c>
      <c r="M289" t="s">
        <v>88</v>
      </c>
      <c r="N289" t="str">
        <f>IF(ISNUMBER(SEARCH("Streaming", M289)), "streaming", "cinema")</f>
        <v>streaming</v>
      </c>
      <c r="O289" t="str">
        <f>IF(I289=1, "non-original", "original")</f>
        <v>original</v>
      </c>
      <c r="P289" t="str">
        <f>IF(J289 = 1, "franchise", "non-franchise")</f>
        <v>non-franchise</v>
      </c>
      <c r="Q289" t="str">
        <f>IF(OR(I289 = 1,J289 =1), "old", "new")</f>
        <v>new</v>
      </c>
      <c r="R289">
        <f t="shared" si="8"/>
        <v>0.44583026727785502</v>
      </c>
      <c r="S289">
        <f>IF(Q289="new",1.5,1)*(K289/10)*(1-(MIN(F289,180)/180))</f>
        <v>0.28516666666666657</v>
      </c>
      <c r="T289" t="str">
        <f t="shared" si="9"/>
        <v>Scenario 2: Weak Commitment/Convenience</v>
      </c>
    </row>
    <row r="290" spans="1:20" x14ac:dyDescent="0.35">
      <c r="A290" t="s">
        <v>403</v>
      </c>
      <c r="B290" s="1">
        <v>44687</v>
      </c>
      <c r="C290">
        <v>2022</v>
      </c>
      <c r="D290">
        <v>5</v>
      </c>
      <c r="E290" t="s">
        <v>38</v>
      </c>
      <c r="F290">
        <v>108</v>
      </c>
      <c r="G290" t="s">
        <v>404</v>
      </c>
      <c r="H290" t="s">
        <v>30</v>
      </c>
      <c r="I290">
        <v>0</v>
      </c>
      <c r="J290">
        <v>0</v>
      </c>
      <c r="K290">
        <v>6.1</v>
      </c>
      <c r="L290">
        <v>8324</v>
      </c>
      <c r="M290" t="s">
        <v>17</v>
      </c>
      <c r="N290" t="str">
        <f>IF(ISNUMBER(SEARCH("Streaming", M290)), "streaming", "cinema")</f>
        <v>streaming</v>
      </c>
      <c r="O290" t="str">
        <f>IF(I290=1, "non-original", "original")</f>
        <v>original</v>
      </c>
      <c r="P290" t="str">
        <f>IF(J290 = 1, "franchise", "non-franchise")</f>
        <v>non-franchise</v>
      </c>
      <c r="Q290" t="str">
        <f>IF(OR(I290 = 1,J290 =1), "old", "new")</f>
        <v>new</v>
      </c>
      <c r="R290">
        <f t="shared" si="8"/>
        <v>0.39180419360844537</v>
      </c>
      <c r="S290">
        <f>IF(Q290="new",1.5,1)*(K290/10)*(1-(MIN(F290,180)/180))</f>
        <v>0.36600000000000005</v>
      </c>
      <c r="T290" t="str">
        <f t="shared" si="9"/>
        <v>Scenario 3: Strong Convenience</v>
      </c>
    </row>
    <row r="291" spans="1:20" x14ac:dyDescent="0.35">
      <c r="A291" t="s">
        <v>405</v>
      </c>
      <c r="B291" s="1">
        <v>44694</v>
      </c>
      <c r="C291">
        <v>2022</v>
      </c>
      <c r="D291">
        <v>5</v>
      </c>
      <c r="E291" t="s">
        <v>38</v>
      </c>
      <c r="F291">
        <v>113</v>
      </c>
      <c r="G291" t="s">
        <v>21</v>
      </c>
      <c r="H291" t="s">
        <v>24</v>
      </c>
      <c r="I291">
        <v>0</v>
      </c>
      <c r="J291">
        <v>0</v>
      </c>
      <c r="K291">
        <v>5.5</v>
      </c>
      <c r="L291">
        <v>47863</v>
      </c>
      <c r="M291" t="s">
        <v>88</v>
      </c>
      <c r="N291" t="str">
        <f>IF(ISNUMBER(SEARCH("Streaming", M291)), "streaming", "cinema")</f>
        <v>streaming</v>
      </c>
      <c r="O291" t="str">
        <f>IF(I291=1, "non-original", "original")</f>
        <v>original</v>
      </c>
      <c r="P291" t="str">
        <f>IF(J291 = 1, "franchise", "non-franchise")</f>
        <v>non-franchise</v>
      </c>
      <c r="Q291" t="str">
        <f>IF(OR(I291 = 1,J291 =1), "old", "new")</f>
        <v>new</v>
      </c>
      <c r="R291">
        <f t="shared" si="8"/>
        <v>0.48938060994612992</v>
      </c>
      <c r="S291">
        <f>IF(Q291="new",1.5,1)*(K291/10)*(1-(MIN(F291,180)/180))</f>
        <v>0.30708333333333337</v>
      </c>
      <c r="T291" t="str">
        <f t="shared" si="9"/>
        <v>Scenario 1: Strong Commitment</v>
      </c>
    </row>
    <row r="292" spans="1:20" x14ac:dyDescent="0.35">
      <c r="A292" t="s">
        <v>406</v>
      </c>
      <c r="B292" s="1">
        <v>44699</v>
      </c>
      <c r="C292">
        <v>2022</v>
      </c>
      <c r="D292">
        <v>5</v>
      </c>
      <c r="E292" t="s">
        <v>38</v>
      </c>
      <c r="F292">
        <v>90</v>
      </c>
      <c r="G292" t="s">
        <v>34</v>
      </c>
      <c r="H292" t="s">
        <v>30</v>
      </c>
      <c r="I292">
        <v>0</v>
      </c>
      <c r="J292">
        <v>0</v>
      </c>
      <c r="K292">
        <v>6.1</v>
      </c>
      <c r="L292">
        <v>84</v>
      </c>
      <c r="M292" t="s">
        <v>88</v>
      </c>
      <c r="N292" t="str">
        <f>IF(ISNUMBER(SEARCH("Streaming", M292)), "streaming", "cinema")</f>
        <v>streaming</v>
      </c>
      <c r="O292" t="str">
        <f>IF(I292=1, "non-original", "original")</f>
        <v>original</v>
      </c>
      <c r="P292" t="str">
        <f>IF(J292 = 1, "franchise", "non-franchise")</f>
        <v>non-franchise</v>
      </c>
      <c r="Q292" t="str">
        <f>IF(OR(I292 = 1,J292 =1), "old", "new")</f>
        <v>new</v>
      </c>
      <c r="R292">
        <f t="shared" si="8"/>
        <v>0.16026293185431262</v>
      </c>
      <c r="S292">
        <f>IF(Q292="new",1.5,1)*(K292/10)*(1-(MIN(F292,180)/180))</f>
        <v>0.45750000000000002</v>
      </c>
      <c r="T292" t="str">
        <f t="shared" si="9"/>
        <v>Scenario 3: Strong Convenience</v>
      </c>
    </row>
    <row r="293" spans="1:20" x14ac:dyDescent="0.35">
      <c r="A293" t="s">
        <v>407</v>
      </c>
      <c r="B293" s="1">
        <v>44700</v>
      </c>
      <c r="C293">
        <v>2022</v>
      </c>
      <c r="D293">
        <v>5</v>
      </c>
      <c r="E293" t="s">
        <v>38</v>
      </c>
      <c r="F293">
        <v>102</v>
      </c>
      <c r="G293" t="s">
        <v>29</v>
      </c>
      <c r="H293" t="s">
        <v>56</v>
      </c>
      <c r="I293">
        <v>0</v>
      </c>
      <c r="J293">
        <v>0</v>
      </c>
      <c r="K293">
        <v>6.1</v>
      </c>
      <c r="L293">
        <v>19293</v>
      </c>
      <c r="M293" t="s">
        <v>88</v>
      </c>
      <c r="N293" t="str">
        <f>IF(ISNUMBER(SEARCH("Streaming", M293)), "streaming", "cinema")</f>
        <v>streaming</v>
      </c>
      <c r="O293" t="str">
        <f>IF(I293=1, "non-original", "original")</f>
        <v>original</v>
      </c>
      <c r="P293" t="str">
        <f>IF(J293 = 1, "franchise", "non-franchise")</f>
        <v>non-franchise</v>
      </c>
      <c r="Q293" t="str">
        <f>IF(OR(I293 = 1,J293 =1), "old", "new")</f>
        <v>new</v>
      </c>
      <c r="R293">
        <f t="shared" si="8"/>
        <v>0.40449576806172716</v>
      </c>
      <c r="S293">
        <f>IF(Q293="new",1.5,1)*(K293/10)*(1-(MIN(F293,180)/180))</f>
        <v>0.39650000000000002</v>
      </c>
      <c r="T293" t="str">
        <f t="shared" si="9"/>
        <v>Scenario 3: Strong Convenience</v>
      </c>
    </row>
    <row r="294" spans="1:20" x14ac:dyDescent="0.35">
      <c r="A294" t="s">
        <v>408</v>
      </c>
      <c r="B294" s="1">
        <v>44701</v>
      </c>
      <c r="C294">
        <v>2022</v>
      </c>
      <c r="D294">
        <v>5</v>
      </c>
      <c r="E294" t="s">
        <v>38</v>
      </c>
      <c r="F294">
        <v>92</v>
      </c>
      <c r="G294" t="s">
        <v>29</v>
      </c>
      <c r="H294" t="s">
        <v>30</v>
      </c>
      <c r="I294">
        <v>0</v>
      </c>
      <c r="J294">
        <v>0</v>
      </c>
      <c r="K294">
        <v>3.9</v>
      </c>
      <c r="L294">
        <v>1522</v>
      </c>
      <c r="M294" t="s">
        <v>88</v>
      </c>
      <c r="N294" t="str">
        <f>IF(ISNUMBER(SEARCH("Streaming", M294)), "streaming", "cinema")</f>
        <v>streaming</v>
      </c>
      <c r="O294" t="str">
        <f>IF(I294=1, "non-original", "original")</f>
        <v>original</v>
      </c>
      <c r="P294" t="str">
        <f>IF(J294 = 1, "franchise", "non-franchise")</f>
        <v>non-franchise</v>
      </c>
      <c r="Q294" t="str">
        <f>IF(OR(I294 = 1,J294 =1), "old", "new")</f>
        <v>new</v>
      </c>
      <c r="R294">
        <f t="shared" si="8"/>
        <v>0.27093621652299699</v>
      </c>
      <c r="S294">
        <f>IF(Q294="new",1.5,1)*(K294/10)*(1-(MIN(F294,180)/180))</f>
        <v>0.28600000000000003</v>
      </c>
      <c r="T294" t="str">
        <f t="shared" si="9"/>
        <v>Scenario 2: Weak Commitment/Convenience</v>
      </c>
    </row>
    <row r="295" spans="1:20" x14ac:dyDescent="0.35">
      <c r="A295" t="s">
        <v>409</v>
      </c>
      <c r="B295" s="1">
        <v>44704</v>
      </c>
      <c r="C295">
        <v>2022</v>
      </c>
      <c r="D295">
        <v>5</v>
      </c>
      <c r="E295" t="s">
        <v>38</v>
      </c>
      <c r="F295">
        <v>119</v>
      </c>
      <c r="G295" t="s">
        <v>34</v>
      </c>
      <c r="H295" t="s">
        <v>30</v>
      </c>
      <c r="I295">
        <v>0</v>
      </c>
      <c r="J295">
        <v>0</v>
      </c>
      <c r="K295">
        <v>6.5</v>
      </c>
      <c r="L295">
        <v>3721</v>
      </c>
      <c r="M295" t="s">
        <v>17</v>
      </c>
      <c r="N295" t="str">
        <f>IF(ISNUMBER(SEARCH("Streaming", M295)), "streaming", "cinema")</f>
        <v>streaming</v>
      </c>
      <c r="O295" t="str">
        <f>IF(I295=1, "non-original", "original")</f>
        <v>original</v>
      </c>
      <c r="P295" t="str">
        <f>IF(J295 = 1, "franchise", "non-franchise")</f>
        <v>non-franchise</v>
      </c>
      <c r="Q295" t="str">
        <f>IF(OR(I295 = 1,J295 =1), "old", "new")</f>
        <v>new</v>
      </c>
      <c r="R295">
        <f t="shared" si="8"/>
        <v>0.3932039652482876</v>
      </c>
      <c r="S295">
        <f>IF(Q295="new",1.5,1)*(K295/10)*(1-(MIN(F295,180)/180))</f>
        <v>0.33041666666666669</v>
      </c>
      <c r="T295" t="str">
        <f t="shared" si="9"/>
        <v>Scenario 3: Strong Convenience</v>
      </c>
    </row>
    <row r="296" spans="1:20" x14ac:dyDescent="0.35">
      <c r="A296" t="s">
        <v>410</v>
      </c>
      <c r="B296" s="1">
        <v>44715</v>
      </c>
      <c r="C296">
        <v>2022</v>
      </c>
      <c r="D296">
        <v>6</v>
      </c>
      <c r="E296" t="s">
        <v>78</v>
      </c>
      <c r="F296">
        <v>98</v>
      </c>
      <c r="G296" t="s">
        <v>411</v>
      </c>
      <c r="H296" t="s">
        <v>30</v>
      </c>
      <c r="I296">
        <v>0</v>
      </c>
      <c r="J296">
        <v>0</v>
      </c>
      <c r="K296">
        <v>4.7</v>
      </c>
      <c r="L296">
        <v>29442</v>
      </c>
      <c r="M296" t="s">
        <v>17</v>
      </c>
      <c r="N296" t="str">
        <f>IF(ISNUMBER(SEARCH("Streaming", M296)), "streaming", "cinema")</f>
        <v>streaming</v>
      </c>
      <c r="O296" t="str">
        <f>IF(I296=1, "non-original", "original")</f>
        <v>original</v>
      </c>
      <c r="P296" t="str">
        <f>IF(J296 = 1, "franchise", "non-franchise")</f>
        <v>non-franchise</v>
      </c>
      <c r="Q296" t="str">
        <f>IF(OR(I296 = 1,J296 =1), "old", "new")</f>
        <v>new</v>
      </c>
      <c r="R296">
        <f t="shared" si="8"/>
        <v>0.40528051331538428</v>
      </c>
      <c r="S296">
        <f>IF(Q296="new",1.5,1)*(K296/10)*(1-(MIN(F296,180)/180))</f>
        <v>0.32116666666666671</v>
      </c>
      <c r="T296" t="str">
        <f t="shared" si="9"/>
        <v>Scenario 3: Strong Convenience</v>
      </c>
    </row>
    <row r="297" spans="1:20" x14ac:dyDescent="0.35">
      <c r="A297" t="s">
        <v>412</v>
      </c>
      <c r="B297" s="1">
        <v>44720</v>
      </c>
      <c r="C297">
        <v>2022</v>
      </c>
      <c r="D297">
        <v>6</v>
      </c>
      <c r="E297" t="s">
        <v>78</v>
      </c>
      <c r="F297">
        <v>118</v>
      </c>
      <c r="G297" t="s">
        <v>45</v>
      </c>
      <c r="H297" t="s">
        <v>24</v>
      </c>
      <c r="I297">
        <v>0</v>
      </c>
      <c r="J297">
        <v>0</v>
      </c>
      <c r="K297">
        <v>7.3</v>
      </c>
      <c r="L297">
        <v>162766</v>
      </c>
      <c r="M297" t="s">
        <v>88</v>
      </c>
      <c r="N297" t="str">
        <f>IF(ISNUMBER(SEARCH("Streaming", M297)), "streaming", "cinema")</f>
        <v>streaming</v>
      </c>
      <c r="O297" t="str">
        <f>IF(I297=1, "non-original", "original")</f>
        <v>original</v>
      </c>
      <c r="P297" t="str">
        <f>IF(J297 = 1, "franchise", "non-franchise")</f>
        <v>non-franchise</v>
      </c>
      <c r="Q297" t="str">
        <f>IF(OR(I297 = 1,J297 =1), "old", "new")</f>
        <v>new</v>
      </c>
      <c r="R297">
        <f t="shared" si="8"/>
        <v>0.56907895598337632</v>
      </c>
      <c r="S297">
        <f>IF(Q297="new",1.5,1)*(K297/10)*(1-(MIN(F297,180)/180))</f>
        <v>0.37716666666666665</v>
      </c>
      <c r="T297" t="str">
        <f t="shared" si="9"/>
        <v>Scenario 4: Hybrid Logic</v>
      </c>
    </row>
    <row r="298" spans="1:20" x14ac:dyDescent="0.35">
      <c r="A298" t="s">
        <v>413</v>
      </c>
      <c r="B298" s="1">
        <v>44727</v>
      </c>
      <c r="C298">
        <v>2022</v>
      </c>
      <c r="D298">
        <v>6</v>
      </c>
      <c r="E298" t="s">
        <v>78</v>
      </c>
      <c r="F298">
        <v>108</v>
      </c>
      <c r="G298" t="s">
        <v>29</v>
      </c>
      <c r="H298" t="s">
        <v>30</v>
      </c>
      <c r="I298">
        <v>0</v>
      </c>
      <c r="J298">
        <v>0</v>
      </c>
      <c r="K298">
        <v>5.0999999999999996</v>
      </c>
      <c r="L298">
        <v>881</v>
      </c>
      <c r="M298" t="s">
        <v>17</v>
      </c>
      <c r="N298" t="str">
        <f>IF(ISNUMBER(SEARCH("Streaming", M298)), "streaming", "cinema")</f>
        <v>streaming</v>
      </c>
      <c r="O298" t="str">
        <f>IF(I298=1, "non-original", "original")</f>
        <v>original</v>
      </c>
      <c r="P298" t="str">
        <f>IF(J298 = 1, "franchise", "non-franchise")</f>
        <v>non-franchise</v>
      </c>
      <c r="Q298" t="str">
        <f>IF(OR(I298 = 1,J298 =1), "old", "new")</f>
        <v>new</v>
      </c>
      <c r="R298">
        <f t="shared" si="8"/>
        <v>0.29432555455398979</v>
      </c>
      <c r="S298">
        <f>IF(Q298="new",1.5,1)*(K298/10)*(1-(MIN(F298,180)/180))</f>
        <v>0.30600000000000005</v>
      </c>
      <c r="T298" t="str">
        <f t="shared" si="9"/>
        <v>Scenario 2: Weak Commitment/Convenience</v>
      </c>
    </row>
    <row r="299" spans="1:20" x14ac:dyDescent="0.35">
      <c r="A299" t="s">
        <v>414</v>
      </c>
      <c r="B299" s="1">
        <v>44727</v>
      </c>
      <c r="C299">
        <v>2022</v>
      </c>
      <c r="D299">
        <v>6</v>
      </c>
      <c r="E299" t="s">
        <v>78</v>
      </c>
      <c r="F299">
        <v>98</v>
      </c>
      <c r="G299" t="s">
        <v>19</v>
      </c>
      <c r="H299" t="s">
        <v>30</v>
      </c>
      <c r="I299">
        <v>0</v>
      </c>
      <c r="J299">
        <v>0</v>
      </c>
      <c r="K299">
        <v>5.8</v>
      </c>
      <c r="L299">
        <v>5565</v>
      </c>
      <c r="M299" t="s">
        <v>17</v>
      </c>
      <c r="N299" t="str">
        <f>IF(ISNUMBER(SEARCH("Streaming", M299)), "streaming", "cinema")</f>
        <v>streaming</v>
      </c>
      <c r="O299" t="str">
        <f>IF(I299=1, "non-original", "original")</f>
        <v>original</v>
      </c>
      <c r="P299" t="str">
        <f>IF(J299 = 1, "franchise", "non-franchise")</f>
        <v>non-franchise</v>
      </c>
      <c r="Q299" t="str">
        <f>IF(OR(I299 = 1,J299 =1), "old", "new")</f>
        <v>new</v>
      </c>
      <c r="R299">
        <f t="shared" si="8"/>
        <v>0.33966774456429649</v>
      </c>
      <c r="S299">
        <f>IF(Q299="new",1.5,1)*(K299/10)*(1-(MIN(F299,180)/180))</f>
        <v>0.39633333333333332</v>
      </c>
      <c r="T299" t="str">
        <f t="shared" si="9"/>
        <v>Scenario 3: Strong Convenience</v>
      </c>
    </row>
    <row r="300" spans="1:20" x14ac:dyDescent="0.35">
      <c r="A300" t="s">
        <v>415</v>
      </c>
      <c r="B300" s="1">
        <v>44729</v>
      </c>
      <c r="C300">
        <v>2022</v>
      </c>
      <c r="D300">
        <v>6</v>
      </c>
      <c r="E300" t="s">
        <v>78</v>
      </c>
      <c r="F300">
        <v>107</v>
      </c>
      <c r="G300" t="s">
        <v>416</v>
      </c>
      <c r="H300" t="s">
        <v>24</v>
      </c>
      <c r="I300">
        <v>0</v>
      </c>
      <c r="J300">
        <v>0</v>
      </c>
      <c r="K300">
        <v>5.5</v>
      </c>
      <c r="L300">
        <v>72501</v>
      </c>
      <c r="M300" t="s">
        <v>17</v>
      </c>
      <c r="N300" t="str">
        <f>IF(ISNUMBER(SEARCH("Streaming", M300)), "streaming", "cinema")</f>
        <v>streaming</v>
      </c>
      <c r="O300" t="str">
        <f>IF(I300=1, "non-original", "original")</f>
        <v>original</v>
      </c>
      <c r="P300" t="str">
        <f>IF(J300 = 1, "franchise", "non-franchise")</f>
        <v>non-franchise</v>
      </c>
      <c r="Q300" t="str">
        <f>IF(OR(I300 = 1,J300 =1), "old", "new")</f>
        <v>new</v>
      </c>
      <c r="R300">
        <f t="shared" si="8"/>
        <v>0.48125278400577809</v>
      </c>
      <c r="S300">
        <f>IF(Q300="new",1.5,1)*(K300/10)*(1-(MIN(F300,180)/180))</f>
        <v>0.33458333333333334</v>
      </c>
      <c r="T300" t="str">
        <f t="shared" si="9"/>
        <v>Scenario 4: Hybrid Logic</v>
      </c>
    </row>
    <row r="301" spans="1:20" x14ac:dyDescent="0.35">
      <c r="A301" t="s">
        <v>417</v>
      </c>
      <c r="B301" s="1">
        <v>44732</v>
      </c>
      <c r="C301">
        <v>2022</v>
      </c>
      <c r="D301">
        <v>6</v>
      </c>
      <c r="E301" t="s">
        <v>78</v>
      </c>
      <c r="F301">
        <v>100</v>
      </c>
      <c r="G301" t="s">
        <v>34</v>
      </c>
      <c r="H301" t="s">
        <v>30</v>
      </c>
      <c r="I301">
        <v>0</v>
      </c>
      <c r="J301">
        <v>0</v>
      </c>
      <c r="K301">
        <v>4.9000000000000004</v>
      </c>
      <c r="L301">
        <v>2813</v>
      </c>
      <c r="M301" t="s">
        <v>17</v>
      </c>
      <c r="N301" t="str">
        <f>IF(ISNUMBER(SEARCH("Streaming", M301)), "streaming", "cinema")</f>
        <v>streaming</v>
      </c>
      <c r="O301" t="str">
        <f>IF(I301=1, "non-original", "original")</f>
        <v>original</v>
      </c>
      <c r="P301" t="str">
        <f>IF(J301 = 1, "franchise", "non-franchise")</f>
        <v>non-franchise</v>
      </c>
      <c r="Q301" t="str">
        <f>IF(OR(I301 = 1,J301 =1), "old", "new")</f>
        <v>new</v>
      </c>
      <c r="R301">
        <f t="shared" si="8"/>
        <v>0.31918100324270532</v>
      </c>
      <c r="S301">
        <f>IF(Q301="new",1.5,1)*(K301/10)*(1-(MIN(F301,180)/180))</f>
        <v>0.32666666666666672</v>
      </c>
      <c r="T301" t="str">
        <f t="shared" si="9"/>
        <v>Scenario 3: Strong Convenience</v>
      </c>
    </row>
    <row r="302" spans="1:20" x14ac:dyDescent="0.35">
      <c r="A302" t="s">
        <v>418</v>
      </c>
      <c r="B302" s="1">
        <v>44734</v>
      </c>
      <c r="C302">
        <v>2022</v>
      </c>
      <c r="D302">
        <v>6</v>
      </c>
      <c r="E302" t="s">
        <v>78</v>
      </c>
      <c r="F302">
        <v>112</v>
      </c>
      <c r="G302" t="s">
        <v>269</v>
      </c>
      <c r="H302" t="s">
        <v>27</v>
      </c>
      <c r="I302">
        <v>0</v>
      </c>
      <c r="J302">
        <v>0</v>
      </c>
      <c r="K302">
        <v>5.2</v>
      </c>
      <c r="L302">
        <v>7332</v>
      </c>
      <c r="M302" t="s">
        <v>17</v>
      </c>
      <c r="N302" t="str">
        <f>IF(ISNUMBER(SEARCH("Streaming", M302)), "streaming", "cinema")</f>
        <v>streaming</v>
      </c>
      <c r="O302" t="str">
        <f>IF(I302=1, "non-original", "original")</f>
        <v>original</v>
      </c>
      <c r="P302" t="str">
        <f>IF(J302 = 1, "franchise", "non-franchise")</f>
        <v>non-franchise</v>
      </c>
      <c r="Q302" t="str">
        <f>IF(OR(I302 = 1,J302 =1), "old", "new")</f>
        <v>new</v>
      </c>
      <c r="R302">
        <f t="shared" si="8"/>
        <v>0.40060372739329864</v>
      </c>
      <c r="S302">
        <f>IF(Q302="new",1.5,1)*(K302/10)*(1-(MIN(F302,180)/180))</f>
        <v>0.29466666666666669</v>
      </c>
      <c r="T302" t="str">
        <f t="shared" si="9"/>
        <v>Scenario 2: Weak Commitment/Convenience</v>
      </c>
    </row>
    <row r="303" spans="1:20" x14ac:dyDescent="0.35">
      <c r="A303" t="s">
        <v>419</v>
      </c>
      <c r="B303" s="1">
        <v>44740</v>
      </c>
      <c r="C303">
        <v>2022</v>
      </c>
      <c r="D303">
        <v>6</v>
      </c>
      <c r="E303" t="s">
        <v>78</v>
      </c>
      <c r="F303">
        <v>115</v>
      </c>
      <c r="G303" t="s">
        <v>420</v>
      </c>
      <c r="H303" t="s">
        <v>30</v>
      </c>
      <c r="I303">
        <v>0</v>
      </c>
      <c r="J303">
        <v>0</v>
      </c>
      <c r="K303">
        <v>4.8</v>
      </c>
      <c r="L303">
        <v>2762</v>
      </c>
      <c r="M303" t="s">
        <v>17</v>
      </c>
      <c r="N303" t="str">
        <f>IF(ISNUMBER(SEARCH("Streaming", M303)), "streaming", "cinema")</f>
        <v>streaming</v>
      </c>
      <c r="O303" t="str">
        <f>IF(I303=1, "non-original", "original")</f>
        <v>original</v>
      </c>
      <c r="P303" t="str">
        <f>IF(J303 = 1, "franchise", "non-franchise")</f>
        <v>non-franchise</v>
      </c>
      <c r="Q303" t="str">
        <f>IF(OR(I303 = 1,J303 =1), "old", "new")</f>
        <v>new</v>
      </c>
      <c r="R303">
        <f t="shared" si="8"/>
        <v>0.3662125399794337</v>
      </c>
      <c r="S303">
        <f>IF(Q303="new",1.5,1)*(K303/10)*(1-(MIN(F303,180)/180))</f>
        <v>0.26</v>
      </c>
      <c r="T303" t="str">
        <f t="shared" si="9"/>
        <v>Scenario 2: Weak Commitment/Convenience</v>
      </c>
    </row>
    <row r="304" spans="1:20" x14ac:dyDescent="0.35">
      <c r="A304" t="s">
        <v>421</v>
      </c>
      <c r="B304" s="1">
        <v>44741</v>
      </c>
      <c r="C304">
        <v>2022</v>
      </c>
      <c r="D304">
        <v>6</v>
      </c>
      <c r="E304" t="s">
        <v>78</v>
      </c>
      <c r="F304">
        <v>95</v>
      </c>
      <c r="G304" t="s">
        <v>34</v>
      </c>
      <c r="H304" t="s">
        <v>24</v>
      </c>
      <c r="I304">
        <v>0</v>
      </c>
      <c r="J304">
        <v>0</v>
      </c>
      <c r="K304">
        <v>4.2</v>
      </c>
      <c r="L304">
        <v>928</v>
      </c>
      <c r="M304" t="s">
        <v>17</v>
      </c>
      <c r="N304" t="str">
        <f>IF(ISNUMBER(SEARCH("Streaming", M304)), "streaming", "cinema")</f>
        <v>streaming</v>
      </c>
      <c r="O304" t="str">
        <f>IF(I304=1, "non-original", "original")</f>
        <v>original</v>
      </c>
      <c r="P304" t="str">
        <f>IF(J304 = 1, "franchise", "non-franchise")</f>
        <v>non-franchise</v>
      </c>
      <c r="Q304" t="str">
        <f>IF(OR(I304 = 1,J304 =1), "old", "new")</f>
        <v>new</v>
      </c>
      <c r="R304">
        <f t="shared" si="8"/>
        <v>0.26088182463682785</v>
      </c>
      <c r="S304">
        <f>IF(Q304="new",1.5,1)*(K304/10)*(1-(MIN(F304,180)/180))</f>
        <v>0.29750000000000004</v>
      </c>
      <c r="T304" t="str">
        <f t="shared" si="9"/>
        <v>Scenario 2: Weak Commitment/Convenience</v>
      </c>
    </row>
    <row r="305" spans="1:20" x14ac:dyDescent="0.35">
      <c r="A305" t="s">
        <v>422</v>
      </c>
      <c r="B305" s="1">
        <v>44750</v>
      </c>
      <c r="C305">
        <v>2022</v>
      </c>
      <c r="D305">
        <v>7</v>
      </c>
      <c r="E305" t="s">
        <v>78</v>
      </c>
      <c r="F305">
        <v>109</v>
      </c>
      <c r="G305" t="s">
        <v>90</v>
      </c>
      <c r="H305" t="s">
        <v>24</v>
      </c>
      <c r="I305">
        <v>0</v>
      </c>
      <c r="J305">
        <v>0</v>
      </c>
      <c r="K305">
        <v>4.2</v>
      </c>
      <c r="L305">
        <v>2694</v>
      </c>
      <c r="M305" t="s">
        <v>88</v>
      </c>
      <c r="N305" t="str">
        <f>IF(ISNUMBER(SEARCH("Streaming", M305)), "streaming", "cinema")</f>
        <v>streaming</v>
      </c>
      <c r="O305" t="str">
        <f>IF(I305=1, "non-original", "original")</f>
        <v>original</v>
      </c>
      <c r="P305" t="str">
        <f>IF(J305 = 1, "franchise", "non-franchise")</f>
        <v>non-franchise</v>
      </c>
      <c r="Q305" t="str">
        <f>IF(OR(I305 = 1,J305 =1), "old", "new")</f>
        <v>new</v>
      </c>
      <c r="R305">
        <f t="shared" si="8"/>
        <v>0.34601380460847458</v>
      </c>
      <c r="S305">
        <f>IF(Q305="new",1.5,1)*(K305/10)*(1-(MIN(F305,180)/180))</f>
        <v>0.24850000000000008</v>
      </c>
      <c r="T305" t="str">
        <f t="shared" si="9"/>
        <v>Scenario 2: Weak Commitment/Convenience</v>
      </c>
    </row>
    <row r="306" spans="1:20" x14ac:dyDescent="0.35">
      <c r="A306" t="s">
        <v>423</v>
      </c>
      <c r="B306" s="1">
        <v>44750</v>
      </c>
      <c r="C306">
        <v>2022</v>
      </c>
      <c r="D306">
        <v>7</v>
      </c>
      <c r="E306" t="s">
        <v>78</v>
      </c>
      <c r="F306">
        <v>80</v>
      </c>
      <c r="G306" t="s">
        <v>34</v>
      </c>
      <c r="H306" t="s">
        <v>24</v>
      </c>
      <c r="I306">
        <v>0</v>
      </c>
      <c r="J306">
        <v>0</v>
      </c>
      <c r="K306">
        <v>3.5</v>
      </c>
      <c r="L306">
        <v>185</v>
      </c>
      <c r="M306" t="s">
        <v>17</v>
      </c>
      <c r="N306" t="str">
        <f>IF(ISNUMBER(SEARCH("Streaming", M306)), "streaming", "cinema")</f>
        <v>streaming</v>
      </c>
      <c r="O306" t="str">
        <f>IF(I306=1, "non-original", "original")</f>
        <v>original</v>
      </c>
      <c r="P306" t="str">
        <f>IF(J306 = 1, "franchise", "non-franchise")</f>
        <v>non-franchise</v>
      </c>
      <c r="Q306" t="str">
        <f>IF(OR(I306 = 1,J306 =1), "old", "new")</f>
        <v>new</v>
      </c>
      <c r="R306">
        <f t="shared" si="8"/>
        <v>0.16784054204045482</v>
      </c>
      <c r="S306">
        <f>IF(Q306="new",1.5,1)*(K306/10)*(1-(MIN(F306,180)/180))</f>
        <v>0.29166666666666663</v>
      </c>
      <c r="T306" t="str">
        <f t="shared" si="9"/>
        <v>Scenario 2: Weak Commitment/Convenience</v>
      </c>
    </row>
    <row r="307" spans="1:20" x14ac:dyDescent="0.35">
      <c r="A307" t="s">
        <v>424</v>
      </c>
      <c r="B307" s="1">
        <v>44750</v>
      </c>
      <c r="C307">
        <v>2022</v>
      </c>
      <c r="D307">
        <v>7</v>
      </c>
      <c r="E307" t="s">
        <v>78</v>
      </c>
      <c r="F307">
        <v>119</v>
      </c>
      <c r="G307" t="s">
        <v>425</v>
      </c>
      <c r="H307" t="s">
        <v>56</v>
      </c>
      <c r="I307">
        <v>0</v>
      </c>
      <c r="J307">
        <v>0</v>
      </c>
      <c r="K307">
        <v>7</v>
      </c>
      <c r="L307">
        <v>64752</v>
      </c>
      <c r="M307" t="s">
        <v>88</v>
      </c>
      <c r="N307" t="str">
        <f>IF(ISNUMBER(SEARCH("Streaming", M307)), "streaming", "cinema")</f>
        <v>streaming</v>
      </c>
      <c r="O307" t="str">
        <f>IF(I307=1, "non-original", "original")</f>
        <v>original</v>
      </c>
      <c r="P307" t="str">
        <f>IF(J307 = 1, "franchise", "non-franchise")</f>
        <v>non-franchise</v>
      </c>
      <c r="Q307" t="str">
        <f>IF(OR(I307 = 1,J307 =1), "old", "new")</f>
        <v>new</v>
      </c>
      <c r="R307">
        <f t="shared" si="8"/>
        <v>0.52981913869969166</v>
      </c>
      <c r="S307">
        <f>IF(Q307="new",1.5,1)*(K307/10)*(1-(MIN(F307,180)/180))</f>
        <v>0.35583333333333328</v>
      </c>
      <c r="T307" t="str">
        <f t="shared" si="9"/>
        <v>Scenario 4: Hybrid Logic</v>
      </c>
    </row>
    <row r="308" spans="1:20" x14ac:dyDescent="0.35">
      <c r="A308" t="s">
        <v>426</v>
      </c>
      <c r="B308" s="1">
        <v>44753</v>
      </c>
      <c r="C308">
        <v>2022</v>
      </c>
      <c r="D308">
        <v>7</v>
      </c>
      <c r="E308" t="s">
        <v>78</v>
      </c>
      <c r="F308">
        <v>90</v>
      </c>
      <c r="G308" t="s">
        <v>34</v>
      </c>
      <c r="H308" t="s">
        <v>24</v>
      </c>
      <c r="I308">
        <v>0</v>
      </c>
      <c r="J308">
        <v>0</v>
      </c>
      <c r="K308">
        <v>4</v>
      </c>
      <c r="L308">
        <v>372</v>
      </c>
      <c r="M308" t="s">
        <v>17</v>
      </c>
      <c r="N308" t="str">
        <f>IF(ISNUMBER(SEARCH("Streaming", M308)), "streaming", "cinema")</f>
        <v>streaming</v>
      </c>
      <c r="O308" t="str">
        <f>IF(I308=1, "non-original", "original")</f>
        <v>original</v>
      </c>
      <c r="P308" t="str">
        <f>IF(J308 = 1, "franchise", "non-franchise")</f>
        <v>non-franchise</v>
      </c>
      <c r="Q308" t="str">
        <f>IF(OR(I308 = 1,J308 =1), "old", "new")</f>
        <v>new</v>
      </c>
      <c r="R308">
        <f t="shared" si="8"/>
        <v>0.21408677575383353</v>
      </c>
      <c r="S308">
        <f>IF(Q308="new",1.5,1)*(K308/10)*(1-(MIN(F308,180)/180))</f>
        <v>0.30000000000000004</v>
      </c>
      <c r="T308" t="str">
        <f t="shared" si="9"/>
        <v>Scenario 2: Weak Commitment/Convenience</v>
      </c>
    </row>
    <row r="309" spans="1:20" x14ac:dyDescent="0.35">
      <c r="A309" t="s">
        <v>427</v>
      </c>
      <c r="B309" s="1">
        <v>44755</v>
      </c>
      <c r="C309">
        <v>2022</v>
      </c>
      <c r="D309">
        <v>7</v>
      </c>
      <c r="E309" t="s">
        <v>78</v>
      </c>
      <c r="F309">
        <v>90</v>
      </c>
      <c r="G309" t="s">
        <v>116</v>
      </c>
      <c r="H309" t="s">
        <v>27</v>
      </c>
      <c r="I309">
        <v>0</v>
      </c>
      <c r="J309">
        <v>0</v>
      </c>
      <c r="K309">
        <v>5.4</v>
      </c>
      <c r="L309">
        <v>1633</v>
      </c>
      <c r="M309" t="s">
        <v>17</v>
      </c>
      <c r="N309" t="str">
        <f>IF(ISNUMBER(SEARCH("Streaming", M309)), "streaming", "cinema")</f>
        <v>streaming</v>
      </c>
      <c r="O309" t="str">
        <f>IF(I309=1, "non-original", "original")</f>
        <v>original</v>
      </c>
      <c r="P309" t="str">
        <f>IF(J309 = 1, "franchise", "non-franchise")</f>
        <v>non-franchise</v>
      </c>
      <c r="Q309" t="str">
        <f>IF(OR(I309 = 1,J309 =1), "old", "new")</f>
        <v>new</v>
      </c>
      <c r="R309">
        <f t="shared" si="8"/>
        <v>0.26759243821987566</v>
      </c>
      <c r="S309">
        <f>IF(Q309="new",1.5,1)*(K309/10)*(1-(MIN(F309,180)/180))</f>
        <v>0.40500000000000003</v>
      </c>
      <c r="T309" t="str">
        <f t="shared" si="9"/>
        <v>Scenario 3: Strong Convenience</v>
      </c>
    </row>
    <row r="310" spans="1:20" x14ac:dyDescent="0.35">
      <c r="A310" t="s">
        <v>428</v>
      </c>
      <c r="B310" s="1">
        <v>44757</v>
      </c>
      <c r="C310">
        <v>2022</v>
      </c>
      <c r="D310">
        <v>7</v>
      </c>
      <c r="E310" t="s">
        <v>78</v>
      </c>
      <c r="F310">
        <v>167</v>
      </c>
      <c r="G310" t="s">
        <v>21</v>
      </c>
      <c r="H310" t="s">
        <v>30</v>
      </c>
      <c r="I310">
        <v>0</v>
      </c>
      <c r="J310">
        <v>0</v>
      </c>
      <c r="K310">
        <v>6.8</v>
      </c>
      <c r="L310">
        <v>12225</v>
      </c>
      <c r="M310" t="s">
        <v>17</v>
      </c>
      <c r="N310" t="str">
        <f>IF(ISNUMBER(SEARCH("Streaming", M310)), "streaming", "cinema")</f>
        <v>streaming</v>
      </c>
      <c r="O310" t="str">
        <f>IF(I310=1, "non-original", "original")</f>
        <v>original</v>
      </c>
      <c r="P310" t="str">
        <f>IF(J310 = 1, "franchise", "non-franchise")</f>
        <v>non-franchise</v>
      </c>
      <c r="Q310" t="str">
        <f>IF(OR(I310 = 1,J310 =1), "old", "new")</f>
        <v>new</v>
      </c>
      <c r="R310">
        <f t="shared" si="8"/>
        <v>0.63164057827394093</v>
      </c>
      <c r="S310">
        <f>IF(Q310="new",1.5,1)*(K310/10)*(1-(MIN(F310,180)/180))</f>
        <v>7.366666666666663E-2</v>
      </c>
      <c r="T310" t="str">
        <f t="shared" si="9"/>
        <v>Scenario 1: Strong Commitment</v>
      </c>
    </row>
    <row r="311" spans="1:20" x14ac:dyDescent="0.35">
      <c r="A311" t="s">
        <v>429</v>
      </c>
      <c r="B311" s="1">
        <v>44757</v>
      </c>
      <c r="C311">
        <v>2022</v>
      </c>
      <c r="D311">
        <v>7</v>
      </c>
      <c r="E311" t="s">
        <v>78</v>
      </c>
      <c r="F311">
        <v>109</v>
      </c>
      <c r="G311" t="s">
        <v>34</v>
      </c>
      <c r="H311" t="s">
        <v>56</v>
      </c>
      <c r="I311">
        <v>0</v>
      </c>
      <c r="J311">
        <v>0</v>
      </c>
      <c r="K311">
        <v>5.8</v>
      </c>
      <c r="L311">
        <v>39938</v>
      </c>
      <c r="M311" t="s">
        <v>17</v>
      </c>
      <c r="N311" t="str">
        <f>IF(ISNUMBER(SEARCH("Streaming", M311)), "streaming", "cinema")</f>
        <v>streaming</v>
      </c>
      <c r="O311" t="str">
        <f>IF(I311=1, "non-original", "original")</f>
        <v>original</v>
      </c>
      <c r="P311" t="str">
        <f>IF(J311 = 1, "franchise", "non-franchise")</f>
        <v>non-franchise</v>
      </c>
      <c r="Q311" t="str">
        <f>IF(OR(I311 = 1,J311 =1), "old", "new")</f>
        <v>new</v>
      </c>
      <c r="R311">
        <f t="shared" si="8"/>
        <v>0.46412788666515614</v>
      </c>
      <c r="S311">
        <f>IF(Q311="new",1.5,1)*(K311/10)*(1-(MIN(F311,180)/180))</f>
        <v>0.34316666666666668</v>
      </c>
      <c r="T311" t="str">
        <f t="shared" si="9"/>
        <v>Scenario 3: Strong Convenience</v>
      </c>
    </row>
    <row r="312" spans="1:20" x14ac:dyDescent="0.35">
      <c r="A312" t="s">
        <v>430</v>
      </c>
      <c r="B312" s="1">
        <v>44764</v>
      </c>
      <c r="C312">
        <v>2022</v>
      </c>
      <c r="D312">
        <v>7</v>
      </c>
      <c r="E312" t="s">
        <v>78</v>
      </c>
      <c r="F312">
        <v>129</v>
      </c>
      <c r="G312" t="s">
        <v>431</v>
      </c>
      <c r="H312" t="s">
        <v>27</v>
      </c>
      <c r="I312">
        <v>0</v>
      </c>
      <c r="J312">
        <v>0</v>
      </c>
      <c r="K312">
        <v>6.5</v>
      </c>
      <c r="L312">
        <v>269903</v>
      </c>
      <c r="M312" t="s">
        <v>88</v>
      </c>
      <c r="N312" t="str">
        <f>IF(ISNUMBER(SEARCH("Streaming", M312)), "streaming", "cinema")</f>
        <v>streaming</v>
      </c>
      <c r="O312" t="str">
        <f>IF(I312=1, "non-original", "original")</f>
        <v>original</v>
      </c>
      <c r="P312" t="str">
        <f>IF(J312 = 1, "franchise", "non-franchise")</f>
        <v>non-franchise</v>
      </c>
      <c r="Q312" t="str">
        <f>IF(OR(I312 = 1,J312 =1), "old", "new")</f>
        <v>new</v>
      </c>
      <c r="R312">
        <f t="shared" si="8"/>
        <v>0.64834862142076599</v>
      </c>
      <c r="S312">
        <f>IF(Q312="new",1.5,1)*(K312/10)*(1-(MIN(F312,180)/180))</f>
        <v>0.27625</v>
      </c>
      <c r="T312" t="str">
        <f t="shared" si="9"/>
        <v>Scenario 1: Strong Commitment</v>
      </c>
    </row>
    <row r="313" spans="1:20" x14ac:dyDescent="0.35">
      <c r="A313" t="s">
        <v>432</v>
      </c>
      <c r="B313" s="1">
        <v>44770</v>
      </c>
      <c r="C313">
        <v>2022</v>
      </c>
      <c r="D313">
        <v>7</v>
      </c>
      <c r="E313" t="s">
        <v>78</v>
      </c>
      <c r="F313">
        <v>91</v>
      </c>
      <c r="G313" t="s">
        <v>21</v>
      </c>
      <c r="H313" t="s">
        <v>24</v>
      </c>
      <c r="I313">
        <v>0</v>
      </c>
      <c r="J313">
        <v>0</v>
      </c>
      <c r="K313">
        <v>4.8</v>
      </c>
      <c r="L313">
        <v>227</v>
      </c>
      <c r="M313" t="s">
        <v>17</v>
      </c>
      <c r="N313" t="str">
        <f>IF(ISNUMBER(SEARCH("Streaming", M313)), "streaming", "cinema")</f>
        <v>streaming</v>
      </c>
      <c r="O313" t="str">
        <f>IF(I313=1, "non-original", "original")</f>
        <v>original</v>
      </c>
      <c r="P313" t="str">
        <f>IF(J313 = 1, "franchise", "non-franchise")</f>
        <v>non-franchise</v>
      </c>
      <c r="Q313" t="str">
        <f>IF(OR(I313 = 1,J313 =1), "old", "new")</f>
        <v>new</v>
      </c>
      <c r="R313">
        <f t="shared" si="8"/>
        <v>0.19840102610034746</v>
      </c>
      <c r="S313">
        <f>IF(Q313="new",1.5,1)*(K313/10)*(1-(MIN(F313,180)/180))</f>
        <v>0.35599999999999998</v>
      </c>
      <c r="T313" t="str">
        <f t="shared" si="9"/>
        <v>Scenario 3: Strong Convenience</v>
      </c>
    </row>
    <row r="314" spans="1:20" x14ac:dyDescent="0.35">
      <c r="A314" t="s">
        <v>433</v>
      </c>
      <c r="B314" s="1">
        <v>44771</v>
      </c>
      <c r="C314">
        <v>2022</v>
      </c>
      <c r="D314">
        <v>7</v>
      </c>
      <c r="E314" t="s">
        <v>78</v>
      </c>
      <c r="F314">
        <v>90</v>
      </c>
      <c r="G314" t="s">
        <v>29</v>
      </c>
      <c r="H314" t="s">
        <v>24</v>
      </c>
      <c r="I314">
        <v>0</v>
      </c>
      <c r="J314">
        <v>0</v>
      </c>
      <c r="K314">
        <v>4.0999999999999996</v>
      </c>
      <c r="L314">
        <v>793</v>
      </c>
      <c r="M314" t="s">
        <v>17</v>
      </c>
      <c r="N314" t="str">
        <f>IF(ISNUMBER(SEARCH("Streaming", M314)), "streaming", "cinema")</f>
        <v>streaming</v>
      </c>
      <c r="O314" t="str">
        <f>IF(I314=1, "non-original", "original")</f>
        <v>original</v>
      </c>
      <c r="P314" t="str">
        <f>IF(J314 = 1, "franchise", "non-franchise")</f>
        <v>non-franchise</v>
      </c>
      <c r="Q314" t="str">
        <f>IF(OR(I314 = 1,J314 =1), "old", "new")</f>
        <v>new</v>
      </c>
      <c r="R314">
        <f t="shared" si="8"/>
        <v>0.24146496021221248</v>
      </c>
      <c r="S314">
        <f>IF(Q314="new",1.5,1)*(K314/10)*(1-(MIN(F314,180)/180))</f>
        <v>0.3075</v>
      </c>
      <c r="T314" t="str">
        <f t="shared" si="9"/>
        <v>Scenario 2: Weak Commitment/Convenience</v>
      </c>
    </row>
    <row r="315" spans="1:20" x14ac:dyDescent="0.35">
      <c r="A315" t="s">
        <v>434</v>
      </c>
      <c r="B315" s="1">
        <v>44771</v>
      </c>
      <c r="C315">
        <v>2022</v>
      </c>
      <c r="D315">
        <v>7</v>
      </c>
      <c r="E315" t="s">
        <v>78</v>
      </c>
      <c r="F315">
        <v>122</v>
      </c>
      <c r="G315" t="s">
        <v>269</v>
      </c>
      <c r="H315" t="s">
        <v>27</v>
      </c>
      <c r="I315">
        <v>0</v>
      </c>
      <c r="J315">
        <v>0</v>
      </c>
      <c r="K315">
        <v>6.7</v>
      </c>
      <c r="L315">
        <v>70218</v>
      </c>
      <c r="M315" t="s">
        <v>88</v>
      </c>
      <c r="N315" t="str">
        <f>IF(ISNUMBER(SEARCH("Streaming", M315)), "streaming", "cinema")</f>
        <v>streaming</v>
      </c>
      <c r="O315" t="str">
        <f>IF(I315=1, "non-original", "original")</f>
        <v>original</v>
      </c>
      <c r="P315" t="str">
        <f>IF(J315 = 1, "franchise", "non-franchise")</f>
        <v>non-franchise</v>
      </c>
      <c r="Q315" t="str">
        <f>IF(OR(I315 = 1,J315 =1), "old", "new")</f>
        <v>new</v>
      </c>
      <c r="R315">
        <f t="shared" si="8"/>
        <v>0.54714936299024086</v>
      </c>
      <c r="S315">
        <f>IF(Q315="new",1.5,1)*(K315/10)*(1-(MIN(F315,180)/180))</f>
        <v>0.32383333333333336</v>
      </c>
      <c r="T315" t="str">
        <f t="shared" si="9"/>
        <v>Scenario 4: Hybrid Logic</v>
      </c>
    </row>
    <row r="316" spans="1:20" x14ac:dyDescent="0.35">
      <c r="A316" t="s">
        <v>435</v>
      </c>
      <c r="B316" s="1">
        <v>44776</v>
      </c>
      <c r="C316">
        <v>2022</v>
      </c>
      <c r="D316">
        <v>8</v>
      </c>
      <c r="E316" t="s">
        <v>78</v>
      </c>
      <c r="F316">
        <v>94</v>
      </c>
      <c r="G316" t="s">
        <v>21</v>
      </c>
      <c r="H316" t="s">
        <v>24</v>
      </c>
      <c r="I316">
        <v>0</v>
      </c>
      <c r="J316">
        <v>0</v>
      </c>
      <c r="K316">
        <v>5.9</v>
      </c>
      <c r="L316">
        <v>3330</v>
      </c>
      <c r="M316" t="s">
        <v>17</v>
      </c>
      <c r="N316" t="str">
        <f>IF(ISNUMBER(SEARCH("Streaming", M316)), "streaming", "cinema")</f>
        <v>streaming</v>
      </c>
      <c r="O316" t="str">
        <f>IF(I316=1, "non-original", "original")</f>
        <v>original</v>
      </c>
      <c r="P316" t="str">
        <f>IF(J316 = 1, "franchise", "non-franchise")</f>
        <v>non-franchise</v>
      </c>
      <c r="Q316" t="str">
        <f>IF(OR(I316 = 1,J316 =1), "old", "new")</f>
        <v>new</v>
      </c>
      <c r="R316">
        <f t="shared" si="8"/>
        <v>0.3064040129433066</v>
      </c>
      <c r="S316">
        <f>IF(Q316="new",1.5,1)*(K316/10)*(1-(MIN(F316,180)/180))</f>
        <v>0.42283333333333334</v>
      </c>
      <c r="T316" t="str">
        <f t="shared" si="9"/>
        <v>Scenario 3: Strong Convenience</v>
      </c>
    </row>
    <row r="317" spans="1:20" x14ac:dyDescent="0.35">
      <c r="A317" t="s">
        <v>436</v>
      </c>
      <c r="B317" s="1">
        <v>44776</v>
      </c>
      <c r="C317">
        <v>2022</v>
      </c>
      <c r="D317">
        <v>8</v>
      </c>
      <c r="E317" t="s">
        <v>78</v>
      </c>
      <c r="F317">
        <v>85</v>
      </c>
      <c r="G317" t="s">
        <v>29</v>
      </c>
      <c r="H317" t="s">
        <v>30</v>
      </c>
      <c r="I317">
        <v>0</v>
      </c>
      <c r="J317">
        <v>0</v>
      </c>
      <c r="K317">
        <v>4.7</v>
      </c>
      <c r="L317">
        <v>973</v>
      </c>
      <c r="M317" t="s">
        <v>17</v>
      </c>
      <c r="N317" t="str">
        <f>IF(ISNUMBER(SEARCH("Streaming", M317)), "streaming", "cinema")</f>
        <v>streaming</v>
      </c>
      <c r="O317" t="str">
        <f>IF(I317=1, "non-original", "original")</f>
        <v>original</v>
      </c>
      <c r="P317" t="str">
        <f>IF(J317 = 1, "franchise", "non-franchise")</f>
        <v>non-franchise</v>
      </c>
      <c r="Q317" t="str">
        <f>IF(OR(I317 = 1,J317 =1), "old", "new")</f>
        <v>new</v>
      </c>
      <c r="R317">
        <f t="shared" si="8"/>
        <v>0.2350381654098733</v>
      </c>
      <c r="S317">
        <f>IF(Q317="new",1.5,1)*(K317/10)*(1-(MIN(F317,180)/180))</f>
        <v>0.37208333333333338</v>
      </c>
      <c r="T317" t="str">
        <f t="shared" si="9"/>
        <v>Scenario 3: Strong Convenience</v>
      </c>
    </row>
    <row r="318" spans="1:20" x14ac:dyDescent="0.35">
      <c r="A318" t="s">
        <v>437</v>
      </c>
      <c r="B318" s="1">
        <v>44777</v>
      </c>
      <c r="C318">
        <v>2022</v>
      </c>
      <c r="D318">
        <v>8</v>
      </c>
      <c r="E318" t="s">
        <v>78</v>
      </c>
      <c r="F318">
        <v>97</v>
      </c>
      <c r="G318" t="s">
        <v>21</v>
      </c>
      <c r="H318" t="s">
        <v>30</v>
      </c>
      <c r="I318">
        <v>0</v>
      </c>
      <c r="J318">
        <v>0</v>
      </c>
      <c r="K318">
        <v>6.4</v>
      </c>
      <c r="L318">
        <v>12281</v>
      </c>
      <c r="M318" t="s">
        <v>17</v>
      </c>
      <c r="N318" t="str">
        <f>IF(ISNUMBER(SEARCH("Streaming", M318)), "streaming", "cinema")</f>
        <v>streaming</v>
      </c>
      <c r="O318" t="str">
        <f>IF(I318=1, "non-original", "original")</f>
        <v>original</v>
      </c>
      <c r="P318" t="str">
        <f>IF(J318 = 1, "franchise", "non-franchise")</f>
        <v>non-franchise</v>
      </c>
      <c r="Q318" t="str">
        <f>IF(OR(I318 = 1,J318 =1), "old", "new")</f>
        <v>new</v>
      </c>
      <c r="R318">
        <f t="shared" si="8"/>
        <v>0.36705922046063783</v>
      </c>
      <c r="S318">
        <f>IF(Q318="new",1.5,1)*(K318/10)*(1-(MIN(F318,180)/180))</f>
        <v>0.44266666666666665</v>
      </c>
      <c r="T318" t="str">
        <f t="shared" si="9"/>
        <v>Scenario 3: Strong Convenience</v>
      </c>
    </row>
    <row r="319" spans="1:20" x14ac:dyDescent="0.35">
      <c r="A319" t="s">
        <v>438</v>
      </c>
      <c r="B319" s="1">
        <v>44778</v>
      </c>
      <c r="C319">
        <v>2022</v>
      </c>
      <c r="D319">
        <v>8</v>
      </c>
      <c r="E319" t="s">
        <v>78</v>
      </c>
      <c r="F319">
        <v>134</v>
      </c>
      <c r="G319" t="s">
        <v>58</v>
      </c>
      <c r="H319" t="s">
        <v>265</v>
      </c>
      <c r="I319">
        <v>0</v>
      </c>
      <c r="J319">
        <v>0</v>
      </c>
      <c r="K319">
        <v>5.0999999999999996</v>
      </c>
      <c r="L319">
        <v>10743</v>
      </c>
      <c r="M319" t="s">
        <v>88</v>
      </c>
      <c r="N319" t="str">
        <f>IF(ISNUMBER(SEARCH("Streaming", M319)), "streaming", "cinema")</f>
        <v>streaming</v>
      </c>
      <c r="O319" t="str">
        <f>IF(I319=1, "non-original", "original")</f>
        <v>original</v>
      </c>
      <c r="P319" t="str">
        <f>IF(J319 = 1, "franchise", "non-franchise")</f>
        <v>non-franchise</v>
      </c>
      <c r="Q319" t="str">
        <f>IF(OR(I319 = 1,J319 =1), "old", "new")</f>
        <v>new</v>
      </c>
      <c r="R319">
        <f t="shared" si="8"/>
        <v>0.49986599651423663</v>
      </c>
      <c r="S319">
        <f>IF(Q319="new",1.5,1)*(K319/10)*(1-(MIN(F319,180)/180))</f>
        <v>0.19549999999999998</v>
      </c>
      <c r="T319" t="str">
        <f t="shared" si="9"/>
        <v>Scenario 1: Strong Commitment</v>
      </c>
    </row>
    <row r="320" spans="1:20" x14ac:dyDescent="0.35">
      <c r="A320" t="s">
        <v>439</v>
      </c>
      <c r="B320" s="1">
        <v>44778</v>
      </c>
      <c r="C320">
        <v>2022</v>
      </c>
      <c r="D320">
        <v>8</v>
      </c>
      <c r="E320" t="s">
        <v>78</v>
      </c>
      <c r="F320">
        <v>134</v>
      </c>
      <c r="G320" t="s">
        <v>116</v>
      </c>
      <c r="H320" t="s">
        <v>30</v>
      </c>
      <c r="I320">
        <v>0</v>
      </c>
      <c r="J320">
        <v>0</v>
      </c>
      <c r="K320">
        <v>6.7</v>
      </c>
      <c r="L320">
        <v>23231</v>
      </c>
      <c r="M320" t="s">
        <v>88</v>
      </c>
      <c r="N320" t="str">
        <f>IF(ISNUMBER(SEARCH("Streaming", M320)), "streaming", "cinema")</f>
        <v>streaming</v>
      </c>
      <c r="O320" t="str">
        <f>IF(I320=1, "non-original", "original")</f>
        <v>original</v>
      </c>
      <c r="P320" t="str">
        <f>IF(J320 = 1, "franchise", "non-franchise")</f>
        <v>non-franchise</v>
      </c>
      <c r="Q320" t="str">
        <f>IF(OR(I320 = 1,J320 =1), "old", "new")</f>
        <v>new</v>
      </c>
      <c r="R320">
        <f t="shared" si="8"/>
        <v>0.54139937917757552</v>
      </c>
      <c r="S320">
        <f>IF(Q320="new",1.5,1)*(K320/10)*(1-(MIN(F320,180)/180))</f>
        <v>0.25683333333333336</v>
      </c>
      <c r="T320" t="str">
        <f t="shared" si="9"/>
        <v>Scenario 1: Strong Commitment</v>
      </c>
    </row>
    <row r="321" spans="1:20" x14ac:dyDescent="0.35">
      <c r="A321" t="s">
        <v>440</v>
      </c>
      <c r="B321" s="1">
        <v>44778</v>
      </c>
      <c r="C321">
        <v>2022</v>
      </c>
      <c r="D321">
        <v>8</v>
      </c>
      <c r="E321" t="s">
        <v>78</v>
      </c>
      <c r="F321">
        <v>82</v>
      </c>
      <c r="G321" t="s">
        <v>441</v>
      </c>
      <c r="H321" t="s">
        <v>56</v>
      </c>
      <c r="I321">
        <v>0</v>
      </c>
      <c r="J321">
        <v>0</v>
      </c>
      <c r="K321">
        <v>6.2</v>
      </c>
      <c r="L321">
        <v>7826</v>
      </c>
      <c r="M321" t="s">
        <v>17</v>
      </c>
      <c r="N321" t="str">
        <f>IF(ISNUMBER(SEARCH("Streaming", M321)), "streaming", "cinema")</f>
        <v>streaming</v>
      </c>
      <c r="O321" t="str">
        <f>IF(I321=1, "non-original", "original")</f>
        <v>original</v>
      </c>
      <c r="P321" t="str">
        <f>IF(J321 = 1, "franchise", "non-franchise")</f>
        <v>non-franchise</v>
      </c>
      <c r="Q321" t="str">
        <f>IF(OR(I321 = 1,J321 =1), "old", "new")</f>
        <v>new</v>
      </c>
      <c r="R321">
        <f t="shared" si="8"/>
        <v>0.29544792542769871</v>
      </c>
      <c r="S321">
        <f>IF(Q321="new",1.5,1)*(K321/10)*(1-(MIN(F321,180)/180))</f>
        <v>0.50633333333333341</v>
      </c>
      <c r="T321" t="str">
        <f t="shared" si="9"/>
        <v>Scenario 3: Strong Convenience</v>
      </c>
    </row>
    <row r="322" spans="1:20" x14ac:dyDescent="0.35">
      <c r="A322" t="s">
        <v>442</v>
      </c>
      <c r="B322" s="1">
        <v>44783</v>
      </c>
      <c r="C322">
        <v>2022</v>
      </c>
      <c r="D322">
        <v>8</v>
      </c>
      <c r="E322" t="s">
        <v>78</v>
      </c>
      <c r="F322">
        <v>95</v>
      </c>
      <c r="G322" t="s">
        <v>29</v>
      </c>
      <c r="H322" t="s">
        <v>30</v>
      </c>
      <c r="I322">
        <v>0</v>
      </c>
      <c r="J322">
        <v>0</v>
      </c>
      <c r="K322">
        <v>5.8</v>
      </c>
      <c r="L322">
        <v>2314</v>
      </c>
      <c r="M322" t="s">
        <v>17</v>
      </c>
      <c r="N322" t="str">
        <f>IF(ISNUMBER(SEARCH("Streaming", M322)), "streaming", "cinema")</f>
        <v>streaming</v>
      </c>
      <c r="O322" t="str">
        <f>IF(I322=1, "non-original", "original")</f>
        <v>original</v>
      </c>
      <c r="P322" t="str">
        <f>IF(J322 = 1, "franchise", "non-franchise")</f>
        <v>non-franchise</v>
      </c>
      <c r="Q322" t="str">
        <f>IF(OR(I322 = 1,J322 =1), "old", "new")</f>
        <v>new</v>
      </c>
      <c r="R322">
        <f t="shared" si="8"/>
        <v>0.29576649062697369</v>
      </c>
      <c r="S322">
        <f>IF(Q322="new",1.5,1)*(K322/10)*(1-(MIN(F322,180)/180))</f>
        <v>0.41083333333333327</v>
      </c>
      <c r="T322" t="str">
        <f t="shared" si="9"/>
        <v>Scenario 3: Strong Convenience</v>
      </c>
    </row>
    <row r="323" spans="1:20" x14ac:dyDescent="0.35">
      <c r="A323" t="s">
        <v>443</v>
      </c>
      <c r="B323" s="1">
        <v>44785</v>
      </c>
      <c r="C323">
        <v>2022</v>
      </c>
      <c r="D323">
        <v>8</v>
      </c>
      <c r="E323" t="s">
        <v>78</v>
      </c>
      <c r="F323">
        <v>94</v>
      </c>
      <c r="G323" t="s">
        <v>188</v>
      </c>
      <c r="H323" t="s">
        <v>56</v>
      </c>
      <c r="I323">
        <v>0</v>
      </c>
      <c r="J323">
        <v>0</v>
      </c>
      <c r="K323">
        <v>5.2</v>
      </c>
      <c r="L323">
        <v>1249</v>
      </c>
      <c r="M323" t="s">
        <v>17</v>
      </c>
      <c r="N323" t="str">
        <f>IF(ISNUMBER(SEARCH("Streaming", M323)), "streaming", "cinema")</f>
        <v>streaming</v>
      </c>
      <c r="O323" t="str">
        <f>IF(I323=1, "non-original", "original")</f>
        <v>original</v>
      </c>
      <c r="P323" t="str">
        <f>IF(J323 = 1, "franchise", "non-franchise")</f>
        <v>non-franchise</v>
      </c>
      <c r="Q323" t="str">
        <f>IF(OR(I323 = 1,J323 =1), "old", "new")</f>
        <v>new</v>
      </c>
      <c r="R323">
        <f t="shared" ref="R323:R386" si="10">IF(Q323="old",1.5,1)*(LOG10(L323)/LOG10(MAX($L$2:$L$1078)))*(MIN(F323,180)/180)</f>
        <v>0.26935817703574821</v>
      </c>
      <c r="S323">
        <f>IF(Q323="new",1.5,1)*(K323/10)*(1-(MIN(F323,180)/180))</f>
        <v>0.37266666666666665</v>
      </c>
      <c r="T323" t="str">
        <f t="shared" ref="T323:T386" si="11">IF(AND(R323&gt;=AVERAGE($R$2:$R$1078),S323&gt;=AVERAGE($S$2:$S$1078)),"Scenario 4: Hybrid Logic",
 IF(AND(R323&gt;=AVERAGE($R$2:$R$1078),S323&lt;AVERAGE($S$2:$S$1078)),"Scenario 1: Strong Commitment",
  IF(AND(R323&lt;AVERAGE($R$2:$R$1078),S323&gt;=AVERAGE($S$2:$S$1078)),"Scenario 3: Strong Convenience",
   "Scenario 2: Weak Commitment/Convenience")))</f>
        <v>Scenario 3: Strong Convenience</v>
      </c>
    </row>
    <row r="324" spans="1:20" x14ac:dyDescent="0.35">
      <c r="A324" t="s">
        <v>444</v>
      </c>
      <c r="B324" s="1">
        <v>44785</v>
      </c>
      <c r="C324">
        <v>2022</v>
      </c>
      <c r="D324">
        <v>8</v>
      </c>
      <c r="E324" t="s">
        <v>78</v>
      </c>
      <c r="F324">
        <v>113</v>
      </c>
      <c r="G324" t="s">
        <v>445</v>
      </c>
      <c r="H324" t="s">
        <v>24</v>
      </c>
      <c r="I324">
        <v>0</v>
      </c>
      <c r="J324">
        <v>0</v>
      </c>
      <c r="K324">
        <v>6.1</v>
      </c>
      <c r="L324">
        <v>98521</v>
      </c>
      <c r="M324" t="s">
        <v>88</v>
      </c>
      <c r="N324" t="str">
        <f>IF(ISNUMBER(SEARCH("Streaming", M324)), "streaming", "cinema")</f>
        <v>streaming</v>
      </c>
      <c r="O324" t="str">
        <f>IF(I324=1, "non-original", "original")</f>
        <v>original</v>
      </c>
      <c r="P324" t="str">
        <f>IF(J324 = 1, "franchise", "non-franchise")</f>
        <v>non-franchise</v>
      </c>
      <c r="Q324" t="str">
        <f>IF(OR(I324 = 1,J324 =1), "old", "new")</f>
        <v>new</v>
      </c>
      <c r="R324">
        <f t="shared" si="10"/>
        <v>0.5221658588065845</v>
      </c>
      <c r="S324">
        <f>IF(Q324="new",1.5,1)*(K324/10)*(1-(MIN(F324,180)/180))</f>
        <v>0.34058333333333335</v>
      </c>
      <c r="T324" t="str">
        <f t="shared" si="11"/>
        <v>Scenario 4: Hybrid Logic</v>
      </c>
    </row>
    <row r="325" spans="1:20" x14ac:dyDescent="0.35">
      <c r="A325" t="s">
        <v>446</v>
      </c>
      <c r="B325" s="1">
        <v>44790</v>
      </c>
      <c r="C325">
        <v>2022</v>
      </c>
      <c r="D325">
        <v>8</v>
      </c>
      <c r="E325" t="s">
        <v>78</v>
      </c>
      <c r="F325">
        <v>111</v>
      </c>
      <c r="G325" t="s">
        <v>29</v>
      </c>
      <c r="H325" t="s">
        <v>27</v>
      </c>
      <c r="I325">
        <v>0</v>
      </c>
      <c r="J325">
        <v>0</v>
      </c>
      <c r="K325">
        <v>6.3</v>
      </c>
      <c r="L325">
        <v>26940</v>
      </c>
      <c r="M325" t="s">
        <v>17</v>
      </c>
      <c r="N325" t="str">
        <f>IF(ISNUMBER(SEARCH("Streaming", M325)), "streaming", "cinema")</f>
        <v>streaming</v>
      </c>
      <c r="O325" t="str">
        <f>IF(I325=1, "non-original", "original")</f>
        <v>original</v>
      </c>
      <c r="P325" t="str">
        <f>IF(J325 = 1, "franchise", "non-franchise")</f>
        <v>non-franchise</v>
      </c>
      <c r="Q325" t="str">
        <f>IF(OR(I325 = 1,J325 =1), "old", "new")</f>
        <v>new</v>
      </c>
      <c r="R325">
        <f t="shared" si="10"/>
        <v>0.45508041996986393</v>
      </c>
      <c r="S325">
        <f>IF(Q325="new",1.5,1)*(K325/10)*(1-(MIN(F325,180)/180))</f>
        <v>0.36225000000000002</v>
      </c>
      <c r="T325" t="str">
        <f t="shared" si="11"/>
        <v>Scenario 3: Strong Convenience</v>
      </c>
    </row>
    <row r="326" spans="1:20" x14ac:dyDescent="0.35">
      <c r="A326" t="s">
        <v>447</v>
      </c>
      <c r="B326" s="1">
        <v>44790</v>
      </c>
      <c r="C326">
        <v>2022</v>
      </c>
      <c r="D326">
        <v>8</v>
      </c>
      <c r="E326" t="s">
        <v>78</v>
      </c>
      <c r="F326">
        <v>108</v>
      </c>
      <c r="G326" t="s">
        <v>448</v>
      </c>
      <c r="H326" t="s">
        <v>24</v>
      </c>
      <c r="I326">
        <v>0</v>
      </c>
      <c r="J326">
        <v>0</v>
      </c>
      <c r="K326">
        <v>5.3</v>
      </c>
      <c r="L326">
        <v>3200</v>
      </c>
      <c r="M326" t="s">
        <v>17</v>
      </c>
      <c r="N326" t="str">
        <f>IF(ISNUMBER(SEARCH("Streaming", M326)), "streaming", "cinema")</f>
        <v>streaming</v>
      </c>
      <c r="O326" t="str">
        <f>IF(I326=1, "non-original", "original")</f>
        <v>original</v>
      </c>
      <c r="P326" t="str">
        <f>IF(J326 = 1, "franchise", "non-franchise")</f>
        <v>non-franchise</v>
      </c>
      <c r="Q326" t="str">
        <f>IF(OR(I326 = 1,J326 =1), "old", "new")</f>
        <v>new</v>
      </c>
      <c r="R326">
        <f t="shared" si="10"/>
        <v>0.35031023792659394</v>
      </c>
      <c r="S326">
        <f>IF(Q326="new",1.5,1)*(K326/10)*(1-(MIN(F326,180)/180))</f>
        <v>0.31800000000000006</v>
      </c>
      <c r="T326" t="str">
        <f t="shared" si="11"/>
        <v>Scenario 3: Strong Convenience</v>
      </c>
    </row>
    <row r="327" spans="1:20" x14ac:dyDescent="0.35">
      <c r="A327" t="s">
        <v>449</v>
      </c>
      <c r="B327" s="1">
        <v>44792</v>
      </c>
      <c r="C327">
        <v>2022</v>
      </c>
      <c r="D327">
        <v>8</v>
      </c>
      <c r="E327" t="s">
        <v>78</v>
      </c>
      <c r="F327">
        <v>113</v>
      </c>
      <c r="G327" t="s">
        <v>397</v>
      </c>
      <c r="H327" t="s">
        <v>24</v>
      </c>
      <c r="I327">
        <v>0</v>
      </c>
      <c r="J327">
        <v>0</v>
      </c>
      <c r="K327">
        <v>2.9</v>
      </c>
      <c r="L327">
        <v>12940</v>
      </c>
      <c r="M327" t="s">
        <v>17</v>
      </c>
      <c r="N327" t="str">
        <f>IF(ISNUMBER(SEARCH("Streaming", M327)), "streaming", "cinema")</f>
        <v>streaming</v>
      </c>
      <c r="O327" t="str">
        <f>IF(I327=1, "non-original", "original")</f>
        <v>original</v>
      </c>
      <c r="P327" t="str">
        <f>IF(J327 = 1, "franchise", "non-franchise")</f>
        <v>non-franchise</v>
      </c>
      <c r="Q327" t="str">
        <f>IF(OR(I327 = 1,J327 =1), "old", "new")</f>
        <v>new</v>
      </c>
      <c r="R327">
        <f t="shared" si="10"/>
        <v>0.42997883338242487</v>
      </c>
      <c r="S327">
        <f>IF(Q327="new",1.5,1)*(K327/10)*(1-(MIN(F327,180)/180))</f>
        <v>0.16191666666666665</v>
      </c>
      <c r="T327" t="str">
        <f t="shared" si="11"/>
        <v>Scenario 2: Weak Commitment/Convenience</v>
      </c>
    </row>
    <row r="328" spans="1:20" x14ac:dyDescent="0.35">
      <c r="A328" t="s">
        <v>450</v>
      </c>
      <c r="B328" s="1">
        <v>44798</v>
      </c>
      <c r="C328">
        <v>2022</v>
      </c>
      <c r="D328">
        <v>8</v>
      </c>
      <c r="E328" t="s">
        <v>78</v>
      </c>
      <c r="F328">
        <v>96</v>
      </c>
      <c r="G328" t="s">
        <v>29</v>
      </c>
      <c r="H328" t="s">
        <v>27</v>
      </c>
      <c r="I328">
        <v>0</v>
      </c>
      <c r="J328">
        <v>0</v>
      </c>
      <c r="K328">
        <v>5.4</v>
      </c>
      <c r="L328">
        <v>4460</v>
      </c>
      <c r="M328" t="s">
        <v>17</v>
      </c>
      <c r="N328" t="str">
        <f>IF(ISNUMBER(SEARCH("Streaming", M328)), "streaming", "cinema")</f>
        <v>streaming</v>
      </c>
      <c r="O328" t="str">
        <f>IF(I328=1, "non-original", "original")</f>
        <v>original</v>
      </c>
      <c r="P328" t="str">
        <f>IF(J328 = 1, "franchise", "non-franchise")</f>
        <v>non-franchise</v>
      </c>
      <c r="Q328" t="str">
        <f>IF(OR(I328 = 1,J328 =1), "old", "new")</f>
        <v>new</v>
      </c>
      <c r="R328">
        <f t="shared" si="10"/>
        <v>0.32419582500959615</v>
      </c>
      <c r="S328">
        <f>IF(Q328="new",1.5,1)*(K328/10)*(1-(MIN(F328,180)/180))</f>
        <v>0.37800000000000006</v>
      </c>
      <c r="T328" t="str">
        <f t="shared" si="11"/>
        <v>Scenario 3: Strong Convenience</v>
      </c>
    </row>
    <row r="329" spans="1:20" x14ac:dyDescent="0.35">
      <c r="A329" t="s">
        <v>451</v>
      </c>
      <c r="B329" s="1">
        <v>44799</v>
      </c>
      <c r="C329">
        <v>2022</v>
      </c>
      <c r="D329">
        <v>8</v>
      </c>
      <c r="E329" t="s">
        <v>78</v>
      </c>
      <c r="F329">
        <v>105</v>
      </c>
      <c r="G329" t="s">
        <v>19</v>
      </c>
      <c r="H329" t="s">
        <v>30</v>
      </c>
      <c r="I329">
        <v>0</v>
      </c>
      <c r="J329">
        <v>0</v>
      </c>
      <c r="K329">
        <v>6.5</v>
      </c>
      <c r="L329">
        <v>15952</v>
      </c>
      <c r="M329" t="s">
        <v>88</v>
      </c>
      <c r="N329" t="str">
        <f>IF(ISNUMBER(SEARCH("Streaming", M329)), "streaming", "cinema")</f>
        <v>streaming</v>
      </c>
      <c r="O329" t="str">
        <f>IF(I329=1, "non-original", "original")</f>
        <v>original</v>
      </c>
      <c r="P329" t="str">
        <f>IF(J329 = 1, "franchise", "non-franchise")</f>
        <v>non-franchise</v>
      </c>
      <c r="Q329" t="str">
        <f>IF(OR(I329 = 1,J329 =1), "old", "new")</f>
        <v>new</v>
      </c>
      <c r="R329">
        <f t="shared" si="10"/>
        <v>0.40836833214071727</v>
      </c>
      <c r="S329">
        <f>IF(Q329="new",1.5,1)*(K329/10)*(1-(MIN(F329,180)/180))</f>
        <v>0.40625</v>
      </c>
      <c r="T329" t="str">
        <f t="shared" si="11"/>
        <v>Scenario 3: Strong Convenience</v>
      </c>
    </row>
    <row r="330" spans="1:20" x14ac:dyDescent="0.35">
      <c r="A330" t="s">
        <v>452</v>
      </c>
      <c r="B330" s="1">
        <v>44799</v>
      </c>
      <c r="C330">
        <v>2022</v>
      </c>
      <c r="D330">
        <v>8</v>
      </c>
      <c r="E330" t="s">
        <v>78</v>
      </c>
      <c r="F330">
        <v>104</v>
      </c>
      <c r="G330" t="s">
        <v>21</v>
      </c>
      <c r="H330" t="s">
        <v>24</v>
      </c>
      <c r="I330">
        <v>0</v>
      </c>
      <c r="J330">
        <v>0</v>
      </c>
      <c r="K330">
        <v>5.0999999999999996</v>
      </c>
      <c r="L330">
        <v>45084</v>
      </c>
      <c r="M330" t="s">
        <v>88</v>
      </c>
      <c r="N330" t="str">
        <f>IF(ISNUMBER(SEARCH("Streaming", M330)), "streaming", "cinema")</f>
        <v>streaming</v>
      </c>
      <c r="O330" t="str">
        <f>IF(I330=1, "non-original", "original")</f>
        <v>original</v>
      </c>
      <c r="P330" t="str">
        <f>IF(J330 = 1, "franchise", "non-franchise")</f>
        <v>non-franchise</v>
      </c>
      <c r="Q330" t="str">
        <f>IF(OR(I330 = 1,J330 =1), "old", "new")</f>
        <v>new</v>
      </c>
      <c r="R330">
        <f t="shared" si="10"/>
        <v>0.44790331990208859</v>
      </c>
      <c r="S330">
        <f>IF(Q330="new",1.5,1)*(K330/10)*(1-(MIN(F330,180)/180))</f>
        <v>0.32300000000000006</v>
      </c>
      <c r="T330" t="str">
        <f t="shared" si="11"/>
        <v>Scenario 3: Strong Convenience</v>
      </c>
    </row>
    <row r="331" spans="1:20" x14ac:dyDescent="0.35">
      <c r="A331" t="s">
        <v>453</v>
      </c>
      <c r="B331" s="1">
        <v>44799</v>
      </c>
      <c r="C331">
        <v>2022</v>
      </c>
      <c r="D331">
        <v>8</v>
      </c>
      <c r="E331" t="s">
        <v>78</v>
      </c>
      <c r="F331">
        <v>140</v>
      </c>
      <c r="G331" t="s">
        <v>58</v>
      </c>
      <c r="H331" t="s">
        <v>24</v>
      </c>
      <c r="I331">
        <v>0</v>
      </c>
      <c r="J331">
        <v>0</v>
      </c>
      <c r="K331">
        <v>5.5</v>
      </c>
      <c r="L331">
        <v>2469</v>
      </c>
      <c r="M331" t="s">
        <v>17</v>
      </c>
      <c r="N331" t="str">
        <f>IF(ISNUMBER(SEARCH("Streaming", M331)), "streaming", "cinema")</f>
        <v>streaming</v>
      </c>
      <c r="O331" t="str">
        <f>IF(I331=1, "non-original", "original")</f>
        <v>original</v>
      </c>
      <c r="P331" t="str">
        <f>IF(J331 = 1, "franchise", "non-franchise")</f>
        <v>non-franchise</v>
      </c>
      <c r="Q331" t="str">
        <f>IF(OR(I331 = 1,J331 =1), "old", "new")</f>
        <v>new</v>
      </c>
      <c r="R331">
        <f t="shared" si="10"/>
        <v>0.43951435177922588</v>
      </c>
      <c r="S331">
        <f>IF(Q331="new",1.5,1)*(K331/10)*(1-(MIN(F331,180)/180))</f>
        <v>0.18333333333333335</v>
      </c>
      <c r="T331" t="str">
        <f t="shared" si="11"/>
        <v>Scenario 2: Weak Commitment/Convenience</v>
      </c>
    </row>
    <row r="332" spans="1:20" x14ac:dyDescent="0.35">
      <c r="A332" t="s">
        <v>454</v>
      </c>
      <c r="B332" s="1">
        <v>44804</v>
      </c>
      <c r="C332">
        <v>2022</v>
      </c>
      <c r="D332">
        <v>8</v>
      </c>
      <c r="E332" t="s">
        <v>78</v>
      </c>
      <c r="F332">
        <v>110</v>
      </c>
      <c r="G332" t="s">
        <v>19</v>
      </c>
      <c r="H332" t="s">
        <v>24</v>
      </c>
      <c r="I332">
        <v>0</v>
      </c>
      <c r="J332">
        <v>0</v>
      </c>
      <c r="K332">
        <v>6.2</v>
      </c>
      <c r="L332">
        <v>38882</v>
      </c>
      <c r="M332" t="s">
        <v>17</v>
      </c>
      <c r="N332" t="str">
        <f>IF(ISNUMBER(SEARCH("Streaming", M332)), "streaming", "cinema")</f>
        <v>streaming</v>
      </c>
      <c r="O332" t="str">
        <f>IF(I332=1, "non-original", "original")</f>
        <v>original</v>
      </c>
      <c r="P332" t="str">
        <f>IF(J332 = 1, "franchise", "non-franchise")</f>
        <v>non-franchise</v>
      </c>
      <c r="Q332" t="str">
        <f>IF(OR(I332 = 1,J332 =1), "old", "new")</f>
        <v>new</v>
      </c>
      <c r="R332">
        <f t="shared" si="10"/>
        <v>0.46720131010122873</v>
      </c>
      <c r="S332">
        <f>IF(Q332="new",1.5,1)*(K332/10)*(1-(MIN(F332,180)/180))</f>
        <v>0.36166666666666658</v>
      </c>
      <c r="T332" t="str">
        <f t="shared" si="11"/>
        <v>Scenario 3: Strong Convenience</v>
      </c>
    </row>
    <row r="333" spans="1:20" x14ac:dyDescent="0.35">
      <c r="A333" t="s">
        <v>455</v>
      </c>
      <c r="B333" s="1">
        <v>44805</v>
      </c>
      <c r="C333">
        <v>2022</v>
      </c>
      <c r="D333">
        <v>9</v>
      </c>
      <c r="E333" t="s">
        <v>125</v>
      </c>
      <c r="F333">
        <v>110</v>
      </c>
      <c r="G333" t="s">
        <v>21</v>
      </c>
      <c r="H333" t="s">
        <v>30</v>
      </c>
      <c r="I333">
        <v>0</v>
      </c>
      <c r="J333">
        <v>0</v>
      </c>
      <c r="K333">
        <v>4.5</v>
      </c>
      <c r="L333">
        <v>841</v>
      </c>
      <c r="M333" t="s">
        <v>17</v>
      </c>
      <c r="N333" t="str">
        <f>IF(ISNUMBER(SEARCH("Streaming", M333)), "streaming", "cinema")</f>
        <v>streaming</v>
      </c>
      <c r="O333" t="str">
        <f>IF(I333=1, "non-original", "original")</f>
        <v>original</v>
      </c>
      <c r="P333" t="str">
        <f>IF(J333 = 1, "franchise", "non-franchise")</f>
        <v>non-franchise</v>
      </c>
      <c r="Q333" t="str">
        <f>IF(OR(I333 = 1,J333 =1), "old", "new")</f>
        <v>new</v>
      </c>
      <c r="R333">
        <f t="shared" si="10"/>
        <v>0.29772186699443748</v>
      </c>
      <c r="S333">
        <f>IF(Q333="new",1.5,1)*(K333/10)*(1-(MIN(F333,180)/180))</f>
        <v>0.26250000000000001</v>
      </c>
      <c r="T333" t="str">
        <f t="shared" si="11"/>
        <v>Scenario 2: Weak Commitment/Convenience</v>
      </c>
    </row>
    <row r="334" spans="1:20" x14ac:dyDescent="0.35">
      <c r="A334" t="s">
        <v>456</v>
      </c>
      <c r="B334" s="1">
        <v>44805</v>
      </c>
      <c r="C334">
        <v>2022</v>
      </c>
      <c r="D334">
        <v>9</v>
      </c>
      <c r="E334" t="s">
        <v>125</v>
      </c>
      <c r="F334">
        <v>115</v>
      </c>
      <c r="G334" t="s">
        <v>29</v>
      </c>
      <c r="H334" t="s">
        <v>30</v>
      </c>
      <c r="I334">
        <v>0</v>
      </c>
      <c r="J334">
        <v>0</v>
      </c>
      <c r="K334">
        <v>5.5</v>
      </c>
      <c r="L334">
        <v>15129</v>
      </c>
      <c r="M334" t="s">
        <v>17</v>
      </c>
      <c r="N334" t="str">
        <f>IF(ISNUMBER(SEARCH("Streaming", M334)), "streaming", "cinema")</f>
        <v>streaming</v>
      </c>
      <c r="O334" t="str">
        <f>IF(I334=1, "non-original", "original")</f>
        <v>original</v>
      </c>
      <c r="P334" t="str">
        <f>IF(J334 = 1, "franchise", "non-franchise")</f>
        <v>non-franchise</v>
      </c>
      <c r="Q334" t="str">
        <f>IF(OR(I334 = 1,J334 =1), "old", "new")</f>
        <v>new</v>
      </c>
      <c r="R334">
        <f t="shared" si="10"/>
        <v>0.44481238746834506</v>
      </c>
      <c r="S334">
        <f>IF(Q334="new",1.5,1)*(K334/10)*(1-(MIN(F334,180)/180))</f>
        <v>0.29791666666666672</v>
      </c>
      <c r="T334" t="str">
        <f t="shared" si="11"/>
        <v>Scenario 2: Weak Commitment/Convenience</v>
      </c>
    </row>
    <row r="335" spans="1:20" x14ac:dyDescent="0.35">
      <c r="A335" t="s">
        <v>457</v>
      </c>
      <c r="B335" s="1">
        <v>44806</v>
      </c>
      <c r="C335">
        <v>2022</v>
      </c>
      <c r="D335">
        <v>9</v>
      </c>
      <c r="E335" t="s">
        <v>125</v>
      </c>
      <c r="F335">
        <v>102</v>
      </c>
      <c r="G335" t="s">
        <v>34</v>
      </c>
      <c r="H335" t="s">
        <v>24</v>
      </c>
      <c r="I335">
        <v>0</v>
      </c>
      <c r="J335">
        <v>0</v>
      </c>
      <c r="K335">
        <v>5.8</v>
      </c>
      <c r="L335">
        <v>3452</v>
      </c>
      <c r="M335" t="s">
        <v>17</v>
      </c>
      <c r="N335" t="str">
        <f>IF(ISNUMBER(SEARCH("Streaming", M335)), "streaming", "cinema")</f>
        <v>streaming</v>
      </c>
      <c r="O335" t="str">
        <f>IF(I335=1, "non-original", "original")</f>
        <v>original</v>
      </c>
      <c r="P335" t="str">
        <f>IF(J335 = 1, "franchise", "non-franchise")</f>
        <v>non-franchise</v>
      </c>
      <c r="Q335" t="str">
        <f>IF(OR(I335 = 1,J335 =1), "old", "new")</f>
        <v>new</v>
      </c>
      <c r="R335">
        <f t="shared" si="10"/>
        <v>0.33395592924216833</v>
      </c>
      <c r="S335">
        <f>IF(Q335="new",1.5,1)*(K335/10)*(1-(MIN(F335,180)/180))</f>
        <v>0.37699999999999995</v>
      </c>
      <c r="T335" t="str">
        <f t="shared" si="11"/>
        <v>Scenario 3: Strong Convenience</v>
      </c>
    </row>
    <row r="336" spans="1:20" x14ac:dyDescent="0.35">
      <c r="A336" t="s">
        <v>458</v>
      </c>
      <c r="B336" s="1">
        <v>44813</v>
      </c>
      <c r="C336">
        <v>2022</v>
      </c>
      <c r="D336">
        <v>9</v>
      </c>
      <c r="E336" t="s">
        <v>125</v>
      </c>
      <c r="F336">
        <v>91</v>
      </c>
      <c r="G336" t="s">
        <v>76</v>
      </c>
      <c r="H336" t="s">
        <v>24</v>
      </c>
      <c r="I336">
        <v>0</v>
      </c>
      <c r="J336">
        <v>0</v>
      </c>
      <c r="K336">
        <v>4.8</v>
      </c>
      <c r="L336">
        <v>9702</v>
      </c>
      <c r="M336" t="s">
        <v>17</v>
      </c>
      <c r="N336" t="str">
        <f>IF(ISNUMBER(SEARCH("Streaming", M336)), "streaming", "cinema")</f>
        <v>streaming</v>
      </c>
      <c r="O336" t="str">
        <f>IF(I336=1, "non-original", "original")</f>
        <v>original</v>
      </c>
      <c r="P336" t="str">
        <f>IF(J336 = 1, "franchise", "non-franchise")</f>
        <v>non-franchise</v>
      </c>
      <c r="Q336" t="str">
        <f>IF(OR(I336 = 1,J336 =1), "old", "new")</f>
        <v>new</v>
      </c>
      <c r="R336">
        <f t="shared" si="10"/>
        <v>0.33573373761170988</v>
      </c>
      <c r="S336">
        <f>IF(Q336="new",1.5,1)*(K336/10)*(1-(MIN(F336,180)/180))</f>
        <v>0.35599999999999998</v>
      </c>
      <c r="T336" t="str">
        <f t="shared" si="11"/>
        <v>Scenario 3: Strong Convenience</v>
      </c>
    </row>
    <row r="337" spans="1:20" x14ac:dyDescent="0.35">
      <c r="A337" t="s">
        <v>459</v>
      </c>
      <c r="B337" s="1">
        <v>44813</v>
      </c>
      <c r="C337">
        <v>2022</v>
      </c>
      <c r="D337">
        <v>9</v>
      </c>
      <c r="E337" t="s">
        <v>125</v>
      </c>
      <c r="F337">
        <v>118</v>
      </c>
      <c r="G337" t="s">
        <v>19</v>
      </c>
      <c r="H337" t="s">
        <v>30</v>
      </c>
      <c r="I337">
        <v>0</v>
      </c>
      <c r="J337">
        <v>0</v>
      </c>
      <c r="K337">
        <v>5.8</v>
      </c>
      <c r="L337">
        <v>4465</v>
      </c>
      <c r="M337" t="s">
        <v>88</v>
      </c>
      <c r="N337" t="str">
        <f>IF(ISNUMBER(SEARCH("Streaming", M337)), "streaming", "cinema")</f>
        <v>streaming</v>
      </c>
      <c r="O337" t="str">
        <f>IF(I337=1, "non-original", "original")</f>
        <v>original</v>
      </c>
      <c r="P337" t="str">
        <f>IF(J337 = 1, "franchise", "non-franchise")</f>
        <v>non-franchise</v>
      </c>
      <c r="Q337" t="str">
        <f>IF(OR(I337 = 1,J337 =1), "old", "new")</f>
        <v>new</v>
      </c>
      <c r="R337">
        <f t="shared" si="10"/>
        <v>0.39854383656493109</v>
      </c>
      <c r="S337">
        <f>IF(Q337="new",1.5,1)*(K337/10)*(1-(MIN(F337,180)/180))</f>
        <v>0.29966666666666664</v>
      </c>
      <c r="T337" t="str">
        <f t="shared" si="11"/>
        <v>Scenario 2: Weak Commitment/Convenience</v>
      </c>
    </row>
    <row r="338" spans="1:20" x14ac:dyDescent="0.35">
      <c r="A338" t="s">
        <v>460</v>
      </c>
      <c r="B338" s="1">
        <v>44818</v>
      </c>
      <c r="C338">
        <v>2022</v>
      </c>
      <c r="D338">
        <v>9</v>
      </c>
      <c r="E338" t="s">
        <v>125</v>
      </c>
      <c r="F338">
        <v>102</v>
      </c>
      <c r="G338" t="s">
        <v>19</v>
      </c>
      <c r="H338" t="s">
        <v>30</v>
      </c>
      <c r="I338">
        <v>0</v>
      </c>
      <c r="J338">
        <v>0</v>
      </c>
      <c r="K338">
        <v>6</v>
      </c>
      <c r="L338">
        <v>2529</v>
      </c>
      <c r="M338" t="s">
        <v>17</v>
      </c>
      <c r="N338" t="str">
        <f>IF(ISNUMBER(SEARCH("Streaming", M338)), "streaming", "cinema")</f>
        <v>streaming</v>
      </c>
      <c r="O338" t="str">
        <f>IF(I338=1, "non-original", "original")</f>
        <v>original</v>
      </c>
      <c r="P338" t="str">
        <f>IF(J338 = 1, "franchise", "non-franchise")</f>
        <v>non-franchise</v>
      </c>
      <c r="Q338" t="str">
        <f>IF(OR(I338 = 1,J338 =1), "old", "new")</f>
        <v>new</v>
      </c>
      <c r="R338">
        <f t="shared" si="10"/>
        <v>0.32120186589511346</v>
      </c>
      <c r="S338">
        <f>IF(Q338="new",1.5,1)*(K338/10)*(1-(MIN(F338,180)/180))</f>
        <v>0.38999999999999996</v>
      </c>
      <c r="T338" t="str">
        <f t="shared" si="11"/>
        <v>Scenario 3: Strong Convenience</v>
      </c>
    </row>
    <row r="339" spans="1:20" x14ac:dyDescent="0.35">
      <c r="A339" t="s">
        <v>461</v>
      </c>
      <c r="B339" s="1">
        <v>44820</v>
      </c>
      <c r="C339">
        <v>2022</v>
      </c>
      <c r="D339">
        <v>9</v>
      </c>
      <c r="E339" t="s">
        <v>125</v>
      </c>
      <c r="F339">
        <v>118</v>
      </c>
      <c r="G339" t="s">
        <v>73</v>
      </c>
      <c r="H339" t="s">
        <v>16</v>
      </c>
      <c r="I339">
        <v>0</v>
      </c>
      <c r="J339">
        <v>0</v>
      </c>
      <c r="K339">
        <v>6.3</v>
      </c>
      <c r="L339">
        <v>56580</v>
      </c>
      <c r="M339" t="s">
        <v>17</v>
      </c>
      <c r="N339" t="str">
        <f>IF(ISNUMBER(SEARCH("Streaming", M339)), "streaming", "cinema")</f>
        <v>streaming</v>
      </c>
      <c r="O339" t="str">
        <f>IF(I339=1, "non-original", "original")</f>
        <v>original</v>
      </c>
      <c r="P339" t="str">
        <f>IF(J339 = 1, "franchise", "non-franchise")</f>
        <v>non-franchise</v>
      </c>
      <c r="Q339" t="str">
        <f>IF(OR(I339 = 1,J339 =1), "old", "new")</f>
        <v>new</v>
      </c>
      <c r="R339">
        <f t="shared" si="10"/>
        <v>0.51896908995048752</v>
      </c>
      <c r="S339">
        <f>IF(Q339="new",1.5,1)*(K339/10)*(1-(MIN(F339,180)/180))</f>
        <v>0.32550000000000001</v>
      </c>
      <c r="T339" t="str">
        <f t="shared" si="11"/>
        <v>Scenario 4: Hybrid Logic</v>
      </c>
    </row>
    <row r="340" spans="1:20" x14ac:dyDescent="0.35">
      <c r="A340" t="s">
        <v>462</v>
      </c>
      <c r="B340" s="1">
        <v>44820</v>
      </c>
      <c r="C340">
        <v>2022</v>
      </c>
      <c r="D340">
        <v>9</v>
      </c>
      <c r="E340" t="s">
        <v>125</v>
      </c>
      <c r="F340">
        <v>120</v>
      </c>
      <c r="G340" t="s">
        <v>400</v>
      </c>
      <c r="H340" t="s">
        <v>56</v>
      </c>
      <c r="I340">
        <v>0</v>
      </c>
      <c r="J340">
        <v>0</v>
      </c>
      <c r="K340">
        <v>6.3</v>
      </c>
      <c r="L340">
        <v>5715</v>
      </c>
      <c r="M340" t="s">
        <v>17</v>
      </c>
      <c r="N340" t="str">
        <f>IF(ISNUMBER(SEARCH("Streaming", M340)), "streaming", "cinema")</f>
        <v>streaming</v>
      </c>
      <c r="O340" t="str">
        <f>IF(I340=1, "non-original", "original")</f>
        <v>original</v>
      </c>
      <c r="P340" t="str">
        <f>IF(J340 = 1, "franchise", "non-franchise")</f>
        <v>non-franchise</v>
      </c>
      <c r="Q340" t="str">
        <f>IF(OR(I340 = 1,J340 =1), "old", "new")</f>
        <v>new</v>
      </c>
      <c r="R340">
        <f t="shared" si="10"/>
        <v>0.41720238925368114</v>
      </c>
      <c r="S340">
        <f>IF(Q340="new",1.5,1)*(K340/10)*(1-(MIN(F340,180)/180))</f>
        <v>0.31500000000000006</v>
      </c>
      <c r="T340" t="str">
        <f t="shared" si="11"/>
        <v>Scenario 2: Weak Commitment/Convenience</v>
      </c>
    </row>
    <row r="341" spans="1:20" x14ac:dyDescent="0.35">
      <c r="A341" t="s">
        <v>463</v>
      </c>
      <c r="B341" s="1">
        <v>44820</v>
      </c>
      <c r="C341">
        <v>2022</v>
      </c>
      <c r="D341">
        <v>9</v>
      </c>
      <c r="E341" t="s">
        <v>125</v>
      </c>
      <c r="F341">
        <v>104</v>
      </c>
      <c r="G341" t="s">
        <v>464</v>
      </c>
      <c r="H341" t="s">
        <v>24</v>
      </c>
      <c r="I341">
        <v>0</v>
      </c>
      <c r="J341">
        <v>0</v>
      </c>
      <c r="K341">
        <v>6.6</v>
      </c>
      <c r="L341">
        <v>12370</v>
      </c>
      <c r="M341" t="s">
        <v>17</v>
      </c>
      <c r="N341" t="str">
        <f>IF(ISNUMBER(SEARCH("Streaming", M341)), "streaming", "cinema")</f>
        <v>streaming</v>
      </c>
      <c r="O341" t="str">
        <f>IF(I341=1, "non-original", "original")</f>
        <v>original</v>
      </c>
      <c r="P341" t="str">
        <f>IF(J341 = 1, "franchise", "non-franchise")</f>
        <v>non-franchise</v>
      </c>
      <c r="Q341" t="str">
        <f>IF(OR(I341 = 1,J341 =1), "old", "new")</f>
        <v>new</v>
      </c>
      <c r="R341">
        <f t="shared" si="10"/>
        <v>0.39384983590517997</v>
      </c>
      <c r="S341">
        <f>IF(Q341="new",1.5,1)*(K341/10)*(1-(MIN(F341,180)/180))</f>
        <v>0.41799999999999998</v>
      </c>
      <c r="T341" t="str">
        <f t="shared" si="11"/>
        <v>Scenario 3: Strong Convenience</v>
      </c>
    </row>
    <row r="342" spans="1:20" x14ac:dyDescent="0.35">
      <c r="A342" t="s">
        <v>465</v>
      </c>
      <c r="B342" s="1">
        <v>44820</v>
      </c>
      <c r="C342">
        <v>2022</v>
      </c>
      <c r="D342">
        <v>9</v>
      </c>
      <c r="E342" t="s">
        <v>125</v>
      </c>
      <c r="F342">
        <v>116</v>
      </c>
      <c r="G342" t="s">
        <v>34</v>
      </c>
      <c r="H342" t="s">
        <v>30</v>
      </c>
      <c r="I342">
        <v>0</v>
      </c>
      <c r="J342">
        <v>0</v>
      </c>
      <c r="K342">
        <v>7.1</v>
      </c>
      <c r="L342">
        <v>7273</v>
      </c>
      <c r="M342" t="s">
        <v>17</v>
      </c>
      <c r="N342" t="str">
        <f>IF(ISNUMBER(SEARCH("Streaming", M342)), "streaming", "cinema")</f>
        <v>streaming</v>
      </c>
      <c r="O342" t="str">
        <f>IF(I342=1, "non-original", "original")</f>
        <v>original</v>
      </c>
      <c r="P342" t="str">
        <f>IF(J342 = 1, "franchise", "non-franchise")</f>
        <v>non-franchise</v>
      </c>
      <c r="Q342" t="str">
        <f>IF(OR(I342 = 1,J342 =1), "old", "new")</f>
        <v>new</v>
      </c>
      <c r="R342">
        <f t="shared" si="10"/>
        <v>0.41453434504025205</v>
      </c>
      <c r="S342">
        <f>IF(Q342="new",1.5,1)*(K342/10)*(1-(MIN(F342,180)/180))</f>
        <v>0.3786666666666666</v>
      </c>
      <c r="T342" t="str">
        <f t="shared" si="11"/>
        <v>Scenario 3: Strong Convenience</v>
      </c>
    </row>
    <row r="343" spans="1:20" x14ac:dyDescent="0.35">
      <c r="A343" t="s">
        <v>466</v>
      </c>
      <c r="B343" s="1">
        <v>44825</v>
      </c>
      <c r="C343">
        <v>2022</v>
      </c>
      <c r="D343">
        <v>9</v>
      </c>
      <c r="E343" t="s">
        <v>125</v>
      </c>
      <c r="F343">
        <v>96</v>
      </c>
      <c r="G343" t="s">
        <v>43</v>
      </c>
      <c r="H343" t="s">
        <v>24</v>
      </c>
      <c r="I343">
        <v>0</v>
      </c>
      <c r="J343">
        <v>0</v>
      </c>
      <c r="K343">
        <v>3.6</v>
      </c>
      <c r="L343">
        <v>1968</v>
      </c>
      <c r="M343" t="s">
        <v>17</v>
      </c>
      <c r="N343" t="str">
        <f>IF(ISNUMBER(SEARCH("Streaming", M343)), "streaming", "cinema")</f>
        <v>streaming</v>
      </c>
      <c r="O343" t="str">
        <f>IF(I343=1, "non-original", "original")</f>
        <v>original</v>
      </c>
      <c r="P343" t="str">
        <f>IF(J343 = 1, "franchise", "non-franchise")</f>
        <v>non-franchise</v>
      </c>
      <c r="Q343" t="str">
        <f>IF(OR(I343 = 1,J343 =1), "old", "new")</f>
        <v>new</v>
      </c>
      <c r="R343">
        <f t="shared" si="10"/>
        <v>0.29263118467550359</v>
      </c>
      <c r="S343">
        <f>IF(Q343="new",1.5,1)*(K343/10)*(1-(MIN(F343,180)/180))</f>
        <v>0.252</v>
      </c>
      <c r="T343" t="str">
        <f t="shared" si="11"/>
        <v>Scenario 2: Weak Commitment/Convenience</v>
      </c>
    </row>
    <row r="344" spans="1:20" x14ac:dyDescent="0.35">
      <c r="A344" t="s">
        <v>467</v>
      </c>
      <c r="B344" s="1">
        <v>44827</v>
      </c>
      <c r="C344">
        <v>2022</v>
      </c>
      <c r="D344">
        <v>9</v>
      </c>
      <c r="E344" t="s">
        <v>125</v>
      </c>
      <c r="F344">
        <v>128</v>
      </c>
      <c r="G344" t="s">
        <v>34</v>
      </c>
      <c r="H344" t="s">
        <v>24</v>
      </c>
      <c r="I344">
        <v>0</v>
      </c>
      <c r="J344">
        <v>0</v>
      </c>
      <c r="K344">
        <v>6.8</v>
      </c>
      <c r="L344">
        <v>4896</v>
      </c>
      <c r="M344" t="s">
        <v>17</v>
      </c>
      <c r="N344" t="str">
        <f>IF(ISNUMBER(SEARCH("Streaming", M344)), "streaming", "cinema")</f>
        <v>streaming</v>
      </c>
      <c r="O344" t="str">
        <f>IF(I344=1, "non-original", "original")</f>
        <v>original</v>
      </c>
      <c r="P344" t="str">
        <f>IF(J344 = 1, "franchise", "non-franchise")</f>
        <v>non-franchise</v>
      </c>
      <c r="Q344" t="str">
        <f>IF(OR(I344 = 1,J344 =1), "old", "new")</f>
        <v>new</v>
      </c>
      <c r="R344">
        <f t="shared" si="10"/>
        <v>0.43705907189602461</v>
      </c>
      <c r="S344">
        <f>IF(Q344="new",1.5,1)*(K344/10)*(1-(MIN(F344,180)/180))</f>
        <v>0.29466666666666663</v>
      </c>
      <c r="T344" t="str">
        <f t="shared" si="11"/>
        <v>Scenario 2: Weak Commitment/Convenience</v>
      </c>
    </row>
    <row r="345" spans="1:20" x14ac:dyDescent="0.35">
      <c r="A345" t="s">
        <v>468</v>
      </c>
      <c r="B345" s="1">
        <v>44827</v>
      </c>
      <c r="C345">
        <v>2022</v>
      </c>
      <c r="D345">
        <v>9</v>
      </c>
      <c r="E345" t="s">
        <v>125</v>
      </c>
      <c r="F345">
        <v>107</v>
      </c>
      <c r="G345" t="s">
        <v>19</v>
      </c>
      <c r="H345" t="s">
        <v>24</v>
      </c>
      <c r="I345">
        <v>0</v>
      </c>
      <c r="J345">
        <v>0</v>
      </c>
      <c r="K345">
        <v>6.1</v>
      </c>
      <c r="L345">
        <v>38132</v>
      </c>
      <c r="M345" t="s">
        <v>17</v>
      </c>
      <c r="N345" t="str">
        <f>IF(ISNUMBER(SEARCH("Streaming", M345)), "streaming", "cinema")</f>
        <v>streaming</v>
      </c>
      <c r="O345" t="str">
        <f>IF(I345=1, "non-original", "original")</f>
        <v>original</v>
      </c>
      <c r="P345" t="str">
        <f>IF(J345 = 1, "franchise", "non-franchise")</f>
        <v>non-franchise</v>
      </c>
      <c r="Q345" t="str">
        <f>IF(OR(I345 = 1,J345 =1), "old", "new")</f>
        <v>new</v>
      </c>
      <c r="R345">
        <f t="shared" si="10"/>
        <v>0.45362187702300177</v>
      </c>
      <c r="S345">
        <f>IF(Q345="new",1.5,1)*(K345/10)*(1-(MIN(F345,180)/180))</f>
        <v>0.37108333333333338</v>
      </c>
      <c r="T345" t="str">
        <f t="shared" si="11"/>
        <v>Scenario 3: Strong Convenience</v>
      </c>
    </row>
    <row r="346" spans="1:20" x14ac:dyDescent="0.35">
      <c r="A346" t="s">
        <v>469</v>
      </c>
      <c r="B346" s="1">
        <v>44827</v>
      </c>
      <c r="C346">
        <v>2022</v>
      </c>
      <c r="D346">
        <v>9</v>
      </c>
      <c r="E346" t="s">
        <v>125</v>
      </c>
      <c r="F346">
        <v>97</v>
      </c>
      <c r="G346" t="s">
        <v>34</v>
      </c>
      <c r="H346" t="s">
        <v>24</v>
      </c>
      <c r="I346">
        <v>0</v>
      </c>
      <c r="J346">
        <v>0</v>
      </c>
      <c r="K346">
        <v>6.8</v>
      </c>
      <c r="L346">
        <v>25339</v>
      </c>
      <c r="M346" t="s">
        <v>17</v>
      </c>
      <c r="N346" t="str">
        <f>IF(ISNUMBER(SEARCH("Streaming", M346)), "streaming", "cinema")</f>
        <v>streaming</v>
      </c>
      <c r="O346" t="str">
        <f>IF(I346=1, "non-original", "original")</f>
        <v>original</v>
      </c>
      <c r="P346" t="str">
        <f>IF(J346 = 1, "franchise", "non-franchise")</f>
        <v>non-franchise</v>
      </c>
      <c r="Q346" t="str">
        <f>IF(OR(I346 = 1,J346 =1), "old", "new")</f>
        <v>new</v>
      </c>
      <c r="R346">
        <f t="shared" si="10"/>
        <v>0.39529448221287217</v>
      </c>
      <c r="S346">
        <f>IF(Q346="new",1.5,1)*(K346/10)*(1-(MIN(F346,180)/180))</f>
        <v>0.47033333333333338</v>
      </c>
      <c r="T346" t="str">
        <f t="shared" si="11"/>
        <v>Scenario 3: Strong Convenience</v>
      </c>
    </row>
    <row r="347" spans="1:20" x14ac:dyDescent="0.35">
      <c r="A347" t="s">
        <v>470</v>
      </c>
      <c r="B347" s="1">
        <v>44832</v>
      </c>
      <c r="C347">
        <v>2022</v>
      </c>
      <c r="D347">
        <v>9</v>
      </c>
      <c r="E347" t="s">
        <v>125</v>
      </c>
      <c r="F347">
        <v>167</v>
      </c>
      <c r="G347" t="s">
        <v>111</v>
      </c>
      <c r="H347" t="s">
        <v>265</v>
      </c>
      <c r="I347">
        <v>0</v>
      </c>
      <c r="J347">
        <v>0</v>
      </c>
      <c r="K347">
        <v>5.4</v>
      </c>
      <c r="L347">
        <v>77983</v>
      </c>
      <c r="M347" t="s">
        <v>17</v>
      </c>
      <c r="N347" t="str">
        <f>IF(ISNUMBER(SEARCH("Streaming", M347)), "streaming", "cinema")</f>
        <v>streaming</v>
      </c>
      <c r="O347" t="str">
        <f>IF(I347=1, "non-original", "original")</f>
        <v>original</v>
      </c>
      <c r="P347" t="str">
        <f>IF(J347 = 1, "franchise", "non-franchise")</f>
        <v>non-franchise</v>
      </c>
      <c r="Q347" t="str">
        <f>IF(OR(I347 = 1,J347 =1), "old", "new")</f>
        <v>new</v>
      </c>
      <c r="R347">
        <f t="shared" si="10"/>
        <v>0.75600624527281246</v>
      </c>
      <c r="S347">
        <f>IF(Q347="new",1.5,1)*(K347/10)*(1-(MIN(F347,180)/180))</f>
        <v>5.8499999999999976E-2</v>
      </c>
      <c r="T347" t="str">
        <f t="shared" si="11"/>
        <v>Scenario 1: Strong Commitment</v>
      </c>
    </row>
    <row r="348" spans="1:20" x14ac:dyDescent="0.35">
      <c r="A348" t="s">
        <v>471</v>
      </c>
      <c r="B348" s="1">
        <v>44834</v>
      </c>
      <c r="C348">
        <v>2022</v>
      </c>
      <c r="D348">
        <v>9</v>
      </c>
      <c r="E348" t="s">
        <v>125</v>
      </c>
      <c r="F348">
        <v>106</v>
      </c>
      <c r="G348" t="s">
        <v>29</v>
      </c>
      <c r="H348" t="s">
        <v>30</v>
      </c>
      <c r="I348">
        <v>0</v>
      </c>
      <c r="J348">
        <v>0</v>
      </c>
      <c r="K348">
        <v>4.5999999999999996</v>
      </c>
      <c r="L348">
        <v>3596</v>
      </c>
      <c r="M348" t="s">
        <v>17</v>
      </c>
      <c r="N348" t="str">
        <f>IF(ISNUMBER(SEARCH("Streaming", M348)), "streaming", "cinema")</f>
        <v>streaming</v>
      </c>
      <c r="O348" t="str">
        <f>IF(I348=1, "non-original", "original")</f>
        <v>original</v>
      </c>
      <c r="P348" t="str">
        <f>IF(J348 = 1, "franchise", "non-franchise")</f>
        <v>non-franchise</v>
      </c>
      <c r="Q348" t="str">
        <f>IF(OR(I348 = 1,J348 =1), "old", "new")</f>
        <v>new</v>
      </c>
      <c r="R348">
        <f t="shared" si="10"/>
        <v>0.34879324383430671</v>
      </c>
      <c r="S348">
        <f>IF(Q348="new",1.5,1)*(K348/10)*(1-(MIN(F348,180)/180))</f>
        <v>0.28366666666666662</v>
      </c>
      <c r="T348" t="str">
        <f t="shared" si="11"/>
        <v>Scenario 2: Weak Commitment/Convenience</v>
      </c>
    </row>
    <row r="349" spans="1:20" x14ac:dyDescent="0.35">
      <c r="A349" t="s">
        <v>472</v>
      </c>
      <c r="B349" s="1">
        <v>44834</v>
      </c>
      <c r="C349">
        <v>2022</v>
      </c>
      <c r="D349">
        <v>9</v>
      </c>
      <c r="E349" t="s">
        <v>125</v>
      </c>
      <c r="F349">
        <v>118</v>
      </c>
      <c r="G349" t="s">
        <v>473</v>
      </c>
      <c r="H349" t="s">
        <v>24</v>
      </c>
      <c r="I349">
        <v>0</v>
      </c>
      <c r="J349">
        <v>0</v>
      </c>
      <c r="K349">
        <v>4.7</v>
      </c>
      <c r="L349">
        <v>1198</v>
      </c>
      <c r="M349" t="s">
        <v>17</v>
      </c>
      <c r="N349" t="str">
        <f>IF(ISNUMBER(SEARCH("Streaming", M349)), "streaming", "cinema")</f>
        <v>streaming</v>
      </c>
      <c r="O349" t="str">
        <f>IF(I349=1, "non-original", "original")</f>
        <v>original</v>
      </c>
      <c r="P349" t="str">
        <f>IF(J349 = 1, "franchise", "non-franchise")</f>
        <v>non-franchise</v>
      </c>
      <c r="Q349" t="str">
        <f>IF(OR(I349 = 1,J349 =1), "old", "new")</f>
        <v>new</v>
      </c>
      <c r="R349">
        <f t="shared" si="10"/>
        <v>0.3361534264973281</v>
      </c>
      <c r="S349">
        <f>IF(Q349="new",1.5,1)*(K349/10)*(1-(MIN(F349,180)/180))</f>
        <v>0.24283333333333335</v>
      </c>
      <c r="T349" t="str">
        <f t="shared" si="11"/>
        <v>Scenario 2: Weak Commitment/Convenience</v>
      </c>
    </row>
    <row r="350" spans="1:20" x14ac:dyDescent="0.35">
      <c r="A350" t="s">
        <v>474</v>
      </c>
      <c r="B350" s="1">
        <v>44839</v>
      </c>
      <c r="C350">
        <v>2022</v>
      </c>
      <c r="D350">
        <v>10</v>
      </c>
      <c r="E350" t="s">
        <v>125</v>
      </c>
      <c r="F350">
        <v>88</v>
      </c>
      <c r="G350" t="s">
        <v>34</v>
      </c>
      <c r="H350" t="s">
        <v>27</v>
      </c>
      <c r="I350">
        <v>0</v>
      </c>
      <c r="J350">
        <v>0</v>
      </c>
      <c r="K350">
        <v>5.8</v>
      </c>
      <c r="L350">
        <v>1410</v>
      </c>
      <c r="M350" t="s">
        <v>17</v>
      </c>
      <c r="N350" t="str">
        <f>IF(ISNUMBER(SEARCH("Streaming", M350)), "streaming", "cinema")</f>
        <v>streaming</v>
      </c>
      <c r="O350" t="str">
        <f>IF(I350=1, "non-original", "original")</f>
        <v>original</v>
      </c>
      <c r="P350" t="str">
        <f>IF(J350 = 1, "franchise", "non-franchise")</f>
        <v>non-franchise</v>
      </c>
      <c r="Q350" t="str">
        <f>IF(OR(I350 = 1,J350 =1), "old", "new")</f>
        <v>new</v>
      </c>
      <c r="R350">
        <f t="shared" si="10"/>
        <v>0.25645313933453784</v>
      </c>
      <c r="S350">
        <f>IF(Q350="new",1.5,1)*(K350/10)*(1-(MIN(F350,180)/180))</f>
        <v>0.4446666666666666</v>
      </c>
      <c r="T350" t="str">
        <f t="shared" si="11"/>
        <v>Scenario 3: Strong Convenience</v>
      </c>
    </row>
    <row r="351" spans="1:20" x14ac:dyDescent="0.35">
      <c r="A351" t="s">
        <v>475</v>
      </c>
      <c r="B351" s="1">
        <v>44839</v>
      </c>
      <c r="C351">
        <v>2022</v>
      </c>
      <c r="D351">
        <v>10</v>
      </c>
      <c r="E351" t="s">
        <v>125</v>
      </c>
      <c r="F351">
        <v>106</v>
      </c>
      <c r="G351" t="s">
        <v>92</v>
      </c>
      <c r="H351" t="s">
        <v>27</v>
      </c>
      <c r="I351">
        <v>1</v>
      </c>
      <c r="J351">
        <v>0</v>
      </c>
      <c r="K351">
        <v>6</v>
      </c>
      <c r="L351">
        <v>44006</v>
      </c>
      <c r="M351" t="s">
        <v>17</v>
      </c>
      <c r="N351" t="str">
        <f>IF(ISNUMBER(SEARCH("Streaming", M351)), "streaming", "cinema")</f>
        <v>streaming</v>
      </c>
      <c r="O351" t="str">
        <f>IF(I351=1, "non-original", "original")</f>
        <v>non-original</v>
      </c>
      <c r="P351" t="str">
        <f>IF(J351 = 1, "franchise", "non-franchise")</f>
        <v>non-franchise</v>
      </c>
      <c r="Q351" t="str">
        <f>IF(OR(I351 = 1,J351 =1), "old", "new")</f>
        <v>old</v>
      </c>
      <c r="R351">
        <f t="shared" si="10"/>
        <v>0.68322878582168245</v>
      </c>
      <c r="S351">
        <f>IF(Q351="new",1.5,1)*(K351/10)*(1-(MIN(F351,180)/180))</f>
        <v>0.24666666666666665</v>
      </c>
      <c r="T351" t="str">
        <f t="shared" si="11"/>
        <v>Scenario 1: Strong Commitment</v>
      </c>
    </row>
    <row r="352" spans="1:20" x14ac:dyDescent="0.35">
      <c r="A352" t="s">
        <v>476</v>
      </c>
      <c r="B352" s="1">
        <v>44839</v>
      </c>
      <c r="C352">
        <v>2022</v>
      </c>
      <c r="D352">
        <v>10</v>
      </c>
      <c r="E352" t="s">
        <v>125</v>
      </c>
      <c r="F352">
        <v>95</v>
      </c>
      <c r="G352" t="s">
        <v>19</v>
      </c>
      <c r="H352" t="s">
        <v>30</v>
      </c>
      <c r="I352">
        <v>0</v>
      </c>
      <c r="J352">
        <v>0</v>
      </c>
      <c r="K352">
        <v>5.4</v>
      </c>
      <c r="L352">
        <v>737</v>
      </c>
      <c r="M352" t="s">
        <v>17</v>
      </c>
      <c r="N352" t="str">
        <f>IF(ISNUMBER(SEARCH("Streaming", M352)), "streaming", "cinema")</f>
        <v>streaming</v>
      </c>
      <c r="O352" t="str">
        <f>IF(I352=1, "non-original", "original")</f>
        <v>original</v>
      </c>
      <c r="P352" t="str">
        <f>IF(J352 = 1, "franchise", "non-franchise")</f>
        <v>non-franchise</v>
      </c>
      <c r="Q352" t="str">
        <f>IF(OR(I352 = 1,J352 =1), "old", "new")</f>
        <v>new</v>
      </c>
      <c r="R352">
        <f t="shared" si="10"/>
        <v>0.25208359100317329</v>
      </c>
      <c r="S352">
        <f>IF(Q352="new",1.5,1)*(K352/10)*(1-(MIN(F352,180)/180))</f>
        <v>0.38250000000000001</v>
      </c>
      <c r="T352" t="str">
        <f t="shared" si="11"/>
        <v>Scenario 3: Strong Convenience</v>
      </c>
    </row>
    <row r="353" spans="1:20" x14ac:dyDescent="0.35">
      <c r="A353" t="s">
        <v>477</v>
      </c>
      <c r="B353" s="1">
        <v>44841</v>
      </c>
      <c r="C353">
        <v>2022</v>
      </c>
      <c r="D353">
        <v>10</v>
      </c>
      <c r="E353" t="s">
        <v>125</v>
      </c>
      <c r="F353">
        <v>106</v>
      </c>
      <c r="G353" t="s">
        <v>34</v>
      </c>
      <c r="H353" t="s">
        <v>30</v>
      </c>
      <c r="I353">
        <v>0</v>
      </c>
      <c r="J353">
        <v>0</v>
      </c>
      <c r="K353">
        <v>6.4</v>
      </c>
      <c r="L353">
        <v>602</v>
      </c>
      <c r="M353" t="s">
        <v>17</v>
      </c>
      <c r="N353" t="str">
        <f>IF(ISNUMBER(SEARCH("Streaming", M353)), "streaming", "cinema")</f>
        <v>streaming</v>
      </c>
      <c r="O353" t="str">
        <f>IF(I353=1, "non-original", "original")</f>
        <v>original</v>
      </c>
      <c r="P353" t="str">
        <f>IF(J353 = 1, "franchise", "non-franchise")</f>
        <v>non-franchise</v>
      </c>
      <c r="Q353" t="str">
        <f>IF(OR(I353 = 1,J353 =1), "old", "new")</f>
        <v>new</v>
      </c>
      <c r="R353">
        <f t="shared" si="10"/>
        <v>0.27265287982815567</v>
      </c>
      <c r="S353">
        <f>IF(Q353="new",1.5,1)*(K353/10)*(1-(MIN(F353,180)/180))</f>
        <v>0.39466666666666661</v>
      </c>
      <c r="T353" t="str">
        <f t="shared" si="11"/>
        <v>Scenario 3: Strong Convenience</v>
      </c>
    </row>
    <row r="354" spans="1:20" x14ac:dyDescent="0.35">
      <c r="A354" t="s">
        <v>478</v>
      </c>
      <c r="B354" s="1">
        <v>44841</v>
      </c>
      <c r="C354">
        <v>2022</v>
      </c>
      <c r="D354">
        <v>10</v>
      </c>
      <c r="E354" t="s">
        <v>125</v>
      </c>
      <c r="F354">
        <v>115</v>
      </c>
      <c r="G354" t="s">
        <v>479</v>
      </c>
      <c r="H354" t="s">
        <v>24</v>
      </c>
      <c r="I354">
        <v>0</v>
      </c>
      <c r="J354">
        <v>0</v>
      </c>
      <c r="K354">
        <v>6.4</v>
      </c>
      <c r="L354">
        <v>59824</v>
      </c>
      <c r="M354" t="s">
        <v>88</v>
      </c>
      <c r="N354" t="str">
        <f>IF(ISNUMBER(SEARCH("Streaming", M354)), "streaming", "cinema")</f>
        <v>streaming</v>
      </c>
      <c r="O354" t="str">
        <f>IF(I354=1, "non-original", "original")</f>
        <v>original</v>
      </c>
      <c r="P354" t="str">
        <f>IF(J354 = 1, "franchise", "non-franchise")</f>
        <v>non-franchise</v>
      </c>
      <c r="Q354" t="str">
        <f>IF(OR(I354 = 1,J354 =1), "old", "new")</f>
        <v>new</v>
      </c>
      <c r="R354">
        <f t="shared" si="10"/>
        <v>0.50835163782051074</v>
      </c>
      <c r="S354">
        <f>IF(Q354="new",1.5,1)*(K354/10)*(1-(MIN(F354,180)/180))</f>
        <v>0.34666666666666668</v>
      </c>
      <c r="T354" t="str">
        <f t="shared" si="11"/>
        <v>Scenario 4: Hybrid Logic</v>
      </c>
    </row>
    <row r="355" spans="1:20" x14ac:dyDescent="0.35">
      <c r="A355" t="s">
        <v>480</v>
      </c>
      <c r="B355" s="1">
        <v>44841</v>
      </c>
      <c r="C355">
        <v>2022</v>
      </c>
      <c r="D355">
        <v>10</v>
      </c>
      <c r="E355" t="s">
        <v>125</v>
      </c>
      <c r="F355">
        <v>101</v>
      </c>
      <c r="G355" t="s">
        <v>92</v>
      </c>
      <c r="H355" t="s">
        <v>30</v>
      </c>
      <c r="I355">
        <v>0</v>
      </c>
      <c r="J355">
        <v>0</v>
      </c>
      <c r="K355">
        <v>5.0999999999999996</v>
      </c>
      <c r="L355">
        <v>7905</v>
      </c>
      <c r="M355" t="s">
        <v>17</v>
      </c>
      <c r="N355" t="str">
        <f>IF(ISNUMBER(SEARCH("Streaming", M355)), "streaming", "cinema")</f>
        <v>streaming</v>
      </c>
      <c r="O355" t="str">
        <f>IF(I355=1, "non-original", "original")</f>
        <v>original</v>
      </c>
      <c r="P355" t="str">
        <f>IF(J355 = 1, "franchise", "non-franchise")</f>
        <v>non-franchise</v>
      </c>
      <c r="Q355" t="str">
        <f>IF(OR(I355 = 1,J355 =1), "old", "new")</f>
        <v>new</v>
      </c>
      <c r="R355">
        <f t="shared" si="10"/>
        <v>0.3643130639121806</v>
      </c>
      <c r="S355">
        <f>IF(Q355="new",1.5,1)*(K355/10)*(1-(MIN(F355,180)/180))</f>
        <v>0.33574999999999999</v>
      </c>
      <c r="T355" t="str">
        <f t="shared" si="11"/>
        <v>Scenario 3: Strong Convenience</v>
      </c>
    </row>
    <row r="356" spans="1:20" x14ac:dyDescent="0.35">
      <c r="A356" t="s">
        <v>481</v>
      </c>
      <c r="B356" s="1">
        <v>44845</v>
      </c>
      <c r="C356">
        <v>2022</v>
      </c>
      <c r="D356">
        <v>10</v>
      </c>
      <c r="E356" t="s">
        <v>125</v>
      </c>
      <c r="F356">
        <v>107</v>
      </c>
      <c r="G356" t="s">
        <v>29</v>
      </c>
      <c r="H356" t="s">
        <v>30</v>
      </c>
      <c r="I356">
        <v>0</v>
      </c>
      <c r="J356">
        <v>0</v>
      </c>
      <c r="K356">
        <v>5.7</v>
      </c>
      <c r="L356">
        <v>1969</v>
      </c>
      <c r="M356" t="s">
        <v>88</v>
      </c>
      <c r="N356" t="str">
        <f>IF(ISNUMBER(SEARCH("Streaming", M356)), "streaming", "cinema")</f>
        <v>streaming</v>
      </c>
      <c r="O356" t="str">
        <f>IF(I356=1, "non-original", "original")</f>
        <v>original</v>
      </c>
      <c r="P356" t="str">
        <f>IF(J356 = 1, "franchise", "non-franchise")</f>
        <v>non-franchise</v>
      </c>
      <c r="Q356" t="str">
        <f>IF(OR(I356 = 1,J356 =1), "old", "new")</f>
        <v>new</v>
      </c>
      <c r="R356">
        <f t="shared" si="10"/>
        <v>0.32618368640879902</v>
      </c>
      <c r="S356">
        <f>IF(Q356="new",1.5,1)*(K356/10)*(1-(MIN(F356,180)/180))</f>
        <v>0.34675000000000006</v>
      </c>
      <c r="T356" t="str">
        <f t="shared" si="11"/>
        <v>Scenario 3: Strong Convenience</v>
      </c>
    </row>
    <row r="357" spans="1:20" x14ac:dyDescent="0.35">
      <c r="A357" t="s">
        <v>482</v>
      </c>
      <c r="B357" s="1">
        <v>44848</v>
      </c>
      <c r="C357">
        <v>2022</v>
      </c>
      <c r="D357">
        <v>10</v>
      </c>
      <c r="E357" t="s">
        <v>125</v>
      </c>
      <c r="F357">
        <v>91</v>
      </c>
      <c r="G357" t="s">
        <v>21</v>
      </c>
      <c r="H357" t="s">
        <v>27</v>
      </c>
      <c r="I357">
        <v>0</v>
      </c>
      <c r="J357">
        <v>0</v>
      </c>
      <c r="K357">
        <v>5.6</v>
      </c>
      <c r="L357">
        <v>13985</v>
      </c>
      <c r="M357" t="s">
        <v>88</v>
      </c>
      <c r="N357" t="str">
        <f>IF(ISNUMBER(SEARCH("Streaming", M357)), "streaming", "cinema")</f>
        <v>streaming</v>
      </c>
      <c r="O357" t="str">
        <f>IF(I357=1, "non-original", "original")</f>
        <v>original</v>
      </c>
      <c r="P357" t="str">
        <f>IF(J357 = 1, "franchise", "non-franchise")</f>
        <v>non-franchise</v>
      </c>
      <c r="Q357" t="str">
        <f>IF(OR(I357 = 1,J357 =1), "old", "new")</f>
        <v>new</v>
      </c>
      <c r="R357">
        <f t="shared" si="10"/>
        <v>0.3491063926751542</v>
      </c>
      <c r="S357">
        <f>IF(Q357="new",1.5,1)*(K357/10)*(1-(MIN(F357,180)/180))</f>
        <v>0.41533333333333328</v>
      </c>
      <c r="T357" t="str">
        <f t="shared" si="11"/>
        <v>Scenario 3: Strong Convenience</v>
      </c>
    </row>
    <row r="358" spans="1:20" x14ac:dyDescent="0.35">
      <c r="A358" t="s">
        <v>483</v>
      </c>
      <c r="B358" s="1">
        <v>44853</v>
      </c>
      <c r="C358">
        <v>2022</v>
      </c>
      <c r="D358">
        <v>10</v>
      </c>
      <c r="E358" t="s">
        <v>125</v>
      </c>
      <c r="F358">
        <v>148</v>
      </c>
      <c r="G358" t="s">
        <v>484</v>
      </c>
      <c r="H358" t="s">
        <v>27</v>
      </c>
      <c r="I358">
        <v>0</v>
      </c>
      <c r="J358">
        <v>0</v>
      </c>
      <c r="K358">
        <v>5.9</v>
      </c>
      <c r="L358">
        <v>41592</v>
      </c>
      <c r="M358" t="s">
        <v>88</v>
      </c>
      <c r="N358" t="str">
        <f>IF(ISNUMBER(SEARCH("Streaming", M358)), "streaming", "cinema")</f>
        <v>streaming</v>
      </c>
      <c r="O358" t="str">
        <f>IF(I358=1, "non-original", "original")</f>
        <v>original</v>
      </c>
      <c r="P358" t="str">
        <f>IF(J358 = 1, "franchise", "non-franchise")</f>
        <v>non-franchise</v>
      </c>
      <c r="Q358" t="str">
        <f>IF(OR(I358 = 1,J358 =1), "old", "new")</f>
        <v>new</v>
      </c>
      <c r="R358">
        <f t="shared" si="10"/>
        <v>0.63260565318994566</v>
      </c>
      <c r="S358">
        <f>IF(Q358="new",1.5,1)*(K358/10)*(1-(MIN(F358,180)/180))</f>
        <v>0.15733333333333338</v>
      </c>
      <c r="T358" t="str">
        <f t="shared" si="11"/>
        <v>Scenario 1: Strong Commitment</v>
      </c>
    </row>
    <row r="359" spans="1:20" x14ac:dyDescent="0.35">
      <c r="A359" t="s">
        <v>485</v>
      </c>
      <c r="B359" s="1">
        <v>44853</v>
      </c>
      <c r="C359">
        <v>2022</v>
      </c>
      <c r="D359">
        <v>10</v>
      </c>
      <c r="E359" t="s">
        <v>125</v>
      </c>
      <c r="F359">
        <v>117</v>
      </c>
      <c r="G359" t="s">
        <v>19</v>
      </c>
      <c r="H359" t="s">
        <v>24</v>
      </c>
      <c r="I359">
        <v>0</v>
      </c>
      <c r="J359">
        <v>0</v>
      </c>
      <c r="K359">
        <v>6.6</v>
      </c>
      <c r="L359">
        <v>30255</v>
      </c>
      <c r="M359" t="s">
        <v>17</v>
      </c>
      <c r="N359" t="str">
        <f>IF(ISNUMBER(SEARCH("Streaming", M359)), "streaming", "cinema")</f>
        <v>streaming</v>
      </c>
      <c r="O359" t="str">
        <f>IF(I359=1, "non-original", "original")</f>
        <v>original</v>
      </c>
      <c r="P359" t="str">
        <f>IF(J359 = 1, "franchise", "non-franchise")</f>
        <v>non-franchise</v>
      </c>
      <c r="Q359" t="str">
        <f>IF(OR(I359 = 1,J359 =1), "old", "new")</f>
        <v>new</v>
      </c>
      <c r="R359">
        <f t="shared" si="10"/>
        <v>0.48513612502649112</v>
      </c>
      <c r="S359">
        <f>IF(Q359="new",1.5,1)*(K359/10)*(1-(MIN(F359,180)/180))</f>
        <v>0.34649999999999992</v>
      </c>
      <c r="T359" t="str">
        <f t="shared" si="11"/>
        <v>Scenario 4: Hybrid Logic</v>
      </c>
    </row>
    <row r="360" spans="1:20" x14ac:dyDescent="0.35">
      <c r="A360" t="s">
        <v>486</v>
      </c>
      <c r="B360" s="1">
        <v>44855</v>
      </c>
      <c r="C360">
        <v>2022</v>
      </c>
      <c r="D360">
        <v>10</v>
      </c>
      <c r="E360" t="s">
        <v>125</v>
      </c>
      <c r="F360">
        <v>121</v>
      </c>
      <c r="G360" t="s">
        <v>487</v>
      </c>
      <c r="H360" t="s">
        <v>30</v>
      </c>
      <c r="I360">
        <v>0</v>
      </c>
      <c r="J360">
        <v>0</v>
      </c>
      <c r="K360">
        <v>7.4</v>
      </c>
      <c r="L360">
        <v>14822</v>
      </c>
      <c r="M360" t="s">
        <v>88</v>
      </c>
      <c r="N360" t="str">
        <f>IF(ISNUMBER(SEARCH("Streaming", M360)), "streaming", "cinema")</f>
        <v>streaming</v>
      </c>
      <c r="O360" t="str">
        <f>IF(I360=1, "non-original", "original")</f>
        <v>original</v>
      </c>
      <c r="P360" t="str">
        <f>IF(J360 = 1, "franchise", "non-franchise")</f>
        <v>non-franchise</v>
      </c>
      <c r="Q360" t="str">
        <f>IF(OR(I360 = 1,J360 =1), "old", "new")</f>
        <v>new</v>
      </c>
      <c r="R360">
        <f t="shared" si="10"/>
        <v>0.46702306088992634</v>
      </c>
      <c r="S360">
        <f>IF(Q360="new",1.5,1)*(K360/10)*(1-(MIN(F360,180)/180))</f>
        <v>0.36383333333333323</v>
      </c>
      <c r="T360" t="str">
        <f t="shared" si="11"/>
        <v>Scenario 3: Strong Convenience</v>
      </c>
    </row>
    <row r="361" spans="1:20" x14ac:dyDescent="0.35">
      <c r="A361" t="s">
        <v>488</v>
      </c>
      <c r="B361" s="1">
        <v>44860</v>
      </c>
      <c r="C361">
        <v>2022</v>
      </c>
      <c r="D361">
        <v>10</v>
      </c>
      <c r="E361" t="s">
        <v>125</v>
      </c>
      <c r="F361">
        <v>90</v>
      </c>
      <c r="G361" t="s">
        <v>92</v>
      </c>
      <c r="H361" t="s">
        <v>24</v>
      </c>
      <c r="I361">
        <v>0</v>
      </c>
      <c r="J361">
        <v>0</v>
      </c>
      <c r="K361">
        <v>5.8</v>
      </c>
      <c r="L361">
        <v>9708</v>
      </c>
      <c r="M361" t="s">
        <v>17</v>
      </c>
      <c r="N361" t="str">
        <f>IF(ISNUMBER(SEARCH("Streaming", M361)), "streaming", "cinema")</f>
        <v>streaming</v>
      </c>
      <c r="O361" t="str">
        <f>IF(I361=1, "non-original", "original")</f>
        <v>original</v>
      </c>
      <c r="P361" t="str">
        <f>IF(J361 = 1, "franchise", "non-franchise")</f>
        <v>non-franchise</v>
      </c>
      <c r="Q361" t="str">
        <f>IF(OR(I361 = 1,J361 =1), "old", "new")</f>
        <v>new</v>
      </c>
      <c r="R361">
        <f t="shared" si="10"/>
        <v>0.3320667175898866</v>
      </c>
      <c r="S361">
        <f>IF(Q361="new",1.5,1)*(K361/10)*(1-(MIN(F361,180)/180))</f>
        <v>0.43499999999999994</v>
      </c>
      <c r="T361" t="str">
        <f t="shared" si="11"/>
        <v>Scenario 3: Strong Convenience</v>
      </c>
    </row>
    <row r="362" spans="1:20" x14ac:dyDescent="0.35">
      <c r="A362" t="s">
        <v>489</v>
      </c>
      <c r="B362" s="1">
        <v>44860</v>
      </c>
      <c r="C362">
        <v>2022</v>
      </c>
      <c r="D362">
        <v>10</v>
      </c>
      <c r="E362" t="s">
        <v>125</v>
      </c>
      <c r="F362">
        <v>90</v>
      </c>
      <c r="G362" t="s">
        <v>41</v>
      </c>
      <c r="H362" t="s">
        <v>30</v>
      </c>
      <c r="I362">
        <v>0</v>
      </c>
      <c r="J362">
        <v>0</v>
      </c>
      <c r="K362">
        <v>5.5</v>
      </c>
      <c r="L362">
        <v>2985</v>
      </c>
      <c r="M362" t="s">
        <v>17</v>
      </c>
      <c r="N362" t="str">
        <f>IF(ISNUMBER(SEARCH("Streaming", M362)), "streaming", "cinema")</f>
        <v>streaming</v>
      </c>
      <c r="O362" t="str">
        <f>IF(I362=1, "non-original", "original")</f>
        <v>original</v>
      </c>
      <c r="P362" t="str">
        <f>IF(J362 = 1, "franchise", "non-franchise")</f>
        <v>non-franchise</v>
      </c>
      <c r="Q362" t="str">
        <f>IF(OR(I362 = 1,J362 =1), "old", "new")</f>
        <v>new</v>
      </c>
      <c r="R362">
        <f t="shared" si="10"/>
        <v>0.28940953180031787</v>
      </c>
      <c r="S362">
        <f>IF(Q362="new",1.5,1)*(K362/10)*(1-(MIN(F362,180)/180))</f>
        <v>0.41250000000000003</v>
      </c>
      <c r="T362" t="str">
        <f t="shared" si="11"/>
        <v>Scenario 3: Strong Convenience</v>
      </c>
    </row>
    <row r="363" spans="1:20" x14ac:dyDescent="0.35">
      <c r="A363" t="s">
        <v>490</v>
      </c>
      <c r="B363" s="1">
        <v>44860</v>
      </c>
      <c r="C363">
        <v>2022</v>
      </c>
      <c r="D363">
        <v>10</v>
      </c>
      <c r="E363" t="s">
        <v>125</v>
      </c>
      <c r="F363">
        <v>123</v>
      </c>
      <c r="G363" t="s">
        <v>34</v>
      </c>
      <c r="H363" t="s">
        <v>24</v>
      </c>
      <c r="I363">
        <v>0</v>
      </c>
      <c r="J363">
        <v>0</v>
      </c>
      <c r="K363">
        <v>6.8</v>
      </c>
      <c r="L363">
        <v>89813</v>
      </c>
      <c r="M363" t="s">
        <v>88</v>
      </c>
      <c r="N363" t="str">
        <f>IF(ISNUMBER(SEARCH("Streaming", M363)), "streaming", "cinema")</f>
        <v>streaming</v>
      </c>
      <c r="O363" t="str">
        <f>IF(I363=1, "non-original", "original")</f>
        <v>original</v>
      </c>
      <c r="P363" t="str">
        <f>IF(J363 = 1, "franchise", "non-franchise")</f>
        <v>non-franchise</v>
      </c>
      <c r="Q363" t="str">
        <f>IF(OR(I363 = 1,J363 =1), "old", "new")</f>
        <v>new</v>
      </c>
      <c r="R363">
        <f t="shared" si="10"/>
        <v>0.56380075086187897</v>
      </c>
      <c r="S363">
        <f>IF(Q363="new",1.5,1)*(K363/10)*(1-(MIN(F363,180)/180))</f>
        <v>0.32300000000000001</v>
      </c>
      <c r="T363" t="str">
        <f t="shared" si="11"/>
        <v>Scenario 4: Hybrid Logic</v>
      </c>
    </row>
    <row r="364" spans="1:20" x14ac:dyDescent="0.35">
      <c r="A364" t="s">
        <v>491</v>
      </c>
      <c r="B364" s="1">
        <v>44861</v>
      </c>
      <c r="C364">
        <v>2022</v>
      </c>
      <c r="D364">
        <v>10</v>
      </c>
      <c r="E364" t="s">
        <v>125</v>
      </c>
      <c r="F364">
        <v>127</v>
      </c>
      <c r="G364" t="s">
        <v>90</v>
      </c>
      <c r="H364" t="s">
        <v>24</v>
      </c>
      <c r="I364">
        <v>0</v>
      </c>
      <c r="J364">
        <v>0</v>
      </c>
      <c r="K364">
        <v>6.6</v>
      </c>
      <c r="L364">
        <v>2863</v>
      </c>
      <c r="M364" t="s">
        <v>88</v>
      </c>
      <c r="N364" t="str">
        <f>IF(ISNUMBER(SEARCH("Streaming", M364)), "streaming", "cinema")</f>
        <v>streaming</v>
      </c>
      <c r="O364" t="str">
        <f>IF(I364=1, "non-original", "original")</f>
        <v>original</v>
      </c>
      <c r="P364" t="str">
        <f>IF(J364 = 1, "franchise", "non-franchise")</f>
        <v>non-franchise</v>
      </c>
      <c r="Q364" t="str">
        <f>IF(OR(I364 = 1,J364 =1), "old", "new")</f>
        <v>new</v>
      </c>
      <c r="R364">
        <f t="shared" si="10"/>
        <v>0.40625912184484841</v>
      </c>
      <c r="S364">
        <f>IF(Q364="new",1.5,1)*(K364/10)*(1-(MIN(F364,180)/180))</f>
        <v>0.29149999999999993</v>
      </c>
      <c r="T364" t="str">
        <f t="shared" si="11"/>
        <v>Scenario 2: Weak Commitment/Convenience</v>
      </c>
    </row>
    <row r="365" spans="1:20" x14ac:dyDescent="0.35">
      <c r="A365" t="s">
        <v>492</v>
      </c>
      <c r="B365" s="1">
        <v>44862</v>
      </c>
      <c r="C365">
        <v>2022</v>
      </c>
      <c r="D365">
        <v>10</v>
      </c>
      <c r="E365" t="s">
        <v>125</v>
      </c>
      <c r="F365">
        <v>148</v>
      </c>
      <c r="G365" t="s">
        <v>81</v>
      </c>
      <c r="H365" t="s">
        <v>24</v>
      </c>
      <c r="I365">
        <v>0</v>
      </c>
      <c r="J365">
        <v>0</v>
      </c>
      <c r="K365">
        <v>7.8</v>
      </c>
      <c r="L365">
        <v>311513</v>
      </c>
      <c r="M365" t="s">
        <v>88</v>
      </c>
      <c r="N365" t="str">
        <f>IF(ISNUMBER(SEARCH("Streaming", M365)), "streaming", "cinema")</f>
        <v>streaming</v>
      </c>
      <c r="O365" t="str">
        <f>IF(I365=1, "non-original", "original")</f>
        <v>original</v>
      </c>
      <c r="P365" t="str">
        <f>IF(J365 = 1, "franchise", "non-franchise")</f>
        <v>non-franchise</v>
      </c>
      <c r="Q365" t="str">
        <f>IF(OR(I365 = 1,J365 =1), "old", "new")</f>
        <v>new</v>
      </c>
      <c r="R365">
        <f t="shared" si="10"/>
        <v>0.75236993019762055</v>
      </c>
      <c r="S365">
        <f>IF(Q365="new",1.5,1)*(K365/10)*(1-(MIN(F365,180)/180))</f>
        <v>0.20800000000000002</v>
      </c>
      <c r="T365" t="str">
        <f t="shared" si="11"/>
        <v>Scenario 1: Strong Commitment</v>
      </c>
    </row>
    <row r="366" spans="1:20" x14ac:dyDescent="0.35">
      <c r="A366" t="s">
        <v>493</v>
      </c>
      <c r="B366" s="1">
        <v>44862</v>
      </c>
      <c r="C366">
        <v>2022</v>
      </c>
      <c r="D366">
        <v>10</v>
      </c>
      <c r="E366" t="s">
        <v>125</v>
      </c>
      <c r="F366">
        <v>106</v>
      </c>
      <c r="G366" t="s">
        <v>494</v>
      </c>
      <c r="H366" t="s">
        <v>27</v>
      </c>
      <c r="I366">
        <v>0</v>
      </c>
      <c r="J366">
        <v>0</v>
      </c>
      <c r="K366">
        <v>6.4</v>
      </c>
      <c r="L366">
        <v>14790</v>
      </c>
      <c r="M366" t="s">
        <v>17</v>
      </c>
      <c r="N366" t="str">
        <f>IF(ISNUMBER(SEARCH("Streaming", M366)), "streaming", "cinema")</f>
        <v>streaming</v>
      </c>
      <c r="O366" t="str">
        <f>IF(I366=1, "non-original", "original")</f>
        <v>original</v>
      </c>
      <c r="P366" t="str">
        <f>IF(J366 = 1, "franchise", "non-franchise")</f>
        <v>non-franchise</v>
      </c>
      <c r="Q366" t="str">
        <f>IF(OR(I366 = 1,J366 =1), "old", "new")</f>
        <v>new</v>
      </c>
      <c r="R366">
        <f t="shared" si="10"/>
        <v>0.40903556865461205</v>
      </c>
      <c r="S366">
        <f>IF(Q366="new",1.5,1)*(K366/10)*(1-(MIN(F366,180)/180))</f>
        <v>0.39466666666666661</v>
      </c>
      <c r="T366" t="str">
        <f t="shared" si="11"/>
        <v>Scenario 3: Strong Convenience</v>
      </c>
    </row>
    <row r="367" spans="1:20" x14ac:dyDescent="0.35">
      <c r="A367" t="s">
        <v>495</v>
      </c>
      <c r="B367" s="1">
        <v>44862</v>
      </c>
      <c r="C367">
        <v>2022</v>
      </c>
      <c r="D367">
        <v>10</v>
      </c>
      <c r="E367" t="s">
        <v>125</v>
      </c>
      <c r="F367">
        <v>123</v>
      </c>
      <c r="G367" t="s">
        <v>43</v>
      </c>
      <c r="H367" t="s">
        <v>30</v>
      </c>
      <c r="I367">
        <v>0</v>
      </c>
      <c r="J367">
        <v>0</v>
      </c>
      <c r="K367">
        <v>5.6</v>
      </c>
      <c r="L367">
        <v>1847</v>
      </c>
      <c r="M367" t="s">
        <v>17</v>
      </c>
      <c r="N367" t="str">
        <f>IF(ISNUMBER(SEARCH("Streaming", M367)), "streaming", "cinema")</f>
        <v>streaming</v>
      </c>
      <c r="O367" t="str">
        <f>IF(I367=1, "non-original", "original")</f>
        <v>original</v>
      </c>
      <c r="P367" t="str">
        <f>IF(J367 = 1, "franchise", "non-franchise")</f>
        <v>non-franchise</v>
      </c>
      <c r="Q367" t="str">
        <f>IF(OR(I367 = 1,J367 =1), "old", "new")</f>
        <v>new</v>
      </c>
      <c r="R367">
        <f t="shared" si="10"/>
        <v>0.37179696619690483</v>
      </c>
      <c r="S367">
        <f>IF(Q367="new",1.5,1)*(K367/10)*(1-(MIN(F367,180)/180))</f>
        <v>0.26599999999999996</v>
      </c>
      <c r="T367" t="str">
        <f t="shared" si="11"/>
        <v>Scenario 2: Weak Commitment/Convenience</v>
      </c>
    </row>
    <row r="368" spans="1:20" x14ac:dyDescent="0.35">
      <c r="A368" t="s">
        <v>496</v>
      </c>
      <c r="B368" s="1">
        <v>44866</v>
      </c>
      <c r="C368">
        <v>2022</v>
      </c>
      <c r="D368">
        <v>11</v>
      </c>
      <c r="E368" t="s">
        <v>125</v>
      </c>
      <c r="F368">
        <v>88</v>
      </c>
      <c r="G368" t="s">
        <v>497</v>
      </c>
      <c r="H368" t="s">
        <v>30</v>
      </c>
      <c r="I368">
        <v>0</v>
      </c>
      <c r="J368">
        <v>0</v>
      </c>
      <c r="K368">
        <v>5.8</v>
      </c>
      <c r="L368">
        <v>34</v>
      </c>
      <c r="M368" t="s">
        <v>17</v>
      </c>
      <c r="N368" t="str">
        <f>IF(ISNUMBER(SEARCH("Streaming", M368)), "streaming", "cinema")</f>
        <v>streaming</v>
      </c>
      <c r="O368" t="str">
        <f>IF(I368=1, "non-original", "original")</f>
        <v>original</v>
      </c>
      <c r="P368" t="str">
        <f>IF(J368 = 1, "franchise", "non-franchise")</f>
        <v>non-franchise</v>
      </c>
      <c r="Q368" t="str">
        <f>IF(OR(I368 = 1,J368 =1), "old", "new")</f>
        <v>new</v>
      </c>
      <c r="R368">
        <f t="shared" si="10"/>
        <v>0.12471427425352463</v>
      </c>
      <c r="S368">
        <f>IF(Q368="new",1.5,1)*(K368/10)*(1-(MIN(F368,180)/180))</f>
        <v>0.4446666666666666</v>
      </c>
      <c r="T368" t="str">
        <f t="shared" si="11"/>
        <v>Scenario 3: Strong Convenience</v>
      </c>
    </row>
    <row r="369" spans="1:20" x14ac:dyDescent="0.35">
      <c r="A369" t="s">
        <v>498</v>
      </c>
      <c r="B369" s="1">
        <v>44874</v>
      </c>
      <c r="C369">
        <v>2022</v>
      </c>
      <c r="D369">
        <v>11</v>
      </c>
      <c r="E369" t="s">
        <v>125</v>
      </c>
      <c r="F369">
        <v>73</v>
      </c>
      <c r="G369" t="s">
        <v>499</v>
      </c>
      <c r="H369" t="s">
        <v>56</v>
      </c>
      <c r="I369">
        <v>0</v>
      </c>
      <c r="J369">
        <v>0</v>
      </c>
      <c r="K369">
        <v>3.1</v>
      </c>
      <c r="L369">
        <v>1454</v>
      </c>
      <c r="M369" t="s">
        <v>17</v>
      </c>
      <c r="N369" t="str">
        <f>IF(ISNUMBER(SEARCH("Streaming", M369)), "streaming", "cinema")</f>
        <v>streaming</v>
      </c>
      <c r="O369" t="str">
        <f>IF(I369=1, "non-original", "original")</f>
        <v>original</v>
      </c>
      <c r="P369" t="str">
        <f>IF(J369 = 1, "franchise", "non-franchise")</f>
        <v>non-franchise</v>
      </c>
      <c r="Q369" t="str">
        <f>IF(OR(I369 = 1,J369 =1), "old", "new")</f>
        <v>new</v>
      </c>
      <c r="R369">
        <f t="shared" si="10"/>
        <v>0.21364105210497034</v>
      </c>
      <c r="S369">
        <f>IF(Q369="new",1.5,1)*(K369/10)*(1-(MIN(F369,180)/180))</f>
        <v>0.27641666666666664</v>
      </c>
      <c r="T369" t="str">
        <f t="shared" si="11"/>
        <v>Scenario 2: Weak Commitment/Convenience</v>
      </c>
    </row>
    <row r="370" spans="1:20" x14ac:dyDescent="0.35">
      <c r="A370" t="s">
        <v>500</v>
      </c>
      <c r="B370" s="1">
        <v>44875</v>
      </c>
      <c r="C370">
        <v>2022</v>
      </c>
      <c r="D370">
        <v>11</v>
      </c>
      <c r="E370" t="s">
        <v>125</v>
      </c>
      <c r="F370">
        <v>95</v>
      </c>
      <c r="G370" t="s">
        <v>29</v>
      </c>
      <c r="H370" t="s">
        <v>56</v>
      </c>
      <c r="I370">
        <v>0</v>
      </c>
      <c r="J370">
        <v>0</v>
      </c>
      <c r="K370">
        <v>5.3</v>
      </c>
      <c r="L370">
        <v>33783</v>
      </c>
      <c r="M370" t="s">
        <v>88</v>
      </c>
      <c r="N370" t="str">
        <f>IF(ISNUMBER(SEARCH("Streaming", M370)), "streaming", "cinema")</f>
        <v>streaming</v>
      </c>
      <c r="O370" t="str">
        <f>IF(I370=1, "non-original", "original")</f>
        <v>original</v>
      </c>
      <c r="P370" t="str">
        <f>IF(J370 = 1, "franchise", "non-franchise")</f>
        <v>non-franchise</v>
      </c>
      <c r="Q370" t="str">
        <f>IF(OR(I370 = 1,J370 =1), "old", "new")</f>
        <v>new</v>
      </c>
      <c r="R370">
        <f t="shared" si="10"/>
        <v>0.39812500507320836</v>
      </c>
      <c r="S370">
        <f>IF(Q370="new",1.5,1)*(K370/10)*(1-(MIN(F370,180)/180))</f>
        <v>0.37541666666666668</v>
      </c>
      <c r="T370" t="str">
        <f t="shared" si="11"/>
        <v>Scenario 3: Strong Convenience</v>
      </c>
    </row>
    <row r="371" spans="1:20" x14ac:dyDescent="0.35">
      <c r="A371" t="s">
        <v>501</v>
      </c>
      <c r="B371" s="1">
        <v>44875</v>
      </c>
      <c r="C371">
        <v>2022</v>
      </c>
      <c r="D371">
        <v>11</v>
      </c>
      <c r="E371" t="s">
        <v>125</v>
      </c>
      <c r="F371">
        <v>100</v>
      </c>
      <c r="G371" t="s">
        <v>58</v>
      </c>
      <c r="H371" t="s">
        <v>24</v>
      </c>
      <c r="I371">
        <v>0</v>
      </c>
      <c r="J371">
        <v>1</v>
      </c>
      <c r="K371">
        <v>6.3</v>
      </c>
      <c r="L371">
        <v>7095</v>
      </c>
      <c r="M371" t="s">
        <v>17</v>
      </c>
      <c r="N371" t="str">
        <f>IF(ISNUMBER(SEARCH("Streaming", M371)), "streaming", "cinema")</f>
        <v>streaming</v>
      </c>
      <c r="O371" t="str">
        <f>IF(I371=1, "non-original", "original")</f>
        <v>original</v>
      </c>
      <c r="P371" t="str">
        <f>IF(J371 = 1, "franchise", "non-franchise")</f>
        <v>franchise</v>
      </c>
      <c r="Q371" t="str">
        <f>IF(OR(I371 = 1,J371 =1), "old", "new")</f>
        <v>old</v>
      </c>
      <c r="R371">
        <f t="shared" si="10"/>
        <v>0.53454205469082405</v>
      </c>
      <c r="S371">
        <f>IF(Q371="new",1.5,1)*(K371/10)*(1-(MIN(F371,180)/180))</f>
        <v>0.27999999999999997</v>
      </c>
      <c r="T371" t="str">
        <f t="shared" si="11"/>
        <v>Scenario 1: Strong Commitment</v>
      </c>
    </row>
    <row r="372" spans="1:20" x14ac:dyDescent="0.35">
      <c r="A372" t="s">
        <v>502</v>
      </c>
      <c r="B372" s="1">
        <v>44876</v>
      </c>
      <c r="C372">
        <v>2022</v>
      </c>
      <c r="D372">
        <v>11</v>
      </c>
      <c r="E372" t="s">
        <v>125</v>
      </c>
      <c r="F372">
        <v>107</v>
      </c>
      <c r="G372" t="s">
        <v>34</v>
      </c>
      <c r="H372" t="s">
        <v>24</v>
      </c>
      <c r="I372">
        <v>0</v>
      </c>
      <c r="J372">
        <v>0</v>
      </c>
      <c r="K372">
        <v>5.2</v>
      </c>
      <c r="L372">
        <v>2173</v>
      </c>
      <c r="M372" t="s">
        <v>17</v>
      </c>
      <c r="N372" t="str">
        <f>IF(ISNUMBER(SEARCH("Streaming", M372)), "streaming", "cinema")</f>
        <v>streaming</v>
      </c>
      <c r="O372" t="str">
        <f>IF(I372=1, "non-original", "original")</f>
        <v>original</v>
      </c>
      <c r="P372" t="str">
        <f>IF(J372 = 1, "franchise", "non-franchise")</f>
        <v>non-franchise</v>
      </c>
      <c r="Q372" t="str">
        <f>IF(OR(I372 = 1,J372 =1), "old", "new")</f>
        <v>new</v>
      </c>
      <c r="R372">
        <f t="shared" si="10"/>
        <v>0.3304229669223403</v>
      </c>
      <c r="S372">
        <f>IF(Q372="new",1.5,1)*(K372/10)*(1-(MIN(F372,180)/180))</f>
        <v>0.31633333333333336</v>
      </c>
      <c r="T372" t="str">
        <f t="shared" si="11"/>
        <v>Scenario 3: Strong Convenience</v>
      </c>
    </row>
    <row r="373" spans="1:20" x14ac:dyDescent="0.35">
      <c r="A373" t="s">
        <v>503</v>
      </c>
      <c r="B373" s="1">
        <v>44876</v>
      </c>
      <c r="C373">
        <v>2022</v>
      </c>
      <c r="D373">
        <v>11</v>
      </c>
      <c r="E373" t="s">
        <v>125</v>
      </c>
      <c r="F373">
        <v>130</v>
      </c>
      <c r="G373" t="s">
        <v>504</v>
      </c>
      <c r="H373" t="s">
        <v>24</v>
      </c>
      <c r="I373">
        <v>0</v>
      </c>
      <c r="J373">
        <v>0</v>
      </c>
      <c r="K373">
        <v>7.4</v>
      </c>
      <c r="L373">
        <v>23961</v>
      </c>
      <c r="M373" t="s">
        <v>17</v>
      </c>
      <c r="N373" t="str">
        <f>IF(ISNUMBER(SEARCH("Streaming", M373)), "streaming", "cinema")</f>
        <v>streaming</v>
      </c>
      <c r="O373" t="str">
        <f>IF(I373=1, "non-original", "original")</f>
        <v>original</v>
      </c>
      <c r="P373" t="str">
        <f>IF(J373 = 1, "franchise", "non-franchise")</f>
        <v>non-franchise</v>
      </c>
      <c r="Q373" t="str">
        <f>IF(OR(I373 = 1,J373 =1), "old", "new")</f>
        <v>new</v>
      </c>
      <c r="R373">
        <f t="shared" si="10"/>
        <v>0.52685467963320642</v>
      </c>
      <c r="S373">
        <f>IF(Q373="new",1.5,1)*(K373/10)*(1-(MIN(F373,180)/180))</f>
        <v>0.30833333333333329</v>
      </c>
      <c r="T373" t="str">
        <f t="shared" si="11"/>
        <v>Scenario 1: Strong Commitment</v>
      </c>
    </row>
    <row r="374" spans="1:20" x14ac:dyDescent="0.35">
      <c r="A374" t="s">
        <v>505</v>
      </c>
      <c r="B374" s="1">
        <v>44876</v>
      </c>
      <c r="C374">
        <v>2022</v>
      </c>
      <c r="D374">
        <v>11</v>
      </c>
      <c r="E374" t="s">
        <v>125</v>
      </c>
      <c r="F374">
        <v>103</v>
      </c>
      <c r="G374" t="s">
        <v>506</v>
      </c>
      <c r="H374" t="s">
        <v>56</v>
      </c>
      <c r="I374">
        <v>0</v>
      </c>
      <c r="J374">
        <v>0</v>
      </c>
      <c r="K374">
        <v>6.5</v>
      </c>
      <c r="L374">
        <v>4123</v>
      </c>
      <c r="M374" t="s">
        <v>17</v>
      </c>
      <c r="N374" t="str">
        <f>IF(ISNUMBER(SEARCH("Streaming", M374)), "streaming", "cinema")</f>
        <v>streaming</v>
      </c>
      <c r="O374" t="str">
        <f>IF(I374=1, "non-original", "original")</f>
        <v>original</v>
      </c>
      <c r="P374" t="str">
        <f>IF(J374 = 1, "franchise", "non-franchise")</f>
        <v>non-franchise</v>
      </c>
      <c r="Q374" t="str">
        <f>IF(OR(I374 = 1,J374 =1), "old", "new")</f>
        <v>new</v>
      </c>
      <c r="R374">
        <f t="shared" si="10"/>
        <v>0.34458282253519662</v>
      </c>
      <c r="S374">
        <f>IF(Q374="new",1.5,1)*(K374/10)*(1-(MIN(F374,180)/180))</f>
        <v>0.41708333333333342</v>
      </c>
      <c r="T374" t="str">
        <f t="shared" si="11"/>
        <v>Scenario 3: Strong Convenience</v>
      </c>
    </row>
    <row r="375" spans="1:20" x14ac:dyDescent="0.35">
      <c r="A375" t="s">
        <v>507</v>
      </c>
      <c r="B375" s="1">
        <v>44881</v>
      </c>
      <c r="C375">
        <v>2022</v>
      </c>
      <c r="D375">
        <v>11</v>
      </c>
      <c r="E375" t="s">
        <v>125</v>
      </c>
      <c r="F375">
        <v>106</v>
      </c>
      <c r="G375" t="s">
        <v>21</v>
      </c>
      <c r="H375" t="s">
        <v>30</v>
      </c>
      <c r="I375">
        <v>0</v>
      </c>
      <c r="J375">
        <v>0</v>
      </c>
      <c r="K375">
        <v>5.5</v>
      </c>
      <c r="L375">
        <v>431</v>
      </c>
      <c r="M375" t="s">
        <v>17</v>
      </c>
      <c r="N375" t="str">
        <f>IF(ISNUMBER(SEARCH("Streaming", M375)), "streaming", "cinema")</f>
        <v>streaming</v>
      </c>
      <c r="O375" t="str">
        <f>IF(I375=1, "non-original", "original")</f>
        <v>original</v>
      </c>
      <c r="P375" t="str">
        <f>IF(J375 = 1, "franchise", "non-franchise")</f>
        <v>non-franchise</v>
      </c>
      <c r="Q375" t="str">
        <f>IF(OR(I375 = 1,J375 =1), "old", "new")</f>
        <v>new</v>
      </c>
      <c r="R375">
        <f t="shared" si="10"/>
        <v>0.25841801743896187</v>
      </c>
      <c r="S375">
        <f>IF(Q375="new",1.5,1)*(K375/10)*(1-(MIN(F375,180)/180))</f>
        <v>0.33916666666666667</v>
      </c>
      <c r="T375" t="str">
        <f t="shared" si="11"/>
        <v>Scenario 3: Strong Convenience</v>
      </c>
    </row>
    <row r="376" spans="1:20" x14ac:dyDescent="0.35">
      <c r="A376" t="s">
        <v>508</v>
      </c>
      <c r="B376" s="1">
        <v>44881</v>
      </c>
      <c r="C376">
        <v>2022</v>
      </c>
      <c r="D376">
        <v>11</v>
      </c>
      <c r="E376" t="s">
        <v>125</v>
      </c>
      <c r="F376">
        <v>109</v>
      </c>
      <c r="G376" t="s">
        <v>23</v>
      </c>
      <c r="H376" t="s">
        <v>24</v>
      </c>
      <c r="I376">
        <v>0</v>
      </c>
      <c r="J376">
        <v>0</v>
      </c>
      <c r="K376">
        <v>6.6</v>
      </c>
      <c r="L376">
        <v>49098</v>
      </c>
      <c r="M376" t="s">
        <v>17</v>
      </c>
      <c r="N376" t="str">
        <f>IF(ISNUMBER(SEARCH("Streaming", M376)), "streaming", "cinema")</f>
        <v>streaming</v>
      </c>
      <c r="O376" t="str">
        <f>IF(I376=1, "non-original", "original")</f>
        <v>original</v>
      </c>
      <c r="P376" t="str">
        <f>IF(J376 = 1, "franchise", "non-franchise")</f>
        <v>non-franchise</v>
      </c>
      <c r="Q376" t="str">
        <f>IF(OR(I376 = 1,J376 =1), "old", "new")</f>
        <v>new</v>
      </c>
      <c r="R376">
        <f t="shared" si="10"/>
        <v>0.47317338308370971</v>
      </c>
      <c r="S376">
        <f>IF(Q376="new",1.5,1)*(K376/10)*(1-(MIN(F376,180)/180))</f>
        <v>0.39050000000000001</v>
      </c>
      <c r="T376" t="str">
        <f t="shared" si="11"/>
        <v>Scenario 3: Strong Convenience</v>
      </c>
    </row>
    <row r="377" spans="1:20" x14ac:dyDescent="0.35">
      <c r="A377" t="s">
        <v>509</v>
      </c>
      <c r="B377" s="1">
        <v>44882</v>
      </c>
      <c r="C377">
        <v>2022</v>
      </c>
      <c r="D377">
        <v>11</v>
      </c>
      <c r="E377" t="s">
        <v>125</v>
      </c>
      <c r="F377">
        <v>90</v>
      </c>
      <c r="G377" t="s">
        <v>29</v>
      </c>
      <c r="H377" t="s">
        <v>56</v>
      </c>
      <c r="I377">
        <v>0</v>
      </c>
      <c r="J377">
        <v>0</v>
      </c>
      <c r="K377">
        <v>5.6</v>
      </c>
      <c r="L377">
        <v>8624</v>
      </c>
      <c r="M377" t="s">
        <v>17</v>
      </c>
      <c r="N377" t="str">
        <f>IF(ISNUMBER(SEARCH("Streaming", M377)), "streaming", "cinema")</f>
        <v>streaming</v>
      </c>
      <c r="O377" t="str">
        <f>IF(I377=1, "non-original", "original")</f>
        <v>original</v>
      </c>
      <c r="P377" t="str">
        <f>IF(J377 = 1, "franchise", "non-franchise")</f>
        <v>non-franchise</v>
      </c>
      <c r="Q377" t="str">
        <f>IF(OR(I377 = 1,J377 =1), "old", "new")</f>
        <v>new</v>
      </c>
      <c r="R377">
        <f t="shared" si="10"/>
        <v>0.32778413581782273</v>
      </c>
      <c r="S377">
        <f>IF(Q377="new",1.5,1)*(K377/10)*(1-(MIN(F377,180)/180))</f>
        <v>0.41999999999999993</v>
      </c>
      <c r="T377" t="str">
        <f t="shared" si="11"/>
        <v>Scenario 3: Strong Convenience</v>
      </c>
    </row>
    <row r="378" spans="1:20" x14ac:dyDescent="0.35">
      <c r="A378" t="s">
        <v>510</v>
      </c>
      <c r="B378" s="1">
        <v>44883</v>
      </c>
      <c r="C378">
        <v>2022</v>
      </c>
      <c r="D378">
        <v>11</v>
      </c>
      <c r="E378" t="s">
        <v>125</v>
      </c>
      <c r="F378">
        <v>120</v>
      </c>
      <c r="G378" t="s">
        <v>511</v>
      </c>
      <c r="H378" t="s">
        <v>56</v>
      </c>
      <c r="I378">
        <v>1</v>
      </c>
      <c r="J378">
        <v>1</v>
      </c>
      <c r="K378">
        <v>6.7</v>
      </c>
      <c r="L378">
        <v>35782</v>
      </c>
      <c r="M378" t="s">
        <v>88</v>
      </c>
      <c r="N378" t="str">
        <f>IF(ISNUMBER(SEARCH("Streaming", M378)), "streaming", "cinema")</f>
        <v>streaming</v>
      </c>
      <c r="O378" t="str">
        <f>IF(I378=1, "non-original", "original")</f>
        <v>non-original</v>
      </c>
      <c r="P378" t="str">
        <f>IF(J378 = 1, "franchise", "non-franchise")</f>
        <v>franchise</v>
      </c>
      <c r="Q378" t="str">
        <f>IF(OR(I378 = 1,J378 =1), "old", "new")</f>
        <v>old</v>
      </c>
      <c r="R378">
        <f t="shared" si="10"/>
        <v>0.7585007504746778</v>
      </c>
      <c r="S378">
        <f>IF(Q378="new",1.5,1)*(K378/10)*(1-(MIN(F378,180)/180))</f>
        <v>0.22333333333333338</v>
      </c>
      <c r="T378" t="str">
        <f t="shared" si="11"/>
        <v>Scenario 1: Strong Commitment</v>
      </c>
    </row>
    <row r="379" spans="1:20" x14ac:dyDescent="0.35">
      <c r="A379" t="s">
        <v>512</v>
      </c>
      <c r="B379" s="1">
        <v>44888</v>
      </c>
      <c r="C379">
        <v>2022</v>
      </c>
      <c r="D379">
        <v>11</v>
      </c>
      <c r="E379" t="s">
        <v>125</v>
      </c>
      <c r="F379">
        <v>103</v>
      </c>
      <c r="G379" t="s">
        <v>21</v>
      </c>
      <c r="H379" t="s">
        <v>86</v>
      </c>
      <c r="I379">
        <v>0</v>
      </c>
      <c r="J379">
        <v>0</v>
      </c>
      <c r="K379">
        <v>4.5</v>
      </c>
      <c r="L379">
        <v>2269</v>
      </c>
      <c r="M379" t="s">
        <v>17</v>
      </c>
      <c r="N379" t="str">
        <f>IF(ISNUMBER(SEARCH("Streaming", M379)), "streaming", "cinema")</f>
        <v>streaming</v>
      </c>
      <c r="O379" t="str">
        <f>IF(I379=1, "non-original", "original")</f>
        <v>original</v>
      </c>
      <c r="P379" t="str">
        <f>IF(J379 = 1, "franchise", "non-franchise")</f>
        <v>non-franchise</v>
      </c>
      <c r="Q379" t="str">
        <f>IF(OR(I379 = 1,J379 =1), "old", "new")</f>
        <v>new</v>
      </c>
      <c r="R379">
        <f t="shared" si="10"/>
        <v>0.31986021721635061</v>
      </c>
      <c r="S379">
        <f>IF(Q379="new",1.5,1)*(K379/10)*(1-(MIN(F379,180)/180))</f>
        <v>0.28875000000000006</v>
      </c>
      <c r="T379" t="str">
        <f t="shared" si="11"/>
        <v>Scenario 2: Weak Commitment/Convenience</v>
      </c>
    </row>
    <row r="380" spans="1:20" x14ac:dyDescent="0.35">
      <c r="A380" t="s">
        <v>513</v>
      </c>
      <c r="B380" s="1">
        <v>44888</v>
      </c>
      <c r="C380">
        <v>2022</v>
      </c>
      <c r="D380">
        <v>11</v>
      </c>
      <c r="E380" t="s">
        <v>125</v>
      </c>
      <c r="F380">
        <v>99</v>
      </c>
      <c r="G380" t="s">
        <v>43</v>
      </c>
      <c r="H380" t="s">
        <v>30</v>
      </c>
      <c r="I380">
        <v>0</v>
      </c>
      <c r="J380">
        <v>0</v>
      </c>
      <c r="K380">
        <v>5</v>
      </c>
      <c r="L380">
        <v>2313</v>
      </c>
      <c r="M380" t="s">
        <v>17</v>
      </c>
      <c r="N380" t="str">
        <f>IF(ISNUMBER(SEARCH("Streaming", M380)), "streaming", "cinema")</f>
        <v>streaming</v>
      </c>
      <c r="O380" t="str">
        <f>IF(I380=1, "non-original", "original")</f>
        <v>original</v>
      </c>
      <c r="P380" t="str">
        <f>IF(J380 = 1, "franchise", "non-franchise")</f>
        <v>non-franchise</v>
      </c>
      <c r="Q380" t="str">
        <f>IF(OR(I380 = 1,J380 =1), "old", "new")</f>
        <v>new</v>
      </c>
      <c r="R380">
        <f t="shared" si="10"/>
        <v>0.30820261876458738</v>
      </c>
      <c r="S380">
        <f>IF(Q380="new",1.5,1)*(K380/10)*(1-(MIN(F380,180)/180))</f>
        <v>0.33749999999999997</v>
      </c>
      <c r="T380" t="str">
        <f t="shared" si="11"/>
        <v>Scenario 3: Strong Convenience</v>
      </c>
    </row>
    <row r="381" spans="1:20" x14ac:dyDescent="0.35">
      <c r="A381" t="s">
        <v>514</v>
      </c>
      <c r="B381" s="1">
        <v>44888</v>
      </c>
      <c r="C381">
        <v>2022</v>
      </c>
      <c r="D381">
        <v>11</v>
      </c>
      <c r="E381" t="s">
        <v>125</v>
      </c>
      <c r="F381">
        <v>135</v>
      </c>
      <c r="G381" t="s">
        <v>34</v>
      </c>
      <c r="H381" t="s">
        <v>27</v>
      </c>
      <c r="I381">
        <v>0</v>
      </c>
      <c r="J381">
        <v>0</v>
      </c>
      <c r="K381">
        <v>7.4</v>
      </c>
      <c r="L381">
        <v>40149</v>
      </c>
      <c r="M381" t="s">
        <v>17</v>
      </c>
      <c r="N381" t="str">
        <f>IF(ISNUMBER(SEARCH("Streaming", M381)), "streaming", "cinema")</f>
        <v>streaming</v>
      </c>
      <c r="O381" t="str">
        <f>IF(I381=1, "non-original", "original")</f>
        <v>original</v>
      </c>
      <c r="P381" t="str">
        <f>IF(J381 = 1, "franchise", "non-franchise")</f>
        <v>non-franchise</v>
      </c>
      <c r="Q381" t="str">
        <f>IF(OR(I381 = 1,J381 =1), "old", "new")</f>
        <v>new</v>
      </c>
      <c r="R381">
        <f t="shared" si="10"/>
        <v>0.57512317622537168</v>
      </c>
      <c r="S381">
        <f>IF(Q381="new",1.5,1)*(K381/10)*(1-(MIN(F381,180)/180))</f>
        <v>0.27749999999999997</v>
      </c>
      <c r="T381" t="str">
        <f t="shared" si="11"/>
        <v>Scenario 1: Strong Commitment</v>
      </c>
    </row>
    <row r="382" spans="1:20" x14ac:dyDescent="0.35">
      <c r="A382" t="s">
        <v>515</v>
      </c>
      <c r="B382" s="1">
        <v>44888</v>
      </c>
      <c r="C382">
        <v>2022</v>
      </c>
      <c r="D382">
        <v>11</v>
      </c>
      <c r="E382" t="s">
        <v>125</v>
      </c>
      <c r="F382">
        <v>95</v>
      </c>
      <c r="G382" t="s">
        <v>21</v>
      </c>
      <c r="H382" t="s">
        <v>24</v>
      </c>
      <c r="I382">
        <v>0</v>
      </c>
      <c r="J382">
        <v>0</v>
      </c>
      <c r="K382">
        <v>4.7</v>
      </c>
      <c r="L382">
        <v>885</v>
      </c>
      <c r="M382" t="s">
        <v>17</v>
      </c>
      <c r="N382" t="str">
        <f>IF(ISNUMBER(SEARCH("Streaming", M382)), "streaming", "cinema")</f>
        <v>streaming</v>
      </c>
      <c r="O382" t="str">
        <f>IF(I382=1, "non-original", "original")</f>
        <v>original</v>
      </c>
      <c r="P382" t="str">
        <f>IF(J382 = 1, "franchise", "non-franchise")</f>
        <v>non-franchise</v>
      </c>
      <c r="Q382" t="str">
        <f>IF(OR(I382 = 1,J382 =1), "old", "new")</f>
        <v>new</v>
      </c>
      <c r="R382">
        <f t="shared" si="10"/>
        <v>0.25907043246540906</v>
      </c>
      <c r="S382">
        <f>IF(Q382="new",1.5,1)*(K382/10)*(1-(MIN(F382,180)/180))</f>
        <v>0.33291666666666669</v>
      </c>
      <c r="T382" t="str">
        <f t="shared" si="11"/>
        <v>Scenario 3: Strong Convenience</v>
      </c>
    </row>
    <row r="383" spans="1:20" x14ac:dyDescent="0.35">
      <c r="A383" t="s">
        <v>516</v>
      </c>
      <c r="B383" s="1">
        <v>44889</v>
      </c>
      <c r="C383">
        <v>2022</v>
      </c>
      <c r="D383">
        <v>11</v>
      </c>
      <c r="E383" t="s">
        <v>125</v>
      </c>
      <c r="F383">
        <v>100</v>
      </c>
      <c r="G383" t="s">
        <v>34</v>
      </c>
      <c r="H383" t="s">
        <v>56</v>
      </c>
      <c r="I383">
        <v>0</v>
      </c>
      <c r="J383">
        <v>0</v>
      </c>
      <c r="K383">
        <v>6.2</v>
      </c>
      <c r="L383">
        <v>22216</v>
      </c>
      <c r="M383" t="s">
        <v>88</v>
      </c>
      <c r="N383" t="str">
        <f>IF(ISNUMBER(SEARCH("Streaming", M383)), "streaming", "cinema")</f>
        <v>streaming</v>
      </c>
      <c r="O383" t="str">
        <f>IF(I383=1, "non-original", "original")</f>
        <v>original</v>
      </c>
      <c r="P383" t="str">
        <f>IF(J383 = 1, "franchise", "non-franchise")</f>
        <v>non-franchise</v>
      </c>
      <c r="Q383" t="str">
        <f>IF(OR(I383 = 1,J383 =1), "old", "new")</f>
        <v>new</v>
      </c>
      <c r="R383">
        <f t="shared" si="10"/>
        <v>0.40223395188983108</v>
      </c>
      <c r="S383">
        <f>IF(Q383="new",1.5,1)*(K383/10)*(1-(MIN(F383,180)/180))</f>
        <v>0.41333333333333327</v>
      </c>
      <c r="T383" t="str">
        <f t="shared" si="11"/>
        <v>Scenario 3: Strong Convenience</v>
      </c>
    </row>
    <row r="384" spans="1:20" x14ac:dyDescent="0.35">
      <c r="A384" t="s">
        <v>517</v>
      </c>
      <c r="B384" s="1">
        <v>44895</v>
      </c>
      <c r="C384">
        <v>2022</v>
      </c>
      <c r="D384">
        <v>11</v>
      </c>
      <c r="E384" t="s">
        <v>125</v>
      </c>
      <c r="F384">
        <v>111</v>
      </c>
      <c r="G384" t="s">
        <v>62</v>
      </c>
      <c r="H384" t="s">
        <v>30</v>
      </c>
      <c r="I384">
        <v>0</v>
      </c>
      <c r="J384">
        <v>0</v>
      </c>
      <c r="K384">
        <v>6.4</v>
      </c>
      <c r="L384">
        <v>3841</v>
      </c>
      <c r="M384" t="s">
        <v>17</v>
      </c>
      <c r="N384" t="str">
        <f>IF(ISNUMBER(SEARCH("Streaming", M384)), "streaming", "cinema")</f>
        <v>streaming</v>
      </c>
      <c r="O384" t="str">
        <f>IF(I384=1, "non-original", "original")</f>
        <v>original</v>
      </c>
      <c r="P384" t="str">
        <f>IF(J384 = 1, "franchise", "non-franchise")</f>
        <v>non-franchise</v>
      </c>
      <c r="Q384" t="str">
        <f>IF(OR(I384 = 1,J384 =1), "old", "new")</f>
        <v>new</v>
      </c>
      <c r="R384">
        <f t="shared" si="10"/>
        <v>0.36818601198107248</v>
      </c>
      <c r="S384">
        <f>IF(Q384="new",1.5,1)*(K384/10)*(1-(MIN(F384,180)/180))</f>
        <v>0.36799999999999994</v>
      </c>
      <c r="T384" t="str">
        <f t="shared" si="11"/>
        <v>Scenario 3: Strong Convenience</v>
      </c>
    </row>
    <row r="385" spans="1:20" x14ac:dyDescent="0.35">
      <c r="A385" t="s">
        <v>518</v>
      </c>
      <c r="B385" s="1">
        <v>44895</v>
      </c>
      <c r="C385">
        <v>2022</v>
      </c>
      <c r="D385">
        <v>11</v>
      </c>
      <c r="E385" t="s">
        <v>125</v>
      </c>
      <c r="F385">
        <v>105</v>
      </c>
      <c r="G385" t="s">
        <v>29</v>
      </c>
      <c r="H385" t="s">
        <v>24</v>
      </c>
      <c r="I385">
        <v>0</v>
      </c>
      <c r="J385">
        <v>0</v>
      </c>
      <c r="K385">
        <v>4.5999999999999996</v>
      </c>
      <c r="L385">
        <v>936</v>
      </c>
      <c r="M385" t="s">
        <v>17</v>
      </c>
      <c r="N385" t="str">
        <f>IF(ISNUMBER(SEARCH("Streaming", M385)), "streaming", "cinema")</f>
        <v>streaming</v>
      </c>
      <c r="O385" t="str">
        <f>IF(I385=1, "non-original", "original")</f>
        <v>original</v>
      </c>
      <c r="P385" t="str">
        <f>IF(J385 = 1, "franchise", "non-franchise")</f>
        <v>non-franchise</v>
      </c>
      <c r="Q385" t="str">
        <f>IF(OR(I385 = 1,J385 =1), "old", "new")</f>
        <v>new</v>
      </c>
      <c r="R385">
        <f t="shared" si="10"/>
        <v>0.28870528966444819</v>
      </c>
      <c r="S385">
        <f>IF(Q385="new",1.5,1)*(K385/10)*(1-(MIN(F385,180)/180))</f>
        <v>0.28749999999999998</v>
      </c>
      <c r="T385" t="str">
        <f t="shared" si="11"/>
        <v>Scenario 2: Weak Commitment/Convenience</v>
      </c>
    </row>
    <row r="386" spans="1:20" x14ac:dyDescent="0.35">
      <c r="A386" t="s">
        <v>519</v>
      </c>
      <c r="B386" s="1">
        <v>44895</v>
      </c>
      <c r="C386">
        <v>2022</v>
      </c>
      <c r="D386">
        <v>11</v>
      </c>
      <c r="E386" t="s">
        <v>125</v>
      </c>
      <c r="F386">
        <v>90</v>
      </c>
      <c r="G386" t="s">
        <v>19</v>
      </c>
      <c r="H386" t="s">
        <v>24</v>
      </c>
      <c r="I386">
        <v>0</v>
      </c>
      <c r="J386">
        <v>0</v>
      </c>
      <c r="K386">
        <v>5.6</v>
      </c>
      <c r="L386">
        <v>6918</v>
      </c>
      <c r="M386" t="s">
        <v>88</v>
      </c>
      <c r="N386" t="str">
        <f>IF(ISNUMBER(SEARCH("Streaming", M386)), "streaming", "cinema")</f>
        <v>streaming</v>
      </c>
      <c r="O386" t="str">
        <f>IF(I386=1, "non-original", "original")</f>
        <v>original</v>
      </c>
      <c r="P386" t="str">
        <f>IF(J386 = 1, "franchise", "non-franchise")</f>
        <v>non-franchise</v>
      </c>
      <c r="Q386" t="str">
        <f>IF(OR(I386 = 1,J386 =1), "old", "new")</f>
        <v>new</v>
      </c>
      <c r="R386">
        <f t="shared" si="10"/>
        <v>0.31981144675549927</v>
      </c>
      <c r="S386">
        <f>IF(Q386="new",1.5,1)*(K386/10)*(1-(MIN(F386,180)/180))</f>
        <v>0.41999999999999993</v>
      </c>
      <c r="T386" t="str">
        <f t="shared" si="11"/>
        <v>Scenario 3: Strong Convenience</v>
      </c>
    </row>
    <row r="387" spans="1:20" x14ac:dyDescent="0.35">
      <c r="A387" t="s">
        <v>520</v>
      </c>
      <c r="B387" s="1">
        <v>44896</v>
      </c>
      <c r="C387">
        <v>2022</v>
      </c>
      <c r="D387">
        <v>12</v>
      </c>
      <c r="E387" t="s">
        <v>14</v>
      </c>
      <c r="F387">
        <v>119</v>
      </c>
      <c r="G387" t="s">
        <v>34</v>
      </c>
      <c r="H387" t="s">
        <v>30</v>
      </c>
      <c r="I387">
        <v>0</v>
      </c>
      <c r="J387">
        <v>0</v>
      </c>
      <c r="K387">
        <v>7.2</v>
      </c>
      <c r="L387">
        <v>8476</v>
      </c>
      <c r="M387" t="s">
        <v>17</v>
      </c>
      <c r="N387" t="str">
        <f>IF(ISNUMBER(SEARCH("Streaming", M387)), "streaming", "cinema")</f>
        <v>streaming</v>
      </c>
      <c r="O387" t="str">
        <f>IF(I387=1, "non-original", "original")</f>
        <v>original</v>
      </c>
      <c r="P387" t="str">
        <f>IF(J387 = 1, "franchise", "non-franchise")</f>
        <v>non-franchise</v>
      </c>
      <c r="Q387" t="str">
        <f>IF(OR(I387 = 1,J387 =1), "old", "new")</f>
        <v>new</v>
      </c>
      <c r="R387">
        <f t="shared" ref="R387:R450" si="12">IF(Q387="old",1.5,1)*(LOG10(L387)/LOG10(MAX($L$2:$L$1078)))*(MIN(F387,180)/180)</f>
        <v>0.4325756022029269</v>
      </c>
      <c r="S387">
        <f>IF(Q387="new",1.5,1)*(K387/10)*(1-(MIN(F387,180)/180))</f>
        <v>0.36600000000000005</v>
      </c>
      <c r="T387" t="str">
        <f t="shared" ref="T387:T450" si="13">IF(AND(R387&gt;=AVERAGE($R$2:$R$1078),S387&gt;=AVERAGE($S$2:$S$1078)),"Scenario 4: Hybrid Logic",
 IF(AND(R387&gt;=AVERAGE($R$2:$R$1078),S387&lt;AVERAGE($S$2:$S$1078)),"Scenario 1: Strong Commitment",
  IF(AND(R387&lt;AVERAGE($R$2:$R$1078),S387&gt;=AVERAGE($S$2:$S$1078)),"Scenario 3: Strong Convenience",
   "Scenario 2: Weak Commitment/Convenience")))</f>
        <v>Scenario 3: Strong Convenience</v>
      </c>
    </row>
    <row r="388" spans="1:20" x14ac:dyDescent="0.35">
      <c r="A388" t="s">
        <v>521</v>
      </c>
      <c r="B388" s="1">
        <v>44896</v>
      </c>
      <c r="C388">
        <v>2022</v>
      </c>
      <c r="D388">
        <v>12</v>
      </c>
      <c r="E388" t="s">
        <v>14</v>
      </c>
      <c r="F388">
        <v>103</v>
      </c>
      <c r="G388" t="s">
        <v>522</v>
      </c>
      <c r="H388" t="s">
        <v>27</v>
      </c>
      <c r="I388">
        <v>0</v>
      </c>
      <c r="J388">
        <v>0</v>
      </c>
      <c r="K388">
        <v>5.8</v>
      </c>
      <c r="L388">
        <v>58319</v>
      </c>
      <c r="M388" t="s">
        <v>88</v>
      </c>
      <c r="N388" t="str">
        <f>IF(ISNUMBER(SEARCH("Streaming", M388)), "streaming", "cinema")</f>
        <v>streaming</v>
      </c>
      <c r="O388" t="str">
        <f>IF(I388=1, "non-original", "original")</f>
        <v>original</v>
      </c>
      <c r="P388" t="str">
        <f>IF(J388 = 1, "franchise", "non-franchise")</f>
        <v>non-franchise</v>
      </c>
      <c r="Q388" t="str">
        <f>IF(OR(I388 = 1,J388 =1), "old", "new")</f>
        <v>new</v>
      </c>
      <c r="R388">
        <f t="shared" si="12"/>
        <v>0.45425155668140932</v>
      </c>
      <c r="S388">
        <f>IF(Q388="new",1.5,1)*(K388/10)*(1-(MIN(F388,180)/180))</f>
        <v>0.37216666666666665</v>
      </c>
      <c r="T388" t="str">
        <f t="shared" si="13"/>
        <v>Scenario 3: Strong Convenience</v>
      </c>
    </row>
    <row r="389" spans="1:20" x14ac:dyDescent="0.35">
      <c r="A389" t="s">
        <v>523</v>
      </c>
      <c r="B389" s="1">
        <v>44897</v>
      </c>
      <c r="C389">
        <v>2022</v>
      </c>
      <c r="D389">
        <v>12</v>
      </c>
      <c r="E389" t="s">
        <v>14</v>
      </c>
      <c r="F389">
        <v>127</v>
      </c>
      <c r="G389" t="s">
        <v>90</v>
      </c>
      <c r="H389" t="s">
        <v>24</v>
      </c>
      <c r="I389">
        <v>0</v>
      </c>
      <c r="J389">
        <v>0</v>
      </c>
      <c r="K389">
        <v>6.6</v>
      </c>
      <c r="L389">
        <v>27312</v>
      </c>
      <c r="M389" t="s">
        <v>17</v>
      </c>
      <c r="N389" t="str">
        <f>IF(ISNUMBER(SEARCH("Streaming", M389)), "streaming", "cinema")</f>
        <v>streaming</v>
      </c>
      <c r="O389" t="str">
        <f>IF(I389=1, "non-original", "original")</f>
        <v>original</v>
      </c>
      <c r="P389" t="str">
        <f>IF(J389 = 1, "franchise", "non-franchise")</f>
        <v>non-franchise</v>
      </c>
      <c r="Q389" t="str">
        <f>IF(OR(I389 = 1,J389 =1), "old", "new")</f>
        <v>new</v>
      </c>
      <c r="R389">
        <f t="shared" si="12"/>
        <v>0.52137755966667987</v>
      </c>
      <c r="S389">
        <f>IF(Q389="new",1.5,1)*(K389/10)*(1-(MIN(F389,180)/180))</f>
        <v>0.29149999999999993</v>
      </c>
      <c r="T389" t="str">
        <f t="shared" si="13"/>
        <v>Scenario 1: Strong Commitment</v>
      </c>
    </row>
    <row r="390" spans="1:20" x14ac:dyDescent="0.35">
      <c r="A390" t="s">
        <v>524</v>
      </c>
      <c r="B390" s="1">
        <v>44897</v>
      </c>
      <c r="C390">
        <v>2022</v>
      </c>
      <c r="D390">
        <v>12</v>
      </c>
      <c r="E390" t="s">
        <v>14</v>
      </c>
      <c r="F390">
        <v>101</v>
      </c>
      <c r="G390" t="s">
        <v>525</v>
      </c>
      <c r="H390" t="s">
        <v>86</v>
      </c>
      <c r="I390">
        <v>1</v>
      </c>
      <c r="J390">
        <v>1</v>
      </c>
      <c r="K390">
        <v>6.2</v>
      </c>
      <c r="L390">
        <v>9194</v>
      </c>
      <c r="M390" t="s">
        <v>17</v>
      </c>
      <c r="N390" t="str">
        <f>IF(ISNUMBER(SEARCH("Streaming", M390)), "streaming", "cinema")</f>
        <v>streaming</v>
      </c>
      <c r="O390" t="str">
        <f>IF(I390=1, "non-original", "original")</f>
        <v>non-original</v>
      </c>
      <c r="P390" t="str">
        <f>IF(J390 = 1, "franchise", "non-franchise")</f>
        <v>franchise</v>
      </c>
      <c r="Q390" t="str">
        <f>IF(OR(I390 = 1,J390 =1), "old", "new")</f>
        <v>old</v>
      </c>
      <c r="R390">
        <f t="shared" si="12"/>
        <v>0.55566681047444855</v>
      </c>
      <c r="S390">
        <f>IF(Q390="new",1.5,1)*(K390/10)*(1-(MIN(F390,180)/180))</f>
        <v>0.27211111111111108</v>
      </c>
      <c r="T390" t="str">
        <f t="shared" si="13"/>
        <v>Scenario 1: Strong Commitment</v>
      </c>
    </row>
    <row r="391" spans="1:20" x14ac:dyDescent="0.35">
      <c r="A391" t="s">
        <v>526</v>
      </c>
      <c r="B391" s="1">
        <v>44901</v>
      </c>
      <c r="C391">
        <v>2022</v>
      </c>
      <c r="D391">
        <v>12</v>
      </c>
      <c r="E391" t="s">
        <v>14</v>
      </c>
      <c r="F391">
        <v>100</v>
      </c>
      <c r="G391" t="s">
        <v>29</v>
      </c>
      <c r="H391" t="s">
        <v>30</v>
      </c>
      <c r="I391">
        <v>0</v>
      </c>
      <c r="J391">
        <v>0</v>
      </c>
      <c r="K391">
        <v>5.6</v>
      </c>
      <c r="L391">
        <v>1119</v>
      </c>
      <c r="M391" t="s">
        <v>17</v>
      </c>
      <c r="N391" t="str">
        <f>IF(ISNUMBER(SEARCH("Streaming", M391)), "streaming", "cinema")</f>
        <v>streaming</v>
      </c>
      <c r="O391" t="str">
        <f>IF(I391=1, "non-original", "original")</f>
        <v>original</v>
      </c>
      <c r="P391" t="str">
        <f>IF(J391 = 1, "franchise", "non-franchise")</f>
        <v>non-franchise</v>
      </c>
      <c r="Q391" t="str">
        <f>IF(OR(I391 = 1,J391 =1), "old", "new")</f>
        <v>new</v>
      </c>
      <c r="R391">
        <f t="shared" si="12"/>
        <v>0.28213417178625932</v>
      </c>
      <c r="S391">
        <f>IF(Q391="new",1.5,1)*(K391/10)*(1-(MIN(F391,180)/180))</f>
        <v>0.37333333333333324</v>
      </c>
      <c r="T391" t="str">
        <f t="shared" si="13"/>
        <v>Scenario 3: Strong Convenience</v>
      </c>
    </row>
    <row r="392" spans="1:20" x14ac:dyDescent="0.35">
      <c r="A392" t="s">
        <v>527</v>
      </c>
      <c r="B392" s="1">
        <v>44902</v>
      </c>
      <c r="C392">
        <v>2022</v>
      </c>
      <c r="D392">
        <v>12</v>
      </c>
      <c r="E392" t="s">
        <v>14</v>
      </c>
      <c r="F392">
        <v>90</v>
      </c>
      <c r="G392" t="s">
        <v>34</v>
      </c>
      <c r="H392" t="s">
        <v>16</v>
      </c>
      <c r="I392">
        <v>0</v>
      </c>
      <c r="J392">
        <v>0</v>
      </c>
      <c r="K392">
        <v>6</v>
      </c>
      <c r="L392">
        <v>409</v>
      </c>
      <c r="M392" t="s">
        <v>17</v>
      </c>
      <c r="N392" t="str">
        <f>IF(ISNUMBER(SEARCH("Streaming", M392)), "streaming", "cinema")</f>
        <v>streaming</v>
      </c>
      <c r="O392" t="str">
        <f>IF(I392=1, "non-original", "original")</f>
        <v>original</v>
      </c>
      <c r="P392" t="str">
        <f>IF(J392 = 1, "franchise", "non-franchise")</f>
        <v>non-franchise</v>
      </c>
      <c r="Q392" t="str">
        <f>IF(OR(I392 = 1,J392 =1), "old", "new")</f>
        <v>new</v>
      </c>
      <c r="R392">
        <f t="shared" si="12"/>
        <v>0.21751646840729974</v>
      </c>
      <c r="S392">
        <f>IF(Q392="new",1.5,1)*(K392/10)*(1-(MIN(F392,180)/180))</f>
        <v>0.44999999999999996</v>
      </c>
      <c r="T392" t="str">
        <f t="shared" si="13"/>
        <v>Scenario 3: Strong Convenience</v>
      </c>
    </row>
    <row r="393" spans="1:20" x14ac:dyDescent="0.35">
      <c r="A393" t="s">
        <v>528</v>
      </c>
      <c r="B393" s="1">
        <v>44902</v>
      </c>
      <c r="C393">
        <v>2022</v>
      </c>
      <c r="D393">
        <v>12</v>
      </c>
      <c r="E393" t="s">
        <v>14</v>
      </c>
      <c r="F393">
        <v>101</v>
      </c>
      <c r="G393" t="s">
        <v>34</v>
      </c>
      <c r="H393" t="s">
        <v>24</v>
      </c>
      <c r="I393">
        <v>0</v>
      </c>
      <c r="J393">
        <v>0</v>
      </c>
      <c r="K393">
        <v>5.5</v>
      </c>
      <c r="L393">
        <v>2341</v>
      </c>
      <c r="M393" t="s">
        <v>17</v>
      </c>
      <c r="N393" t="str">
        <f>IF(ISNUMBER(SEARCH("Streaming", M393)), "streaming", "cinema")</f>
        <v>streaming</v>
      </c>
      <c r="O393" t="str">
        <f>IF(I393=1, "non-original", "original")</f>
        <v>original</v>
      </c>
      <c r="P393" t="str">
        <f>IF(J393 = 1, "franchise", "non-franchise")</f>
        <v>non-franchise</v>
      </c>
      <c r="Q393" t="str">
        <f>IF(OR(I393 = 1,J393 =1), "old", "new")</f>
        <v>new</v>
      </c>
      <c r="R393">
        <f t="shared" si="12"/>
        <v>0.3149173560979644</v>
      </c>
      <c r="S393">
        <f>IF(Q393="new",1.5,1)*(K393/10)*(1-(MIN(F393,180)/180))</f>
        <v>0.36208333333333337</v>
      </c>
      <c r="T393" t="str">
        <f t="shared" si="13"/>
        <v>Scenario 3: Strong Convenience</v>
      </c>
    </row>
    <row r="394" spans="1:20" x14ac:dyDescent="0.35">
      <c r="A394" t="s">
        <v>529</v>
      </c>
      <c r="B394" s="1">
        <v>44903</v>
      </c>
      <c r="C394">
        <v>2022</v>
      </c>
      <c r="D394">
        <v>12</v>
      </c>
      <c r="E394" t="s">
        <v>14</v>
      </c>
      <c r="F394">
        <v>73</v>
      </c>
      <c r="G394" t="s">
        <v>343</v>
      </c>
      <c r="H394" t="s">
        <v>30</v>
      </c>
      <c r="I394">
        <v>0</v>
      </c>
      <c r="J394">
        <v>1</v>
      </c>
      <c r="K394">
        <v>4.5999999999999996</v>
      </c>
      <c r="L394">
        <v>873</v>
      </c>
      <c r="M394" t="s">
        <v>17</v>
      </c>
      <c r="N394" t="str">
        <f>IF(ISNUMBER(SEARCH("Streaming", M394)), "streaming", "cinema")</f>
        <v>streaming</v>
      </c>
      <c r="O394" t="str">
        <f>IF(I394=1, "non-original", "original")</f>
        <v>original</v>
      </c>
      <c r="P394" t="str">
        <f>IF(J394 = 1, "franchise", "non-franchise")</f>
        <v>franchise</v>
      </c>
      <c r="Q394" t="str">
        <f>IF(OR(I394 = 1,J394 =1), "old", "new")</f>
        <v>old</v>
      </c>
      <c r="R394">
        <f t="shared" si="12"/>
        <v>0.29801197533795826</v>
      </c>
      <c r="S394">
        <f>IF(Q394="new",1.5,1)*(K394/10)*(1-(MIN(F394,180)/180))</f>
        <v>0.27344444444444443</v>
      </c>
      <c r="T394" t="str">
        <f t="shared" si="13"/>
        <v>Scenario 2: Weak Commitment/Convenience</v>
      </c>
    </row>
    <row r="395" spans="1:20" x14ac:dyDescent="0.35">
      <c r="A395" t="s">
        <v>530</v>
      </c>
      <c r="B395" s="1">
        <v>44904</v>
      </c>
      <c r="C395">
        <v>2022</v>
      </c>
      <c r="D395">
        <v>12</v>
      </c>
      <c r="E395" t="s">
        <v>14</v>
      </c>
      <c r="F395">
        <v>116</v>
      </c>
      <c r="G395" t="s">
        <v>531</v>
      </c>
      <c r="H395" t="s">
        <v>56</v>
      </c>
      <c r="I395">
        <v>0</v>
      </c>
      <c r="J395">
        <v>0</v>
      </c>
      <c r="K395">
        <v>7.6</v>
      </c>
      <c r="L395">
        <v>143117</v>
      </c>
      <c r="M395" t="s">
        <v>17</v>
      </c>
      <c r="N395" t="str">
        <f>IF(ISNUMBER(SEARCH("Streaming", M395)), "streaming", "cinema")</f>
        <v>streaming</v>
      </c>
      <c r="O395" t="str">
        <f>IF(I395=1, "non-original", "original")</f>
        <v>original</v>
      </c>
      <c r="P395" t="str">
        <f>IF(J395 = 1, "franchise", "non-franchise")</f>
        <v>non-franchise</v>
      </c>
      <c r="Q395" t="str">
        <f>IF(OR(I395 = 1,J395 =1), "old", "new")</f>
        <v>new</v>
      </c>
      <c r="R395">
        <f t="shared" si="12"/>
        <v>0.55343593881781117</v>
      </c>
      <c r="S395">
        <f>IF(Q395="new",1.5,1)*(K395/10)*(1-(MIN(F395,180)/180))</f>
        <v>0.40533333333333332</v>
      </c>
      <c r="T395" t="str">
        <f t="shared" si="13"/>
        <v>Scenario 4: Hybrid Logic</v>
      </c>
    </row>
    <row r="396" spans="1:20" x14ac:dyDescent="0.35">
      <c r="A396" t="s">
        <v>532</v>
      </c>
      <c r="B396" s="1">
        <v>44909</v>
      </c>
      <c r="C396">
        <v>2022</v>
      </c>
      <c r="D396">
        <v>12</v>
      </c>
      <c r="E396" t="s">
        <v>14</v>
      </c>
      <c r="F396">
        <v>90</v>
      </c>
      <c r="G396" t="s">
        <v>29</v>
      </c>
      <c r="H396" t="s">
        <v>56</v>
      </c>
      <c r="I396">
        <v>0</v>
      </c>
      <c r="J396">
        <v>0</v>
      </c>
      <c r="K396">
        <v>4.5999999999999996</v>
      </c>
      <c r="L396">
        <v>4945</v>
      </c>
      <c r="M396" t="s">
        <v>17</v>
      </c>
      <c r="N396" t="str">
        <f>IF(ISNUMBER(SEARCH("Streaming", M396)), "streaming", "cinema")</f>
        <v>streaming</v>
      </c>
      <c r="O396" t="str">
        <f>IF(I396=1, "non-original", "original")</f>
        <v>original</v>
      </c>
      <c r="P396" t="str">
        <f>IF(J396 = 1, "franchise", "non-franchise")</f>
        <v>non-franchise</v>
      </c>
      <c r="Q396" t="str">
        <f>IF(OR(I396 = 1,J396 =1), "old", "new")</f>
        <v>new</v>
      </c>
      <c r="R396">
        <f t="shared" si="12"/>
        <v>0.30766735662122674</v>
      </c>
      <c r="S396">
        <f>IF(Q396="new",1.5,1)*(K396/10)*(1-(MIN(F396,180)/180))</f>
        <v>0.34499999999999997</v>
      </c>
      <c r="T396" t="str">
        <f t="shared" si="13"/>
        <v>Scenario 3: Strong Convenience</v>
      </c>
    </row>
    <row r="397" spans="1:20" x14ac:dyDescent="0.35">
      <c r="A397" t="s">
        <v>533</v>
      </c>
      <c r="B397" s="1">
        <v>44910</v>
      </c>
      <c r="C397">
        <v>2022</v>
      </c>
      <c r="D397">
        <v>12</v>
      </c>
      <c r="E397" t="s">
        <v>14</v>
      </c>
      <c r="F397">
        <v>141</v>
      </c>
      <c r="G397" t="s">
        <v>41</v>
      </c>
      <c r="H397" t="s">
        <v>30</v>
      </c>
      <c r="I397">
        <v>0</v>
      </c>
      <c r="J397">
        <v>0</v>
      </c>
      <c r="K397">
        <v>6.1</v>
      </c>
      <c r="L397">
        <v>4492</v>
      </c>
      <c r="M397" t="s">
        <v>17</v>
      </c>
      <c r="N397" t="str">
        <f>IF(ISNUMBER(SEARCH("Streaming", M397)), "streaming", "cinema")</f>
        <v>streaming</v>
      </c>
      <c r="O397" t="str">
        <f>IF(I397=1, "non-original", "original")</f>
        <v>original</v>
      </c>
      <c r="P397" t="str">
        <f>IF(J397 = 1, "franchise", "non-franchise")</f>
        <v>non-franchise</v>
      </c>
      <c r="Q397" t="str">
        <f>IF(OR(I397 = 1,J397 =1), "old", "new")</f>
        <v>new</v>
      </c>
      <c r="R397">
        <f t="shared" si="12"/>
        <v>0.47656774167622679</v>
      </c>
      <c r="S397">
        <f>IF(Q397="new",1.5,1)*(K397/10)*(1-(MIN(F397,180)/180))</f>
        <v>0.19825000000000001</v>
      </c>
      <c r="T397" t="str">
        <f t="shared" si="13"/>
        <v>Scenario 1: Strong Commitment</v>
      </c>
    </row>
    <row r="398" spans="1:20" x14ac:dyDescent="0.35">
      <c r="A398" t="s">
        <v>534</v>
      </c>
      <c r="B398" s="1">
        <v>44911</v>
      </c>
      <c r="C398">
        <v>2022</v>
      </c>
      <c r="D398">
        <v>12</v>
      </c>
      <c r="E398" t="s">
        <v>14</v>
      </c>
      <c r="F398">
        <v>89</v>
      </c>
      <c r="G398" t="s">
        <v>29</v>
      </c>
      <c r="H398" t="s">
        <v>24</v>
      </c>
      <c r="I398">
        <v>0</v>
      </c>
      <c r="J398">
        <v>0</v>
      </c>
      <c r="K398">
        <v>4.8</v>
      </c>
      <c r="L398">
        <v>2384</v>
      </c>
      <c r="M398" t="s">
        <v>17</v>
      </c>
      <c r="N398" t="str">
        <f>IF(ISNUMBER(SEARCH("Streaming", M398)), "streaming", "cinema")</f>
        <v>streaming</v>
      </c>
      <c r="O398" t="str">
        <f>IF(I398=1, "non-original", "original")</f>
        <v>original</v>
      </c>
      <c r="P398" t="str">
        <f>IF(J398 = 1, "franchise", "non-franchise")</f>
        <v>non-franchise</v>
      </c>
      <c r="Q398" t="str">
        <f>IF(OR(I398 = 1,J398 =1), "old", "new")</f>
        <v>new</v>
      </c>
      <c r="R398">
        <f t="shared" si="12"/>
        <v>0.27815246921740583</v>
      </c>
      <c r="S398">
        <f>IF(Q398="new",1.5,1)*(K398/10)*(1-(MIN(F398,180)/180))</f>
        <v>0.36399999999999999</v>
      </c>
      <c r="T398" t="str">
        <f t="shared" si="13"/>
        <v>Scenario 3: Strong Convenience</v>
      </c>
    </row>
    <row r="399" spans="1:20" x14ac:dyDescent="0.35">
      <c r="A399" t="s">
        <v>535</v>
      </c>
      <c r="B399" s="1">
        <v>44915</v>
      </c>
      <c r="C399">
        <v>2022</v>
      </c>
      <c r="D399">
        <v>12</v>
      </c>
      <c r="E399" t="s">
        <v>14</v>
      </c>
      <c r="F399">
        <v>100</v>
      </c>
      <c r="G399" t="s">
        <v>21</v>
      </c>
      <c r="H399" t="s">
        <v>27</v>
      </c>
      <c r="I399">
        <v>1</v>
      </c>
      <c r="J399">
        <v>1</v>
      </c>
      <c r="K399">
        <v>4.8</v>
      </c>
      <c r="L399">
        <v>1185</v>
      </c>
      <c r="M399" t="s">
        <v>17</v>
      </c>
      <c r="N399" t="str">
        <f>IF(ISNUMBER(SEARCH("Streaming", M399)), "streaming", "cinema")</f>
        <v>streaming</v>
      </c>
      <c r="O399" t="str">
        <f>IF(I399=1, "non-original", "original")</f>
        <v>non-original</v>
      </c>
      <c r="P399" t="str">
        <f>IF(J399 = 1, "franchise", "non-franchise")</f>
        <v>franchise</v>
      </c>
      <c r="Q399" t="str">
        <f>IF(OR(I399 = 1,J399 =1), "old", "new")</f>
        <v>old</v>
      </c>
      <c r="R399">
        <f t="shared" si="12"/>
        <v>0.42665594168938947</v>
      </c>
      <c r="S399">
        <f>IF(Q399="new",1.5,1)*(K399/10)*(1-(MIN(F399,180)/180))</f>
        <v>0.21333333333333332</v>
      </c>
      <c r="T399" t="str">
        <f t="shared" si="13"/>
        <v>Scenario 2: Weak Commitment/Convenience</v>
      </c>
    </row>
    <row r="400" spans="1:20" x14ac:dyDescent="0.35">
      <c r="A400" t="s">
        <v>536</v>
      </c>
      <c r="B400" s="1">
        <v>44923</v>
      </c>
      <c r="C400">
        <v>2022</v>
      </c>
      <c r="D400">
        <v>12</v>
      </c>
      <c r="E400" t="s">
        <v>14</v>
      </c>
      <c r="F400">
        <v>97</v>
      </c>
      <c r="G400" t="s">
        <v>73</v>
      </c>
      <c r="H400" t="s">
        <v>30</v>
      </c>
      <c r="I400">
        <v>0</v>
      </c>
      <c r="J400">
        <v>0</v>
      </c>
      <c r="K400">
        <v>5.7</v>
      </c>
      <c r="L400">
        <v>749</v>
      </c>
      <c r="M400" t="s">
        <v>17</v>
      </c>
      <c r="N400" t="str">
        <f>IF(ISNUMBER(SEARCH("Streaming", M400)), "streaming", "cinema")</f>
        <v>streaming</v>
      </c>
      <c r="O400" t="str">
        <f>IF(I400=1, "non-original", "original")</f>
        <v>original</v>
      </c>
      <c r="P400" t="str">
        <f>IF(J400 = 1, "franchise", "non-franchise")</f>
        <v>non-franchise</v>
      </c>
      <c r="Q400" t="str">
        <f>IF(OR(I400 = 1,J400 =1), "old", "new")</f>
        <v>new</v>
      </c>
      <c r="R400">
        <f t="shared" si="12"/>
        <v>0.25802023668643248</v>
      </c>
      <c r="S400">
        <f>IF(Q400="new",1.5,1)*(K400/10)*(1-(MIN(F400,180)/180))</f>
        <v>0.39425000000000004</v>
      </c>
      <c r="T400" t="str">
        <f t="shared" si="13"/>
        <v>Scenario 3: Strong Convenience</v>
      </c>
    </row>
    <row r="401" spans="1:20" x14ac:dyDescent="0.35">
      <c r="A401" t="s">
        <v>537</v>
      </c>
      <c r="B401" s="1">
        <v>44925</v>
      </c>
      <c r="C401">
        <v>2022</v>
      </c>
      <c r="D401">
        <v>12</v>
      </c>
      <c r="E401" t="s">
        <v>14</v>
      </c>
      <c r="F401">
        <v>136</v>
      </c>
      <c r="G401" t="s">
        <v>73</v>
      </c>
      <c r="H401" t="s">
        <v>24</v>
      </c>
      <c r="I401">
        <v>0</v>
      </c>
      <c r="J401">
        <v>0</v>
      </c>
      <c r="K401">
        <v>5.7</v>
      </c>
      <c r="L401">
        <v>47491</v>
      </c>
      <c r="M401" t="s">
        <v>17</v>
      </c>
      <c r="N401" t="str">
        <f>IF(ISNUMBER(SEARCH("Streaming", M401)), "streaming", "cinema")</f>
        <v>streaming</v>
      </c>
      <c r="O401" t="str">
        <f>IF(I401=1, "non-original", "original")</f>
        <v>original</v>
      </c>
      <c r="P401" t="str">
        <f>IF(J401 = 1, "franchise", "non-franchise")</f>
        <v>non-franchise</v>
      </c>
      <c r="Q401" t="str">
        <f>IF(OR(I401 = 1,J401 =1), "old", "new")</f>
        <v>new</v>
      </c>
      <c r="R401">
        <f t="shared" si="12"/>
        <v>0.58856258913451698</v>
      </c>
      <c r="S401">
        <f>IF(Q401="new",1.5,1)*(K401/10)*(1-(MIN(F401,180)/180))</f>
        <v>0.20900000000000005</v>
      </c>
      <c r="T401" t="str">
        <f t="shared" si="13"/>
        <v>Scenario 1: Strong Commitment</v>
      </c>
    </row>
    <row r="402" spans="1:20" x14ac:dyDescent="0.35">
      <c r="A402" t="s">
        <v>538</v>
      </c>
      <c r="B402" s="1">
        <v>44939</v>
      </c>
      <c r="C402">
        <v>2023</v>
      </c>
      <c r="D402">
        <v>1</v>
      </c>
      <c r="E402" t="s">
        <v>14</v>
      </c>
      <c r="F402">
        <v>95</v>
      </c>
      <c r="G402" t="s">
        <v>539</v>
      </c>
      <c r="H402" t="s">
        <v>56</v>
      </c>
      <c r="I402">
        <v>0</v>
      </c>
      <c r="J402">
        <v>0</v>
      </c>
      <c r="K402">
        <v>6.1</v>
      </c>
      <c r="L402">
        <v>7094</v>
      </c>
      <c r="M402" t="s">
        <v>17</v>
      </c>
      <c r="N402" t="str">
        <f>IF(ISNUMBER(SEARCH("Streaming", M402)), "streaming", "cinema")</f>
        <v>streaming</v>
      </c>
      <c r="O402" t="str">
        <f>IF(I402=1, "non-original", "original")</f>
        <v>original</v>
      </c>
      <c r="P402" t="str">
        <f>IF(J402 = 1, "franchise", "non-franchise")</f>
        <v>non-franchise</v>
      </c>
      <c r="Q402" t="str">
        <f>IF(OR(I402 = 1,J402 =1), "old", "new")</f>
        <v>new</v>
      </c>
      <c r="R402">
        <f t="shared" si="12"/>
        <v>0.33853791973914876</v>
      </c>
      <c r="S402">
        <f>IF(Q402="new",1.5,1)*(K402/10)*(1-(MIN(F402,180)/180))</f>
        <v>0.43208333333333332</v>
      </c>
      <c r="T402" t="str">
        <f t="shared" si="13"/>
        <v>Scenario 3: Strong Convenience</v>
      </c>
    </row>
    <row r="403" spans="1:20" x14ac:dyDescent="0.35">
      <c r="A403" t="s">
        <v>540</v>
      </c>
      <c r="B403" s="1">
        <v>44946</v>
      </c>
      <c r="C403">
        <v>2023</v>
      </c>
      <c r="D403">
        <v>1</v>
      </c>
      <c r="E403" t="s">
        <v>14</v>
      </c>
      <c r="F403">
        <v>129</v>
      </c>
      <c r="G403" t="s">
        <v>431</v>
      </c>
      <c r="H403" t="s">
        <v>30</v>
      </c>
      <c r="I403">
        <v>0</v>
      </c>
      <c r="J403">
        <v>0</v>
      </c>
      <c r="K403">
        <v>6.9</v>
      </c>
      <c r="L403">
        <v>45541</v>
      </c>
      <c r="M403" t="s">
        <v>17</v>
      </c>
      <c r="N403" t="str">
        <f>IF(ISNUMBER(SEARCH("Streaming", M403)), "streaming", "cinema")</f>
        <v>streaming</v>
      </c>
      <c r="O403" t="str">
        <f>IF(I403=1, "non-original", "original")</f>
        <v>original</v>
      </c>
      <c r="P403" t="str">
        <f>IF(J403 = 1, "franchise", "non-franchise")</f>
        <v>non-franchise</v>
      </c>
      <c r="Q403" t="str">
        <f>IF(OR(I403 = 1,J403 =1), "old", "new")</f>
        <v>new</v>
      </c>
      <c r="R403">
        <f t="shared" si="12"/>
        <v>0.55609526275284504</v>
      </c>
      <c r="S403">
        <f>IF(Q403="new",1.5,1)*(K403/10)*(1-(MIN(F403,180)/180))</f>
        <v>0.29325000000000001</v>
      </c>
      <c r="T403" t="str">
        <f t="shared" si="13"/>
        <v>Scenario 1: Strong Commitment</v>
      </c>
    </row>
    <row r="404" spans="1:20" x14ac:dyDescent="0.35">
      <c r="A404" t="s">
        <v>541</v>
      </c>
      <c r="B404" s="1">
        <v>44953</v>
      </c>
      <c r="C404">
        <v>2023</v>
      </c>
      <c r="D404">
        <v>1</v>
      </c>
      <c r="E404" t="s">
        <v>14</v>
      </c>
      <c r="F404">
        <v>118</v>
      </c>
      <c r="G404" t="s">
        <v>21</v>
      </c>
      <c r="H404" t="s">
        <v>24</v>
      </c>
      <c r="I404">
        <v>0</v>
      </c>
      <c r="J404">
        <v>0</v>
      </c>
      <c r="K404">
        <v>5.5</v>
      </c>
      <c r="L404">
        <v>66984</v>
      </c>
      <c r="M404" t="s">
        <v>88</v>
      </c>
      <c r="N404" t="str">
        <f>IF(ISNUMBER(SEARCH("Streaming", M404)), "streaming", "cinema")</f>
        <v>streaming</v>
      </c>
      <c r="O404" t="str">
        <f>IF(I404=1, "non-original", "original")</f>
        <v>original</v>
      </c>
      <c r="P404" t="str">
        <f>IF(J404 = 1, "franchise", "non-franchise")</f>
        <v>non-franchise</v>
      </c>
      <c r="Q404" t="str">
        <f>IF(OR(I404 = 1,J404 =1), "old", "new")</f>
        <v>new</v>
      </c>
      <c r="R404">
        <f t="shared" si="12"/>
        <v>0.52697400353332835</v>
      </c>
      <c r="S404">
        <f>IF(Q404="new",1.5,1)*(K404/10)*(1-(MIN(F404,180)/180))</f>
        <v>0.28416666666666668</v>
      </c>
      <c r="T404" t="str">
        <f t="shared" si="13"/>
        <v>Scenario 1: Strong Commitment</v>
      </c>
    </row>
    <row r="405" spans="1:20" x14ac:dyDescent="0.35">
      <c r="A405" t="s">
        <v>542</v>
      </c>
      <c r="B405" s="1">
        <v>44960</v>
      </c>
      <c r="C405">
        <v>2023</v>
      </c>
      <c r="D405">
        <v>2</v>
      </c>
      <c r="E405" t="s">
        <v>14</v>
      </c>
      <c r="F405">
        <v>109</v>
      </c>
      <c r="G405" t="s">
        <v>62</v>
      </c>
      <c r="H405" t="s">
        <v>56</v>
      </c>
      <c r="I405">
        <v>0</v>
      </c>
      <c r="J405">
        <v>0</v>
      </c>
      <c r="K405">
        <v>6.8</v>
      </c>
      <c r="L405">
        <v>12168</v>
      </c>
      <c r="M405" t="s">
        <v>17</v>
      </c>
      <c r="N405" t="str">
        <f>IF(ISNUMBER(SEARCH("Streaming", M405)), "streaming", "cinema")</f>
        <v>streaming</v>
      </c>
      <c r="O405" t="str">
        <f>IF(I405=1, "non-original", "original")</f>
        <v>original</v>
      </c>
      <c r="P405" t="str">
        <f>IF(J405 = 1, "franchise", "non-franchise")</f>
        <v>non-franchise</v>
      </c>
      <c r="Q405" t="str">
        <f>IF(OR(I405 = 1,J405 =1), "old", "new")</f>
        <v>new</v>
      </c>
      <c r="R405">
        <f t="shared" si="12"/>
        <v>0.41206367505687136</v>
      </c>
      <c r="S405">
        <f>IF(Q405="new",1.5,1)*(K405/10)*(1-(MIN(F405,180)/180))</f>
        <v>0.40233333333333338</v>
      </c>
      <c r="T405" t="str">
        <f t="shared" si="13"/>
        <v>Scenario 3: Strong Convenience</v>
      </c>
    </row>
    <row r="406" spans="1:20" x14ac:dyDescent="0.35">
      <c r="A406" t="s">
        <v>543</v>
      </c>
      <c r="B406" s="1">
        <v>44960</v>
      </c>
      <c r="C406">
        <v>2023</v>
      </c>
      <c r="D406">
        <v>2</v>
      </c>
      <c r="E406" t="s">
        <v>14</v>
      </c>
      <c r="F406">
        <v>96</v>
      </c>
      <c r="G406" t="s">
        <v>19</v>
      </c>
      <c r="H406" t="s">
        <v>24</v>
      </c>
      <c r="I406">
        <v>0</v>
      </c>
      <c r="J406">
        <v>0</v>
      </c>
      <c r="K406">
        <v>5.6</v>
      </c>
      <c r="L406">
        <v>5548</v>
      </c>
      <c r="M406" t="s">
        <v>17</v>
      </c>
      <c r="N406" t="str">
        <f>IF(ISNUMBER(SEARCH("Streaming", M406)), "streaming", "cinema")</f>
        <v>streaming</v>
      </c>
      <c r="O406" t="str">
        <f>IF(I406=1, "non-original", "original")</f>
        <v>original</v>
      </c>
      <c r="P406" t="str">
        <f>IF(J406 = 1, "franchise", "non-franchise")</f>
        <v>non-franchise</v>
      </c>
      <c r="Q406" t="str">
        <f>IF(OR(I406 = 1,J406 =1), "old", "new")</f>
        <v>new</v>
      </c>
      <c r="R406">
        <f t="shared" si="12"/>
        <v>0.33261771065949514</v>
      </c>
      <c r="S406">
        <f>IF(Q406="new",1.5,1)*(K406/10)*(1-(MIN(F406,180)/180))</f>
        <v>0.39199999999999996</v>
      </c>
      <c r="T406" t="str">
        <f t="shared" si="13"/>
        <v>Scenario 3: Strong Convenience</v>
      </c>
    </row>
    <row r="407" spans="1:20" x14ac:dyDescent="0.35">
      <c r="A407" t="s">
        <v>544</v>
      </c>
      <c r="B407" s="1">
        <v>44966</v>
      </c>
      <c r="C407">
        <v>2023</v>
      </c>
      <c r="D407">
        <v>2</v>
      </c>
      <c r="E407" t="s">
        <v>14</v>
      </c>
      <c r="F407">
        <v>118</v>
      </c>
      <c r="G407" t="s">
        <v>545</v>
      </c>
      <c r="H407" t="s">
        <v>27</v>
      </c>
      <c r="I407">
        <v>0</v>
      </c>
      <c r="J407">
        <v>0</v>
      </c>
      <c r="K407">
        <v>5.7</v>
      </c>
      <c r="L407">
        <v>1083</v>
      </c>
      <c r="M407" t="s">
        <v>17</v>
      </c>
      <c r="N407" t="str">
        <f>IF(ISNUMBER(SEARCH("Streaming", M407)), "streaming", "cinema")</f>
        <v>streaming</v>
      </c>
      <c r="O407" t="str">
        <f>IF(I407=1, "non-original", "original")</f>
        <v>original</v>
      </c>
      <c r="P407" t="str">
        <f>IF(J407 = 1, "franchise", "non-franchise")</f>
        <v>non-franchise</v>
      </c>
      <c r="Q407" t="str">
        <f>IF(OR(I407 = 1,J407 =1), "old", "new")</f>
        <v>new</v>
      </c>
      <c r="R407">
        <f t="shared" si="12"/>
        <v>0.33136756957532232</v>
      </c>
      <c r="S407">
        <f>IF(Q407="new",1.5,1)*(K407/10)*(1-(MIN(F407,180)/180))</f>
        <v>0.29450000000000004</v>
      </c>
      <c r="T407" t="str">
        <f t="shared" si="13"/>
        <v>Scenario 2: Weak Commitment/Convenience</v>
      </c>
    </row>
    <row r="408" spans="1:20" x14ac:dyDescent="0.35">
      <c r="A408" t="s">
        <v>546</v>
      </c>
      <c r="B408" s="1">
        <v>44967</v>
      </c>
      <c r="C408">
        <v>2023</v>
      </c>
      <c r="D408">
        <v>2</v>
      </c>
      <c r="E408" t="s">
        <v>14</v>
      </c>
      <c r="F408">
        <v>111</v>
      </c>
      <c r="G408" t="s">
        <v>29</v>
      </c>
      <c r="H408" t="s">
        <v>27</v>
      </c>
      <c r="I408">
        <v>0</v>
      </c>
      <c r="J408">
        <v>0</v>
      </c>
      <c r="K408">
        <v>5.7</v>
      </c>
      <c r="L408">
        <v>44259</v>
      </c>
      <c r="M408" t="s">
        <v>88</v>
      </c>
      <c r="N408" t="str">
        <f>IF(ISNUMBER(SEARCH("Streaming", M408)), "streaming", "cinema")</f>
        <v>streaming</v>
      </c>
      <c r="O408" t="str">
        <f>IF(I408=1, "non-original", "original")</f>
        <v>original</v>
      </c>
      <c r="P408" t="str">
        <f>IF(J408 = 1, "franchise", "non-franchise")</f>
        <v>non-franchise</v>
      </c>
      <c r="Q408" t="str">
        <f>IF(OR(I408 = 1,J408 =1), "old", "new")</f>
        <v>new</v>
      </c>
      <c r="R408">
        <f t="shared" si="12"/>
        <v>0.47722677578970635</v>
      </c>
      <c r="S408">
        <f>IF(Q408="new",1.5,1)*(K408/10)*(1-(MIN(F408,180)/180))</f>
        <v>0.32774999999999999</v>
      </c>
      <c r="T408" t="str">
        <f t="shared" si="13"/>
        <v>Scenario 4: Hybrid Logic</v>
      </c>
    </row>
    <row r="409" spans="1:20" x14ac:dyDescent="0.35">
      <c r="A409" t="s">
        <v>547</v>
      </c>
      <c r="B409" s="1">
        <v>44970</v>
      </c>
      <c r="C409">
        <v>2023</v>
      </c>
      <c r="D409">
        <v>2</v>
      </c>
      <c r="E409" t="s">
        <v>14</v>
      </c>
      <c r="F409">
        <v>100</v>
      </c>
      <c r="G409" t="s">
        <v>29</v>
      </c>
      <c r="H409" t="s">
        <v>30</v>
      </c>
      <c r="I409">
        <v>0</v>
      </c>
      <c r="J409">
        <v>0</v>
      </c>
      <c r="K409">
        <v>4.7</v>
      </c>
      <c r="L409">
        <v>842</v>
      </c>
      <c r="M409" t="s">
        <v>17</v>
      </c>
      <c r="N409" t="str">
        <f>IF(ISNUMBER(SEARCH("Streaming", M409)), "streaming", "cinema")</f>
        <v>streaming</v>
      </c>
      <c r="O409" t="str">
        <f>IF(I409=1, "non-original", "original")</f>
        <v>original</v>
      </c>
      <c r="P409" t="str">
        <f>IF(J409 = 1, "franchise", "non-franchise")</f>
        <v>non-franchise</v>
      </c>
      <c r="Q409" t="str">
        <f>IF(OR(I409 = 1,J409 =1), "old", "new")</f>
        <v>new</v>
      </c>
      <c r="R409">
        <f t="shared" si="12"/>
        <v>0.27070400144580481</v>
      </c>
      <c r="S409">
        <f>IF(Q409="new",1.5,1)*(K409/10)*(1-(MIN(F409,180)/180))</f>
        <v>0.31333333333333335</v>
      </c>
      <c r="T409" t="str">
        <f t="shared" si="13"/>
        <v>Scenario 2: Weak Commitment/Convenience</v>
      </c>
    </row>
    <row r="410" spans="1:20" x14ac:dyDescent="0.35">
      <c r="A410" t="s">
        <v>548</v>
      </c>
      <c r="B410" s="1">
        <v>44971</v>
      </c>
      <c r="C410">
        <v>2023</v>
      </c>
      <c r="D410">
        <v>2</v>
      </c>
      <c r="E410" t="s">
        <v>14</v>
      </c>
      <c r="F410">
        <v>97</v>
      </c>
      <c r="G410" t="s">
        <v>116</v>
      </c>
      <c r="H410" t="s">
        <v>30</v>
      </c>
      <c r="I410">
        <v>0</v>
      </c>
      <c r="J410">
        <v>0</v>
      </c>
      <c r="K410">
        <v>5.6</v>
      </c>
      <c r="L410">
        <v>443</v>
      </c>
      <c r="M410" t="s">
        <v>17</v>
      </c>
      <c r="N410" t="str">
        <f>IF(ISNUMBER(SEARCH("Streaming", M410)), "streaming", "cinema")</f>
        <v>streaming</v>
      </c>
      <c r="O410" t="str">
        <f>IF(I410=1, "non-original", "original")</f>
        <v>original</v>
      </c>
      <c r="P410" t="str">
        <f>IF(J410 = 1, "franchise", "non-franchise")</f>
        <v>non-franchise</v>
      </c>
      <c r="Q410" t="str">
        <f>IF(OR(I410 = 1,J410 =1), "old", "new")</f>
        <v>new</v>
      </c>
      <c r="R410">
        <f t="shared" si="12"/>
        <v>0.23754741171207647</v>
      </c>
      <c r="S410">
        <f>IF(Q410="new",1.5,1)*(K410/10)*(1-(MIN(F410,180)/180))</f>
        <v>0.38733333333333331</v>
      </c>
      <c r="T410" t="str">
        <f t="shared" si="13"/>
        <v>Scenario 3: Strong Convenience</v>
      </c>
    </row>
    <row r="411" spans="1:20" x14ac:dyDescent="0.35">
      <c r="A411" t="s">
        <v>549</v>
      </c>
      <c r="B411" s="1">
        <v>44974</v>
      </c>
      <c r="C411">
        <v>2023</v>
      </c>
      <c r="D411">
        <v>2</v>
      </c>
      <c r="E411" t="s">
        <v>14</v>
      </c>
      <c r="F411">
        <v>117</v>
      </c>
      <c r="G411" t="s">
        <v>19</v>
      </c>
      <c r="H411" t="s">
        <v>30</v>
      </c>
      <c r="I411">
        <v>1</v>
      </c>
      <c r="J411">
        <v>1</v>
      </c>
      <c r="K411">
        <v>6.4</v>
      </c>
      <c r="L411">
        <v>13846</v>
      </c>
      <c r="M411" t="s">
        <v>88</v>
      </c>
      <c r="N411" t="str">
        <f>IF(ISNUMBER(SEARCH("Streaming", M411)), "streaming", "cinema")</f>
        <v>streaming</v>
      </c>
      <c r="O411" t="str">
        <f>IF(I411=1, "non-original", "original")</f>
        <v>non-original</v>
      </c>
      <c r="P411" t="str">
        <f>IF(J411 = 1, "franchise", "non-franchise")</f>
        <v>franchise</v>
      </c>
      <c r="Q411" t="str">
        <f>IF(OR(I411 = 1,J411 =1), "old", "new")</f>
        <v>old</v>
      </c>
      <c r="R411">
        <f t="shared" si="12"/>
        <v>0.67257207794598561</v>
      </c>
      <c r="S411">
        <f>IF(Q411="new",1.5,1)*(K411/10)*(1-(MIN(F411,180)/180))</f>
        <v>0.22399999999999998</v>
      </c>
      <c r="T411" t="str">
        <f t="shared" si="13"/>
        <v>Scenario 1: Strong Commitment</v>
      </c>
    </row>
    <row r="412" spans="1:20" x14ac:dyDescent="0.35">
      <c r="A412" t="s">
        <v>550</v>
      </c>
      <c r="B412" s="1">
        <v>44979</v>
      </c>
      <c r="C412">
        <v>2023</v>
      </c>
      <c r="D412">
        <v>2</v>
      </c>
      <c r="E412" t="s">
        <v>14</v>
      </c>
      <c r="F412">
        <v>97</v>
      </c>
      <c r="G412" t="s">
        <v>34</v>
      </c>
      <c r="H412" t="s">
        <v>24</v>
      </c>
      <c r="I412">
        <v>0</v>
      </c>
      <c r="J412">
        <v>0</v>
      </c>
      <c r="K412">
        <v>4.9000000000000004</v>
      </c>
      <c r="L412">
        <v>13338</v>
      </c>
      <c r="M412" t="s">
        <v>17</v>
      </c>
      <c r="N412" t="str">
        <f>IF(ISNUMBER(SEARCH("Streaming", M412)), "streaming", "cinema")</f>
        <v>streaming</v>
      </c>
      <c r="O412" t="str">
        <f>IF(I412=1, "non-original", "original")</f>
        <v>original</v>
      </c>
      <c r="P412" t="str">
        <f>IF(J412 = 1, "franchise", "non-franchise")</f>
        <v>non-franchise</v>
      </c>
      <c r="Q412" t="str">
        <f>IF(OR(I412 = 1,J412 =1), "old", "new")</f>
        <v>new</v>
      </c>
      <c r="R412">
        <f t="shared" si="12"/>
        <v>0.37027782732486447</v>
      </c>
      <c r="S412">
        <f>IF(Q412="new",1.5,1)*(K412/10)*(1-(MIN(F412,180)/180))</f>
        <v>0.33891666666666675</v>
      </c>
      <c r="T412" t="str">
        <f t="shared" si="13"/>
        <v>Scenario 3: Strong Convenience</v>
      </c>
    </row>
    <row r="413" spans="1:20" x14ac:dyDescent="0.35">
      <c r="A413" t="s">
        <v>551</v>
      </c>
      <c r="B413" s="1">
        <v>44980</v>
      </c>
      <c r="C413">
        <v>2023</v>
      </c>
      <c r="D413">
        <v>2</v>
      </c>
      <c r="E413" t="s">
        <v>14</v>
      </c>
      <c r="F413">
        <v>131</v>
      </c>
      <c r="G413" t="s">
        <v>34</v>
      </c>
      <c r="H413" t="s">
        <v>27</v>
      </c>
      <c r="I413">
        <v>0</v>
      </c>
      <c r="J413">
        <v>0</v>
      </c>
      <c r="K413">
        <v>7</v>
      </c>
      <c r="L413">
        <v>4656</v>
      </c>
      <c r="M413" t="s">
        <v>17</v>
      </c>
      <c r="N413" t="str">
        <f>IF(ISNUMBER(SEARCH("Streaming", M413)), "streaming", "cinema")</f>
        <v>streaming</v>
      </c>
      <c r="O413" t="str">
        <f>IF(I413=1, "non-original", "original")</f>
        <v>original</v>
      </c>
      <c r="P413" t="str">
        <f>IF(J413 = 1, "franchise", "non-franchise")</f>
        <v>non-franchise</v>
      </c>
      <c r="Q413" t="str">
        <f>IF(OR(I413 = 1,J413 =1), "old", "new")</f>
        <v>new</v>
      </c>
      <c r="R413">
        <f t="shared" si="12"/>
        <v>0.44465648198004276</v>
      </c>
      <c r="S413">
        <f>IF(Q413="new",1.5,1)*(K413/10)*(1-(MIN(F413,180)/180))</f>
        <v>0.28583333333333333</v>
      </c>
      <c r="T413" t="str">
        <f t="shared" si="13"/>
        <v>Scenario 2: Weak Commitment/Convenience</v>
      </c>
    </row>
    <row r="414" spans="1:20" x14ac:dyDescent="0.35">
      <c r="A414" t="s">
        <v>552</v>
      </c>
      <c r="B414" s="1">
        <v>44981</v>
      </c>
      <c r="C414">
        <v>2023</v>
      </c>
      <c r="D414">
        <v>2</v>
      </c>
      <c r="E414" t="s">
        <v>14</v>
      </c>
      <c r="F414">
        <v>127</v>
      </c>
      <c r="G414" t="s">
        <v>553</v>
      </c>
      <c r="H414" t="s">
        <v>27</v>
      </c>
      <c r="I414">
        <v>0</v>
      </c>
      <c r="J414">
        <v>0</v>
      </c>
      <c r="K414">
        <v>6.1</v>
      </c>
      <c r="L414">
        <v>36657</v>
      </c>
      <c r="M414" t="s">
        <v>88</v>
      </c>
      <c r="N414" t="str">
        <f>IF(ISNUMBER(SEARCH("Streaming", M414)), "streaming", "cinema")</f>
        <v>streaming</v>
      </c>
      <c r="O414" t="str">
        <f>IF(I414=1, "non-original", "original")</f>
        <v>original</v>
      </c>
      <c r="P414" t="str">
        <f>IF(J414 = 1, "franchise", "non-franchise")</f>
        <v>non-franchise</v>
      </c>
      <c r="Q414" t="str">
        <f>IF(OR(I414 = 1,J414 =1), "old", "new")</f>
        <v>new</v>
      </c>
      <c r="R414">
        <f t="shared" si="12"/>
        <v>0.53639751535023783</v>
      </c>
      <c r="S414">
        <f>IF(Q414="new",1.5,1)*(K414/10)*(1-(MIN(F414,180)/180))</f>
        <v>0.26941666666666664</v>
      </c>
      <c r="T414" t="str">
        <f t="shared" si="13"/>
        <v>Scenario 1: Strong Commitment</v>
      </c>
    </row>
    <row r="415" spans="1:20" x14ac:dyDescent="0.35">
      <c r="A415" t="s">
        <v>554</v>
      </c>
      <c r="B415" s="1">
        <v>44986</v>
      </c>
      <c r="C415">
        <v>2023</v>
      </c>
      <c r="D415">
        <v>3</v>
      </c>
      <c r="E415" t="s">
        <v>38</v>
      </c>
      <c r="F415">
        <v>93</v>
      </c>
      <c r="G415" t="s">
        <v>90</v>
      </c>
      <c r="H415" t="s">
        <v>24</v>
      </c>
      <c r="I415">
        <v>0</v>
      </c>
      <c r="J415">
        <v>0</v>
      </c>
      <c r="K415">
        <v>3.9</v>
      </c>
      <c r="L415">
        <v>1353</v>
      </c>
      <c r="M415" t="s">
        <v>17</v>
      </c>
      <c r="N415" t="str">
        <f>IF(ISNUMBER(SEARCH("Streaming", M415)), "streaming", "cinema")</f>
        <v>streaming</v>
      </c>
      <c r="O415" t="str">
        <f>IF(I415=1, "non-original", "original")</f>
        <v>original</v>
      </c>
      <c r="P415" t="str">
        <f>IF(J415 = 1, "franchise", "non-franchise")</f>
        <v>non-franchise</v>
      </c>
      <c r="Q415" t="str">
        <f>IF(OR(I415 = 1,J415 =1), "old", "new")</f>
        <v>new</v>
      </c>
      <c r="R415">
        <f t="shared" si="12"/>
        <v>0.26948201749826328</v>
      </c>
      <c r="S415">
        <f>IF(Q415="new",1.5,1)*(K415/10)*(1-(MIN(F415,180)/180))</f>
        <v>0.28274999999999995</v>
      </c>
      <c r="T415" t="str">
        <f t="shared" si="13"/>
        <v>Scenario 2: Weak Commitment/Convenience</v>
      </c>
    </row>
    <row r="416" spans="1:20" x14ac:dyDescent="0.35">
      <c r="A416" t="s">
        <v>555</v>
      </c>
      <c r="B416" s="1">
        <v>44988</v>
      </c>
      <c r="C416">
        <v>2023</v>
      </c>
      <c r="D416">
        <v>3</v>
      </c>
      <c r="E416" t="s">
        <v>38</v>
      </c>
      <c r="F416">
        <v>124</v>
      </c>
      <c r="G416" t="s">
        <v>34</v>
      </c>
      <c r="H416" t="s">
        <v>24</v>
      </c>
      <c r="I416">
        <v>0</v>
      </c>
      <c r="J416">
        <v>0</v>
      </c>
      <c r="K416">
        <v>6.5</v>
      </c>
      <c r="L416">
        <v>6336</v>
      </c>
      <c r="M416" t="s">
        <v>17</v>
      </c>
      <c r="N416" t="str">
        <f>IF(ISNUMBER(SEARCH("Streaming", M416)), "streaming", "cinema")</f>
        <v>streaming</v>
      </c>
      <c r="O416" t="str">
        <f>IF(I416=1, "non-original", "original")</f>
        <v>original</v>
      </c>
      <c r="P416" t="str">
        <f>IF(J416 = 1, "franchise", "non-franchise")</f>
        <v>non-franchise</v>
      </c>
      <c r="Q416" t="str">
        <f>IF(OR(I416 = 1,J416 =1), "old", "new")</f>
        <v>new</v>
      </c>
      <c r="R416">
        <f t="shared" si="12"/>
        <v>0.43624971213662705</v>
      </c>
      <c r="S416">
        <f>IF(Q416="new",1.5,1)*(K416/10)*(1-(MIN(F416,180)/180))</f>
        <v>0.30333333333333334</v>
      </c>
      <c r="T416" t="str">
        <f t="shared" si="13"/>
        <v>Scenario 2: Weak Commitment/Convenience</v>
      </c>
    </row>
    <row r="417" spans="1:20" x14ac:dyDescent="0.35">
      <c r="A417" t="s">
        <v>556</v>
      </c>
      <c r="B417" s="1">
        <v>44993</v>
      </c>
      <c r="C417">
        <v>2023</v>
      </c>
      <c r="D417">
        <v>3</v>
      </c>
      <c r="E417" t="s">
        <v>38</v>
      </c>
      <c r="F417">
        <v>109</v>
      </c>
      <c r="G417" t="s">
        <v>29</v>
      </c>
      <c r="H417" t="s">
        <v>30</v>
      </c>
      <c r="I417">
        <v>0</v>
      </c>
      <c r="J417">
        <v>0</v>
      </c>
      <c r="K417">
        <v>6.7</v>
      </c>
      <c r="L417">
        <v>6709</v>
      </c>
      <c r="M417" t="s">
        <v>17</v>
      </c>
      <c r="N417" t="str">
        <f>IF(ISNUMBER(SEARCH("Streaming", M417)), "streaming", "cinema")</f>
        <v>streaming</v>
      </c>
      <c r="O417" t="str">
        <f>IF(I417=1, "non-original", "original")</f>
        <v>original</v>
      </c>
      <c r="P417" t="str">
        <f>IF(J417 = 1, "franchise", "non-franchise")</f>
        <v>non-franchise</v>
      </c>
      <c r="Q417" t="str">
        <f>IF(OR(I417 = 1,J417 =1), "old", "new")</f>
        <v>new</v>
      </c>
      <c r="R417">
        <f t="shared" si="12"/>
        <v>0.38598336963217367</v>
      </c>
      <c r="S417">
        <f>IF(Q417="new",1.5,1)*(K417/10)*(1-(MIN(F417,180)/180))</f>
        <v>0.39641666666666675</v>
      </c>
      <c r="T417" t="str">
        <f t="shared" si="13"/>
        <v>Scenario 3: Strong Convenience</v>
      </c>
    </row>
    <row r="418" spans="1:20" x14ac:dyDescent="0.35">
      <c r="A418" t="s">
        <v>557</v>
      </c>
      <c r="B418" s="1">
        <v>44995</v>
      </c>
      <c r="C418">
        <v>2023</v>
      </c>
      <c r="D418">
        <v>3</v>
      </c>
      <c r="E418" t="s">
        <v>38</v>
      </c>
      <c r="F418">
        <v>93</v>
      </c>
      <c r="G418" t="s">
        <v>21</v>
      </c>
      <c r="H418" t="s">
        <v>30</v>
      </c>
      <c r="I418">
        <v>0</v>
      </c>
      <c r="J418">
        <v>0</v>
      </c>
      <c r="K418">
        <v>5.5</v>
      </c>
      <c r="L418">
        <v>323</v>
      </c>
      <c r="M418" t="s">
        <v>17</v>
      </c>
      <c r="N418" t="str">
        <f>IF(ISNUMBER(SEARCH("Streaming", M418)), "streaming", "cinema")</f>
        <v>streaming</v>
      </c>
      <c r="O418" t="str">
        <f>IF(I418=1, "non-original", "original")</f>
        <v>original</v>
      </c>
      <c r="P418" t="str">
        <f>IF(J418 = 1, "franchise", "non-franchise")</f>
        <v>non-franchise</v>
      </c>
      <c r="Q418" t="str">
        <f>IF(OR(I418 = 1,J418 =1), "old", "new")</f>
        <v>new</v>
      </c>
      <c r="R418">
        <f t="shared" si="12"/>
        <v>0.21594399573373049</v>
      </c>
      <c r="S418">
        <f>IF(Q418="new",1.5,1)*(K418/10)*(1-(MIN(F418,180)/180))</f>
        <v>0.39874999999999999</v>
      </c>
      <c r="T418" t="str">
        <f t="shared" si="13"/>
        <v>Scenario 3: Strong Convenience</v>
      </c>
    </row>
    <row r="419" spans="1:20" x14ac:dyDescent="0.35">
      <c r="A419" t="s">
        <v>558</v>
      </c>
      <c r="B419" s="1">
        <v>44995</v>
      </c>
      <c r="C419">
        <v>2023</v>
      </c>
      <c r="D419">
        <v>3</v>
      </c>
      <c r="E419" t="s">
        <v>38</v>
      </c>
      <c r="F419">
        <v>130</v>
      </c>
      <c r="G419" t="s">
        <v>43</v>
      </c>
      <c r="H419" t="s">
        <v>24</v>
      </c>
      <c r="I419">
        <v>0</v>
      </c>
      <c r="J419">
        <v>0</v>
      </c>
      <c r="K419">
        <v>6.4</v>
      </c>
      <c r="L419">
        <v>72040</v>
      </c>
      <c r="M419" t="s">
        <v>88</v>
      </c>
      <c r="N419" t="str">
        <f>IF(ISNUMBER(SEARCH("Streaming", M419)), "streaming", "cinema")</f>
        <v>streaming</v>
      </c>
      <c r="O419" t="str">
        <f>IF(I419=1, "non-original", "original")</f>
        <v>original</v>
      </c>
      <c r="P419" t="str">
        <f>IF(J419 = 1, "franchise", "non-franchise")</f>
        <v>non-franchise</v>
      </c>
      <c r="Q419" t="str">
        <f>IF(OR(I419 = 1,J419 =1), "old", "new")</f>
        <v>new</v>
      </c>
      <c r="R419">
        <f t="shared" si="12"/>
        <v>0.5843663777643282</v>
      </c>
      <c r="S419">
        <f>IF(Q419="new",1.5,1)*(K419/10)*(1-(MIN(F419,180)/180))</f>
        <v>0.26666666666666666</v>
      </c>
      <c r="T419" t="str">
        <f t="shared" si="13"/>
        <v>Scenario 1: Strong Commitment</v>
      </c>
    </row>
    <row r="420" spans="1:20" x14ac:dyDescent="0.35">
      <c r="A420" t="s">
        <v>559</v>
      </c>
      <c r="B420" s="1">
        <v>45002</v>
      </c>
      <c r="C420">
        <v>2023</v>
      </c>
      <c r="D420">
        <v>3</v>
      </c>
      <c r="E420" t="s">
        <v>38</v>
      </c>
      <c r="F420">
        <v>89</v>
      </c>
      <c r="G420" t="s">
        <v>34</v>
      </c>
      <c r="H420" t="s">
        <v>30</v>
      </c>
      <c r="I420">
        <v>0</v>
      </c>
      <c r="J420">
        <v>0</v>
      </c>
      <c r="K420">
        <v>4.9000000000000004</v>
      </c>
      <c r="L420">
        <v>995</v>
      </c>
      <c r="M420" t="s">
        <v>17</v>
      </c>
      <c r="N420" t="str">
        <f>IF(ISNUMBER(SEARCH("Streaming", M420)), "streaming", "cinema")</f>
        <v>streaming</v>
      </c>
      <c r="O420" t="str">
        <f>IF(I420=1, "non-original", "original")</f>
        <v>original</v>
      </c>
      <c r="P420" t="str">
        <f>IF(J420 = 1, "franchise", "non-franchise")</f>
        <v>non-franchise</v>
      </c>
      <c r="Q420" t="str">
        <f>IF(OR(I420 = 1,J420 =1), "old", "new")</f>
        <v>new</v>
      </c>
      <c r="R420">
        <f t="shared" si="12"/>
        <v>0.24689851325227535</v>
      </c>
      <c r="S420">
        <f>IF(Q420="new",1.5,1)*(K420/10)*(1-(MIN(F420,180)/180))</f>
        <v>0.37158333333333338</v>
      </c>
      <c r="T420" t="str">
        <f t="shared" si="13"/>
        <v>Scenario 3: Strong Convenience</v>
      </c>
    </row>
    <row r="421" spans="1:20" x14ac:dyDescent="0.35">
      <c r="A421" t="s">
        <v>560</v>
      </c>
      <c r="B421" s="1">
        <v>45002</v>
      </c>
      <c r="C421">
        <v>2023</v>
      </c>
      <c r="D421">
        <v>3</v>
      </c>
      <c r="E421" t="s">
        <v>38</v>
      </c>
      <c r="F421">
        <v>90</v>
      </c>
      <c r="G421" t="s">
        <v>19</v>
      </c>
      <c r="H421" t="s">
        <v>30</v>
      </c>
      <c r="I421">
        <v>0</v>
      </c>
      <c r="J421">
        <v>0</v>
      </c>
      <c r="K421">
        <v>3.5</v>
      </c>
      <c r="L421">
        <v>4942</v>
      </c>
      <c r="M421" t="s">
        <v>17</v>
      </c>
      <c r="N421" t="str">
        <f>IF(ISNUMBER(SEARCH("Streaming", M421)), "streaming", "cinema")</f>
        <v>streaming</v>
      </c>
      <c r="O421" t="str">
        <f>IF(I421=1, "non-original", "original")</f>
        <v>original</v>
      </c>
      <c r="P421" t="str">
        <f>IF(J421 = 1, "franchise", "non-franchise")</f>
        <v>non-franchise</v>
      </c>
      <c r="Q421" t="str">
        <f>IF(OR(I421 = 1,J421 =1), "old", "new")</f>
        <v>new</v>
      </c>
      <c r="R421">
        <f t="shared" si="12"/>
        <v>0.3076454065456749</v>
      </c>
      <c r="S421">
        <f>IF(Q421="new",1.5,1)*(K421/10)*(1-(MIN(F421,180)/180))</f>
        <v>0.26249999999999996</v>
      </c>
      <c r="T421" t="str">
        <f t="shared" si="13"/>
        <v>Scenario 2: Weak Commitment/Convenience</v>
      </c>
    </row>
    <row r="422" spans="1:20" x14ac:dyDescent="0.35">
      <c r="A422" t="s">
        <v>561</v>
      </c>
      <c r="B422" s="1">
        <v>45002</v>
      </c>
      <c r="C422">
        <v>2023</v>
      </c>
      <c r="D422">
        <v>3</v>
      </c>
      <c r="E422" t="s">
        <v>38</v>
      </c>
      <c r="F422">
        <v>103</v>
      </c>
      <c r="G422" t="s">
        <v>562</v>
      </c>
      <c r="H422" t="s">
        <v>56</v>
      </c>
      <c r="I422">
        <v>0</v>
      </c>
      <c r="J422">
        <v>0</v>
      </c>
      <c r="K422">
        <v>6.6</v>
      </c>
      <c r="L422">
        <v>6719</v>
      </c>
      <c r="M422" t="s">
        <v>17</v>
      </c>
      <c r="N422" t="str">
        <f>IF(ISNUMBER(SEARCH("Streaming", M422)), "streaming", "cinema")</f>
        <v>streaming</v>
      </c>
      <c r="O422" t="str">
        <f>IF(I422=1, "non-original", "original")</f>
        <v>original</v>
      </c>
      <c r="P422" t="str">
        <f>IF(J422 = 1, "franchise", "non-franchise")</f>
        <v>non-franchise</v>
      </c>
      <c r="Q422" t="str">
        <f>IF(OR(I422 = 1,J422 =1), "old", "new")</f>
        <v>new</v>
      </c>
      <c r="R422">
        <f t="shared" si="12"/>
        <v>0.36479823285483165</v>
      </c>
      <c r="S422">
        <f>IF(Q422="new",1.5,1)*(K422/10)*(1-(MIN(F422,180)/180))</f>
        <v>0.42349999999999999</v>
      </c>
      <c r="T422" t="str">
        <f t="shared" si="13"/>
        <v>Scenario 3: Strong Convenience</v>
      </c>
    </row>
    <row r="423" spans="1:20" x14ac:dyDescent="0.35">
      <c r="A423" t="s">
        <v>563</v>
      </c>
      <c r="B423" s="1">
        <v>45009</v>
      </c>
      <c r="C423">
        <v>2023</v>
      </c>
      <c r="D423">
        <v>3</v>
      </c>
      <c r="E423" t="s">
        <v>38</v>
      </c>
      <c r="F423">
        <v>110</v>
      </c>
      <c r="G423" t="s">
        <v>79</v>
      </c>
      <c r="H423" t="s">
        <v>30</v>
      </c>
      <c r="I423">
        <v>0</v>
      </c>
      <c r="J423">
        <v>0</v>
      </c>
      <c r="K423">
        <v>7.2</v>
      </c>
      <c r="L423">
        <v>56273</v>
      </c>
      <c r="M423" t="s">
        <v>88</v>
      </c>
      <c r="N423" t="str">
        <f>IF(ISNUMBER(SEARCH("Streaming", M423)), "streaming", "cinema")</f>
        <v>streaming</v>
      </c>
      <c r="O423" t="str">
        <f>IF(I423=1, "non-original", "original")</f>
        <v>original</v>
      </c>
      <c r="P423" t="str">
        <f>IF(J423 = 1, "franchise", "non-franchise")</f>
        <v>non-franchise</v>
      </c>
      <c r="Q423" t="str">
        <f>IF(OR(I423 = 1,J423 =1), "old", "new")</f>
        <v>new</v>
      </c>
      <c r="R423">
        <f t="shared" si="12"/>
        <v>0.48354422231912586</v>
      </c>
      <c r="S423">
        <f>IF(Q423="new",1.5,1)*(K423/10)*(1-(MIN(F423,180)/180))</f>
        <v>0.42</v>
      </c>
      <c r="T423" t="str">
        <f t="shared" si="13"/>
        <v>Scenario 4: Hybrid Logic</v>
      </c>
    </row>
    <row r="424" spans="1:20" x14ac:dyDescent="0.35">
      <c r="A424" t="s">
        <v>564</v>
      </c>
      <c r="B424" s="1">
        <v>45016</v>
      </c>
      <c r="C424">
        <v>2023</v>
      </c>
      <c r="D424">
        <v>3</v>
      </c>
      <c r="E424" t="s">
        <v>38</v>
      </c>
      <c r="F424">
        <v>139</v>
      </c>
      <c r="G424" t="s">
        <v>76</v>
      </c>
      <c r="H424" t="s">
        <v>24</v>
      </c>
      <c r="I424">
        <v>0</v>
      </c>
      <c r="J424">
        <v>0</v>
      </c>
      <c r="K424">
        <v>6.6</v>
      </c>
      <c r="L424">
        <v>15980</v>
      </c>
      <c r="M424" t="s">
        <v>88</v>
      </c>
      <c r="N424" t="str">
        <f>IF(ISNUMBER(SEARCH("Streaming", M424)), "streaming", "cinema")</f>
        <v>streaming</v>
      </c>
      <c r="O424" t="str">
        <f>IF(I424=1, "non-original", "original")</f>
        <v>original</v>
      </c>
      <c r="P424" t="str">
        <f>IF(J424 = 1, "franchise", "non-franchise")</f>
        <v>non-franchise</v>
      </c>
      <c r="Q424" t="str">
        <f>IF(OR(I424 = 1,J424 =1), "old", "new")</f>
        <v>new</v>
      </c>
      <c r="R424">
        <f t="shared" si="12"/>
        <v>0.54069985516488661</v>
      </c>
      <c r="S424">
        <f>IF(Q424="new",1.5,1)*(K424/10)*(1-(MIN(F424,180)/180))</f>
        <v>0.22549999999999995</v>
      </c>
      <c r="T424" t="str">
        <f t="shared" si="13"/>
        <v>Scenario 1: Strong Commitment</v>
      </c>
    </row>
    <row r="425" spans="1:20" x14ac:dyDescent="0.35">
      <c r="A425" t="s">
        <v>565</v>
      </c>
      <c r="B425" s="1">
        <v>45016</v>
      </c>
      <c r="C425">
        <v>2023</v>
      </c>
      <c r="D425">
        <v>3</v>
      </c>
      <c r="E425" t="s">
        <v>38</v>
      </c>
      <c r="F425">
        <v>90</v>
      </c>
      <c r="G425" t="s">
        <v>566</v>
      </c>
      <c r="H425" t="s">
        <v>27</v>
      </c>
      <c r="I425">
        <v>0</v>
      </c>
      <c r="J425">
        <v>1</v>
      </c>
      <c r="K425">
        <v>5.7</v>
      </c>
      <c r="L425">
        <v>82892</v>
      </c>
      <c r="M425" t="s">
        <v>88</v>
      </c>
      <c r="N425" t="str">
        <f>IF(ISNUMBER(SEARCH("Streaming", M425)), "streaming", "cinema")</f>
        <v>streaming</v>
      </c>
      <c r="O425" t="str">
        <f>IF(I425=1, "non-original", "original")</f>
        <v>original</v>
      </c>
      <c r="P425" t="str">
        <f>IF(J425 = 1, "franchise", "non-franchise")</f>
        <v>franchise</v>
      </c>
      <c r="Q425" t="str">
        <f>IF(OR(I425 = 1,J425 =1), "old", "new")</f>
        <v>old</v>
      </c>
      <c r="R425">
        <f t="shared" si="12"/>
        <v>0.61445492212437558</v>
      </c>
      <c r="S425">
        <f>IF(Q425="new",1.5,1)*(K425/10)*(1-(MIN(F425,180)/180))</f>
        <v>0.28500000000000003</v>
      </c>
      <c r="T425" t="str">
        <f t="shared" si="13"/>
        <v>Scenario 1: Strong Commitment</v>
      </c>
    </row>
    <row r="426" spans="1:20" x14ac:dyDescent="0.35">
      <c r="A426" t="s">
        <v>567</v>
      </c>
      <c r="B426" s="1">
        <v>45023</v>
      </c>
      <c r="C426">
        <v>2023</v>
      </c>
      <c r="D426">
        <v>4</v>
      </c>
      <c r="E426" t="s">
        <v>38</v>
      </c>
      <c r="F426">
        <v>98</v>
      </c>
      <c r="G426" t="s">
        <v>511</v>
      </c>
      <c r="H426" t="s">
        <v>56</v>
      </c>
      <c r="I426">
        <v>0</v>
      </c>
      <c r="J426">
        <v>0</v>
      </c>
      <c r="K426">
        <v>5.6</v>
      </c>
      <c r="L426">
        <v>8083</v>
      </c>
      <c r="M426" t="s">
        <v>88</v>
      </c>
      <c r="N426" t="str">
        <f>IF(ISNUMBER(SEARCH("Streaming", M426)), "streaming", "cinema")</f>
        <v>streaming</v>
      </c>
      <c r="O426" t="str">
        <f>IF(I426=1, "non-original", "original")</f>
        <v>original</v>
      </c>
      <c r="P426" t="str">
        <f>IF(J426 = 1, "franchise", "non-franchise")</f>
        <v>non-franchise</v>
      </c>
      <c r="Q426" t="str">
        <f>IF(OR(I426 = 1,J426 =1), "old", "new")</f>
        <v>new</v>
      </c>
      <c r="R426">
        <f t="shared" si="12"/>
        <v>0.35436889806476257</v>
      </c>
      <c r="S426">
        <f>IF(Q426="new",1.5,1)*(K426/10)*(1-(MIN(F426,180)/180))</f>
        <v>0.38266666666666665</v>
      </c>
      <c r="T426" t="str">
        <f t="shared" si="13"/>
        <v>Scenario 3: Strong Convenience</v>
      </c>
    </row>
    <row r="427" spans="1:20" x14ac:dyDescent="0.35">
      <c r="A427" t="s">
        <v>568</v>
      </c>
      <c r="B427" s="1">
        <v>45023</v>
      </c>
      <c r="C427">
        <v>2023</v>
      </c>
      <c r="D427">
        <v>4</v>
      </c>
      <c r="E427" t="s">
        <v>38</v>
      </c>
      <c r="F427">
        <v>109</v>
      </c>
      <c r="G427" t="s">
        <v>21</v>
      </c>
      <c r="H427" t="s">
        <v>27</v>
      </c>
      <c r="I427">
        <v>0</v>
      </c>
      <c r="J427">
        <v>0</v>
      </c>
      <c r="K427">
        <v>4.7</v>
      </c>
      <c r="L427">
        <v>116</v>
      </c>
      <c r="M427" t="s">
        <v>17</v>
      </c>
      <c r="N427" t="str">
        <f>IF(ISNUMBER(SEARCH("Streaming", M427)), "streaming", "cinema")</f>
        <v>streaming</v>
      </c>
      <c r="O427" t="str">
        <f>IF(I427=1, "non-original", "original")</f>
        <v>original</v>
      </c>
      <c r="P427" t="str">
        <f>IF(J427 = 1, "franchise", "non-franchise")</f>
        <v>non-franchise</v>
      </c>
      <c r="Q427" t="str">
        <f>IF(OR(I427 = 1,J427 =1), "old", "new")</f>
        <v>new</v>
      </c>
      <c r="R427">
        <f t="shared" si="12"/>
        <v>0.20823561825611928</v>
      </c>
      <c r="S427">
        <f>IF(Q427="new",1.5,1)*(K427/10)*(1-(MIN(F427,180)/180))</f>
        <v>0.2780833333333334</v>
      </c>
      <c r="T427" t="str">
        <f t="shared" si="13"/>
        <v>Scenario 2: Weak Commitment/Convenience</v>
      </c>
    </row>
    <row r="428" spans="1:20" x14ac:dyDescent="0.35">
      <c r="A428" t="s">
        <v>569</v>
      </c>
      <c r="B428" s="1">
        <v>45023</v>
      </c>
      <c r="C428">
        <v>2023</v>
      </c>
      <c r="D428">
        <v>4</v>
      </c>
      <c r="E428" t="s">
        <v>38</v>
      </c>
      <c r="F428">
        <v>97</v>
      </c>
      <c r="G428" t="s">
        <v>34</v>
      </c>
      <c r="H428" t="s">
        <v>24</v>
      </c>
      <c r="I428">
        <v>1</v>
      </c>
      <c r="J428">
        <v>1</v>
      </c>
      <c r="K428">
        <v>5.3</v>
      </c>
      <c r="L428">
        <v>3808</v>
      </c>
      <c r="M428" t="s">
        <v>17</v>
      </c>
      <c r="N428" t="str">
        <f>IF(ISNUMBER(SEARCH("Streaming", M428)), "streaming", "cinema")</f>
        <v>streaming</v>
      </c>
      <c r="O428" t="str">
        <f>IF(I428=1, "non-original", "original")</f>
        <v>non-original</v>
      </c>
      <c r="P428" t="str">
        <f>IF(J428 = 1, "franchise", "non-franchise")</f>
        <v>franchise</v>
      </c>
      <c r="Q428" t="str">
        <f>IF(OR(I428 = 1,J428 =1), "old", "new")</f>
        <v>old</v>
      </c>
      <c r="R428">
        <f t="shared" si="12"/>
        <v>0.48211764614312597</v>
      </c>
      <c r="S428">
        <f>IF(Q428="new",1.5,1)*(K428/10)*(1-(MIN(F428,180)/180))</f>
        <v>0.24438888888888891</v>
      </c>
      <c r="T428" t="str">
        <f t="shared" si="13"/>
        <v>Scenario 1: Strong Commitment</v>
      </c>
    </row>
    <row r="429" spans="1:20" x14ac:dyDescent="0.35">
      <c r="A429" t="s">
        <v>570</v>
      </c>
      <c r="B429" s="1">
        <v>45030</v>
      </c>
      <c r="C429">
        <v>2023</v>
      </c>
      <c r="D429">
        <v>4</v>
      </c>
      <c r="E429" t="s">
        <v>38</v>
      </c>
      <c r="F429">
        <v>97</v>
      </c>
      <c r="G429" t="s">
        <v>21</v>
      </c>
      <c r="H429" t="s">
        <v>30</v>
      </c>
      <c r="I429">
        <v>0</v>
      </c>
      <c r="J429">
        <v>0</v>
      </c>
      <c r="K429">
        <v>4.5999999999999996</v>
      </c>
      <c r="L429">
        <v>1085</v>
      </c>
      <c r="M429" t="s">
        <v>88</v>
      </c>
      <c r="N429" t="str">
        <f>IF(ISNUMBER(SEARCH("Streaming", M429)), "streaming", "cinema")</f>
        <v>streaming</v>
      </c>
      <c r="O429" t="str">
        <f>IF(I429=1, "non-original", "original")</f>
        <v>original</v>
      </c>
      <c r="P429" t="str">
        <f>IF(J429 = 1, "franchise", "non-franchise")</f>
        <v>non-franchise</v>
      </c>
      <c r="Q429" t="str">
        <f>IF(OR(I429 = 1,J429 =1), "old", "new")</f>
        <v>new</v>
      </c>
      <c r="R429">
        <f t="shared" si="12"/>
        <v>0.27246729990389468</v>
      </c>
      <c r="S429">
        <f>IF(Q429="new",1.5,1)*(K429/10)*(1-(MIN(F429,180)/180))</f>
        <v>0.31816666666666665</v>
      </c>
      <c r="T429" t="str">
        <f t="shared" si="13"/>
        <v>Scenario 3: Strong Convenience</v>
      </c>
    </row>
    <row r="430" spans="1:20" x14ac:dyDescent="0.35">
      <c r="A430" t="s">
        <v>571</v>
      </c>
      <c r="B430" s="1">
        <v>45030</v>
      </c>
      <c r="C430">
        <v>2023</v>
      </c>
      <c r="D430">
        <v>4</v>
      </c>
      <c r="E430" t="s">
        <v>38</v>
      </c>
      <c r="F430">
        <v>94</v>
      </c>
      <c r="G430" t="s">
        <v>21</v>
      </c>
      <c r="H430" t="s">
        <v>30</v>
      </c>
      <c r="I430">
        <v>0</v>
      </c>
      <c r="J430">
        <v>0</v>
      </c>
      <c r="K430">
        <v>5.4</v>
      </c>
      <c r="L430">
        <v>3498</v>
      </c>
      <c r="M430" t="s">
        <v>17</v>
      </c>
      <c r="N430" t="str">
        <f>IF(ISNUMBER(SEARCH("Streaming", M430)), "streaming", "cinema")</f>
        <v>streaming</v>
      </c>
      <c r="O430" t="str">
        <f>IF(I430=1, "non-original", "original")</f>
        <v>original</v>
      </c>
      <c r="P430" t="str">
        <f>IF(J430 = 1, "franchise", "non-franchise")</f>
        <v>non-franchise</v>
      </c>
      <c r="Q430" t="str">
        <f>IF(OR(I430 = 1,J430 =1), "old", "new")</f>
        <v>new</v>
      </c>
      <c r="R430">
        <f t="shared" si="12"/>
        <v>0.30826339253717788</v>
      </c>
      <c r="S430">
        <f>IF(Q430="new",1.5,1)*(K430/10)*(1-(MIN(F430,180)/180))</f>
        <v>0.38700000000000001</v>
      </c>
      <c r="T430" t="str">
        <f t="shared" si="13"/>
        <v>Scenario 3: Strong Convenience</v>
      </c>
    </row>
    <row r="431" spans="1:20" x14ac:dyDescent="0.35">
      <c r="A431" t="s">
        <v>572</v>
      </c>
      <c r="B431" s="1">
        <v>45037</v>
      </c>
      <c r="C431">
        <v>2023</v>
      </c>
      <c r="D431">
        <v>4</v>
      </c>
      <c r="E431" t="s">
        <v>38</v>
      </c>
      <c r="F431">
        <v>96</v>
      </c>
      <c r="G431" t="s">
        <v>29</v>
      </c>
      <c r="H431" t="s">
        <v>56</v>
      </c>
      <c r="I431">
        <v>0</v>
      </c>
      <c r="J431">
        <v>0</v>
      </c>
      <c r="K431">
        <v>5.8</v>
      </c>
      <c r="L431">
        <v>8374</v>
      </c>
      <c r="M431" t="s">
        <v>17</v>
      </c>
      <c r="N431" t="str">
        <f>IF(ISNUMBER(SEARCH("Streaming", M431)), "streaming", "cinema")</f>
        <v>streaming</v>
      </c>
      <c r="O431" t="str">
        <f>IF(I431=1, "non-original", "original")</f>
        <v>original</v>
      </c>
      <c r="P431" t="str">
        <f>IF(J431 = 1, "franchise", "non-franchise")</f>
        <v>non-franchise</v>
      </c>
      <c r="Q431" t="str">
        <f>IF(OR(I431 = 1,J431 =1), "old", "new")</f>
        <v>new</v>
      </c>
      <c r="R431">
        <f t="shared" si="12"/>
        <v>0.34850144904394204</v>
      </c>
      <c r="S431">
        <f>IF(Q431="new",1.5,1)*(K431/10)*(1-(MIN(F431,180)/180))</f>
        <v>0.40599999999999997</v>
      </c>
      <c r="T431" t="str">
        <f t="shared" si="13"/>
        <v>Scenario 3: Strong Convenience</v>
      </c>
    </row>
    <row r="432" spans="1:20" x14ac:dyDescent="0.35">
      <c r="A432" t="s">
        <v>573</v>
      </c>
      <c r="B432" s="1">
        <v>45037</v>
      </c>
      <c r="C432">
        <v>2023</v>
      </c>
      <c r="D432">
        <v>4</v>
      </c>
      <c r="E432" t="s">
        <v>38</v>
      </c>
      <c r="F432">
        <v>112</v>
      </c>
      <c r="G432" t="s">
        <v>19</v>
      </c>
      <c r="H432" t="s">
        <v>30</v>
      </c>
      <c r="I432">
        <v>0</v>
      </c>
      <c r="J432">
        <v>0</v>
      </c>
      <c r="K432">
        <v>5.7</v>
      </c>
      <c r="L432">
        <v>5122</v>
      </c>
      <c r="M432" t="s">
        <v>17</v>
      </c>
      <c r="N432" t="str">
        <f>IF(ISNUMBER(SEARCH("Streaming", M432)), "streaming", "cinema")</f>
        <v>streaming</v>
      </c>
      <c r="O432" t="str">
        <f>IF(I432=1, "non-original", "original")</f>
        <v>original</v>
      </c>
      <c r="P432" t="str">
        <f>IF(J432 = 1, "franchise", "non-franchise")</f>
        <v>non-franchise</v>
      </c>
      <c r="Q432" t="str">
        <f>IF(OR(I432 = 1,J432 =1), "old", "new")</f>
        <v>new</v>
      </c>
      <c r="R432">
        <f t="shared" si="12"/>
        <v>0.38445790293889687</v>
      </c>
      <c r="S432">
        <f>IF(Q432="new",1.5,1)*(K432/10)*(1-(MIN(F432,180)/180))</f>
        <v>0.32300000000000001</v>
      </c>
      <c r="T432" t="str">
        <f t="shared" si="13"/>
        <v>Scenario 3: Strong Convenience</v>
      </c>
    </row>
    <row r="433" spans="1:20" x14ac:dyDescent="0.35">
      <c r="A433" t="s">
        <v>574</v>
      </c>
      <c r="B433" s="1">
        <v>45037</v>
      </c>
      <c r="C433">
        <v>2023</v>
      </c>
      <c r="D433">
        <v>4</v>
      </c>
      <c r="E433" t="s">
        <v>38</v>
      </c>
      <c r="F433">
        <v>85</v>
      </c>
      <c r="G433" t="s">
        <v>21</v>
      </c>
      <c r="H433" t="s">
        <v>24</v>
      </c>
      <c r="I433">
        <v>0</v>
      </c>
      <c r="J433">
        <v>0</v>
      </c>
      <c r="K433">
        <v>5.8</v>
      </c>
      <c r="L433">
        <v>2863</v>
      </c>
      <c r="M433" t="s">
        <v>17</v>
      </c>
      <c r="N433" t="str">
        <f>IF(ISNUMBER(SEARCH("Streaming", M433)), "streaming", "cinema")</f>
        <v>streaming</v>
      </c>
      <c r="O433" t="str">
        <f>IF(I433=1, "non-original", "original")</f>
        <v>original</v>
      </c>
      <c r="P433" t="str">
        <f>IF(J433 = 1, "franchise", "non-franchise")</f>
        <v>non-franchise</v>
      </c>
      <c r="Q433" t="str">
        <f>IF(OR(I433 = 1,J433 =1), "old", "new")</f>
        <v>new</v>
      </c>
      <c r="R433">
        <f t="shared" si="12"/>
        <v>0.27190571147096149</v>
      </c>
      <c r="S433">
        <f>IF(Q433="new",1.5,1)*(K433/10)*(1-(MIN(F433,180)/180))</f>
        <v>0.45916666666666661</v>
      </c>
      <c r="T433" t="str">
        <f t="shared" si="13"/>
        <v>Scenario 3: Strong Convenience</v>
      </c>
    </row>
    <row r="434" spans="1:20" x14ac:dyDescent="0.35">
      <c r="A434" t="s">
        <v>575</v>
      </c>
      <c r="B434" s="1">
        <v>45043</v>
      </c>
      <c r="C434">
        <v>2023</v>
      </c>
      <c r="D434">
        <v>4</v>
      </c>
      <c r="E434" t="s">
        <v>38</v>
      </c>
      <c r="F434">
        <v>81</v>
      </c>
      <c r="G434" t="s">
        <v>103</v>
      </c>
      <c r="H434" t="s">
        <v>30</v>
      </c>
      <c r="I434">
        <v>0</v>
      </c>
      <c r="J434">
        <v>0</v>
      </c>
      <c r="K434">
        <v>3.7</v>
      </c>
      <c r="L434">
        <v>654</v>
      </c>
      <c r="M434" t="s">
        <v>17</v>
      </c>
      <c r="N434" t="str">
        <f>IF(ISNUMBER(SEARCH("Streaming", M434)), "streaming", "cinema")</f>
        <v>streaming</v>
      </c>
      <c r="O434" t="str">
        <f>IF(I434=1, "non-original", "original")</f>
        <v>original</v>
      </c>
      <c r="P434" t="str">
        <f>IF(J434 = 1, "franchise", "non-franchise")</f>
        <v>non-franchise</v>
      </c>
      <c r="Q434" t="str">
        <f>IF(OR(I434 = 1,J434 =1), "old", "new")</f>
        <v>new</v>
      </c>
      <c r="R434">
        <f t="shared" si="12"/>
        <v>0.21104497318594015</v>
      </c>
      <c r="S434">
        <f>IF(Q434="new",1.5,1)*(K434/10)*(1-(MIN(F434,180)/180))</f>
        <v>0.30524999999999997</v>
      </c>
      <c r="T434" t="str">
        <f t="shared" si="13"/>
        <v>Scenario 2: Weak Commitment/Convenience</v>
      </c>
    </row>
    <row r="435" spans="1:20" x14ac:dyDescent="0.35">
      <c r="A435" t="s">
        <v>576</v>
      </c>
      <c r="B435" s="1">
        <v>45044</v>
      </c>
      <c r="C435">
        <v>2023</v>
      </c>
      <c r="D435">
        <v>4</v>
      </c>
      <c r="E435" t="s">
        <v>38</v>
      </c>
      <c r="F435">
        <v>124</v>
      </c>
      <c r="G435" t="s">
        <v>49</v>
      </c>
      <c r="H435" t="s">
        <v>30</v>
      </c>
      <c r="I435">
        <v>0</v>
      </c>
      <c r="J435">
        <v>0</v>
      </c>
      <c r="K435">
        <v>6.6</v>
      </c>
      <c r="L435">
        <v>14790</v>
      </c>
      <c r="M435" t="s">
        <v>88</v>
      </c>
      <c r="N435" t="str">
        <f>IF(ISNUMBER(SEARCH("Streaming", M435)), "streaming", "cinema")</f>
        <v>streaming</v>
      </c>
      <c r="O435" t="str">
        <f>IF(I435=1, "non-original", "original")</f>
        <v>original</v>
      </c>
      <c r="P435" t="str">
        <f>IF(J435 = 1, "franchise", "non-franchise")</f>
        <v>non-franchise</v>
      </c>
      <c r="Q435" t="str">
        <f>IF(OR(I435 = 1,J435 =1), "old", "new")</f>
        <v>new</v>
      </c>
      <c r="R435">
        <f t="shared" si="12"/>
        <v>0.47849443880350839</v>
      </c>
      <c r="S435">
        <f>IF(Q435="new",1.5,1)*(K435/10)*(1-(MIN(F435,180)/180))</f>
        <v>0.30799999999999994</v>
      </c>
      <c r="T435" t="str">
        <f t="shared" si="13"/>
        <v>Scenario 1: Strong Commitment</v>
      </c>
    </row>
    <row r="436" spans="1:20" x14ac:dyDescent="0.35">
      <c r="A436" t="s">
        <v>577</v>
      </c>
      <c r="B436" s="1">
        <v>45057</v>
      </c>
      <c r="C436">
        <v>2023</v>
      </c>
      <c r="D436">
        <v>5</v>
      </c>
      <c r="E436" t="s">
        <v>38</v>
      </c>
      <c r="F436">
        <v>98</v>
      </c>
      <c r="G436" t="s">
        <v>448</v>
      </c>
      <c r="H436" t="s">
        <v>24</v>
      </c>
      <c r="I436">
        <v>0</v>
      </c>
      <c r="J436">
        <v>1</v>
      </c>
      <c r="K436">
        <v>4.7</v>
      </c>
      <c r="L436">
        <v>1089</v>
      </c>
      <c r="M436" t="s">
        <v>17</v>
      </c>
      <c r="N436" t="str">
        <f>IF(ISNUMBER(SEARCH("Streaming", M436)), "streaming", "cinema")</f>
        <v>streaming</v>
      </c>
      <c r="O436" t="str">
        <f>IF(I436=1, "non-original", "original")</f>
        <v>original</v>
      </c>
      <c r="P436" t="str">
        <f>IF(J436 = 1, "franchise", "non-franchise")</f>
        <v>franchise</v>
      </c>
      <c r="Q436" t="str">
        <f>IF(OR(I436 = 1,J436 =1), "old", "new")</f>
        <v>old</v>
      </c>
      <c r="R436">
        <f t="shared" si="12"/>
        <v>0.41313175946379505</v>
      </c>
      <c r="S436">
        <f>IF(Q436="new",1.5,1)*(K436/10)*(1-(MIN(F436,180)/180))</f>
        <v>0.21411111111111114</v>
      </c>
      <c r="T436" t="str">
        <f t="shared" si="13"/>
        <v>Scenario 2: Weak Commitment/Convenience</v>
      </c>
    </row>
    <row r="437" spans="1:20" x14ac:dyDescent="0.35">
      <c r="A437" t="s">
        <v>578</v>
      </c>
      <c r="B437" s="1">
        <v>45058</v>
      </c>
      <c r="C437">
        <v>2023</v>
      </c>
      <c r="D437">
        <v>5</v>
      </c>
      <c r="E437" t="s">
        <v>38</v>
      </c>
      <c r="F437">
        <v>117</v>
      </c>
      <c r="G437" t="s">
        <v>411</v>
      </c>
      <c r="H437" t="s">
        <v>24</v>
      </c>
      <c r="I437">
        <v>0</v>
      </c>
      <c r="J437">
        <v>0</v>
      </c>
      <c r="K437">
        <v>5.6</v>
      </c>
      <c r="L437">
        <v>52474</v>
      </c>
      <c r="M437" t="s">
        <v>88</v>
      </c>
      <c r="N437" t="str">
        <f>IF(ISNUMBER(SEARCH("Streaming", M437)), "streaming", "cinema")</f>
        <v>streaming</v>
      </c>
      <c r="O437" t="str">
        <f>IF(I437=1, "non-original", "original")</f>
        <v>original</v>
      </c>
      <c r="P437" t="str">
        <f>IF(J437 = 1, "franchise", "non-franchise")</f>
        <v>non-franchise</v>
      </c>
      <c r="Q437" t="str">
        <f>IF(OR(I437 = 1,J437 =1), "old", "new")</f>
        <v>new</v>
      </c>
      <c r="R437">
        <f t="shared" si="12"/>
        <v>0.51102858377016303</v>
      </c>
      <c r="S437">
        <f>IF(Q437="new",1.5,1)*(K437/10)*(1-(MIN(F437,180)/180))</f>
        <v>0.29399999999999993</v>
      </c>
      <c r="T437" t="str">
        <f t="shared" si="13"/>
        <v>Scenario 1: Strong Commitment</v>
      </c>
    </row>
    <row r="438" spans="1:20" x14ac:dyDescent="0.35">
      <c r="A438" t="s">
        <v>579</v>
      </c>
      <c r="B438" s="1">
        <v>45063</v>
      </c>
      <c r="C438">
        <v>2023</v>
      </c>
      <c r="D438">
        <v>5</v>
      </c>
      <c r="E438" t="s">
        <v>38</v>
      </c>
      <c r="F438">
        <v>95</v>
      </c>
      <c r="G438" t="s">
        <v>34</v>
      </c>
      <c r="H438" t="s">
        <v>265</v>
      </c>
      <c r="I438">
        <v>0</v>
      </c>
      <c r="J438">
        <v>0</v>
      </c>
      <c r="K438">
        <v>5.8</v>
      </c>
      <c r="L438">
        <v>1599</v>
      </c>
      <c r="M438" t="s">
        <v>17</v>
      </c>
      <c r="N438" t="str">
        <f>IF(ISNUMBER(SEARCH("Streaming", M438)), "streaming", "cinema")</f>
        <v>streaming</v>
      </c>
      <c r="O438" t="str">
        <f>IF(I438=1, "non-original", "original")</f>
        <v>original</v>
      </c>
      <c r="P438" t="str">
        <f>IF(J438 = 1, "franchise", "non-franchise")</f>
        <v>non-franchise</v>
      </c>
      <c r="Q438" t="str">
        <f>IF(OR(I438 = 1,J438 =1), "old", "new")</f>
        <v>new</v>
      </c>
      <c r="R438">
        <f t="shared" si="12"/>
        <v>0.28165537331834251</v>
      </c>
      <c r="S438">
        <f>IF(Q438="new",1.5,1)*(K438/10)*(1-(MIN(F438,180)/180))</f>
        <v>0.41083333333333327</v>
      </c>
      <c r="T438" t="str">
        <f t="shared" si="13"/>
        <v>Scenario 3: Strong Convenience</v>
      </c>
    </row>
    <row r="439" spans="1:20" x14ac:dyDescent="0.35">
      <c r="A439" t="s">
        <v>580</v>
      </c>
      <c r="B439" s="1">
        <v>45070</v>
      </c>
      <c r="C439">
        <v>2023</v>
      </c>
      <c r="D439">
        <v>5</v>
      </c>
      <c r="E439" t="s">
        <v>38</v>
      </c>
      <c r="F439">
        <v>103</v>
      </c>
      <c r="G439" t="s">
        <v>21</v>
      </c>
      <c r="H439" t="s">
        <v>24</v>
      </c>
      <c r="I439">
        <v>0</v>
      </c>
      <c r="J439">
        <v>0</v>
      </c>
      <c r="K439">
        <v>4.8</v>
      </c>
      <c r="L439">
        <v>3509</v>
      </c>
      <c r="M439" t="s">
        <v>17</v>
      </c>
      <c r="N439" t="str">
        <f>IF(ISNUMBER(SEARCH("Streaming", M439)), "streaming", "cinema")</f>
        <v>streaming</v>
      </c>
      <c r="O439" t="str">
        <f>IF(I439=1, "non-original", "original")</f>
        <v>original</v>
      </c>
      <c r="P439" t="str">
        <f>IF(J439 = 1, "franchise", "non-franchise")</f>
        <v>non-franchise</v>
      </c>
      <c r="Q439" t="str">
        <f>IF(OR(I439 = 1,J439 =1), "old", "new")</f>
        <v>new</v>
      </c>
      <c r="R439">
        <f t="shared" si="12"/>
        <v>0.33790794022163073</v>
      </c>
      <c r="S439">
        <f>IF(Q439="new",1.5,1)*(K439/10)*(1-(MIN(F439,180)/180))</f>
        <v>0.308</v>
      </c>
      <c r="T439" t="str">
        <f t="shared" si="13"/>
        <v>Scenario 2: Weak Commitment/Convenience</v>
      </c>
    </row>
    <row r="440" spans="1:20" x14ac:dyDescent="0.35">
      <c r="A440" t="s">
        <v>581</v>
      </c>
      <c r="B440" s="1">
        <v>45070</v>
      </c>
      <c r="C440">
        <v>2023</v>
      </c>
      <c r="D440">
        <v>5</v>
      </c>
      <c r="E440" t="s">
        <v>38</v>
      </c>
      <c r="F440">
        <v>94</v>
      </c>
      <c r="G440" t="s">
        <v>58</v>
      </c>
      <c r="H440" t="s">
        <v>24</v>
      </c>
      <c r="I440">
        <v>0</v>
      </c>
      <c r="J440">
        <v>0</v>
      </c>
      <c r="K440">
        <v>5.3</v>
      </c>
      <c r="L440">
        <v>2945</v>
      </c>
      <c r="M440" t="s">
        <v>88</v>
      </c>
      <c r="N440" t="str">
        <f>IF(ISNUMBER(SEARCH("Streaming", M440)), "streaming", "cinema")</f>
        <v>streaming</v>
      </c>
      <c r="O440" t="str">
        <f>IF(I440=1, "non-original", "original")</f>
        <v>original</v>
      </c>
      <c r="P440" t="str">
        <f>IF(J440 = 1, "franchise", "non-franchise")</f>
        <v>non-franchise</v>
      </c>
      <c r="Q440" t="str">
        <f>IF(OR(I440 = 1,J440 =1), "old", "new")</f>
        <v>new</v>
      </c>
      <c r="R440">
        <f t="shared" si="12"/>
        <v>0.30176252239368434</v>
      </c>
      <c r="S440">
        <f>IF(Q440="new",1.5,1)*(K440/10)*(1-(MIN(F440,180)/180))</f>
        <v>0.3798333333333333</v>
      </c>
      <c r="T440" t="str">
        <f t="shared" si="13"/>
        <v>Scenario 3: Strong Convenience</v>
      </c>
    </row>
    <row r="441" spans="1:20" x14ac:dyDescent="0.35">
      <c r="A441" t="s">
        <v>582</v>
      </c>
      <c r="B441" s="1">
        <v>45072</v>
      </c>
      <c r="C441">
        <v>2023</v>
      </c>
      <c r="D441">
        <v>5</v>
      </c>
      <c r="E441" t="s">
        <v>38</v>
      </c>
      <c r="F441">
        <v>95</v>
      </c>
      <c r="G441" t="s">
        <v>583</v>
      </c>
      <c r="H441" t="s">
        <v>27</v>
      </c>
      <c r="I441">
        <v>0</v>
      </c>
      <c r="J441">
        <v>0</v>
      </c>
      <c r="K441">
        <v>7.1</v>
      </c>
      <c r="L441">
        <v>1921</v>
      </c>
      <c r="M441" t="s">
        <v>17</v>
      </c>
      <c r="N441" t="str">
        <f>IF(ISNUMBER(SEARCH("Streaming", M441)), "streaming", "cinema")</f>
        <v>streaming</v>
      </c>
      <c r="O441" t="str">
        <f>IF(I441=1, "non-original", "original")</f>
        <v>original</v>
      </c>
      <c r="P441" t="str">
        <f>IF(J441 = 1, "franchise", "non-franchise")</f>
        <v>non-franchise</v>
      </c>
      <c r="Q441" t="str">
        <f>IF(OR(I441 = 1,J441 =1), "old", "new")</f>
        <v>new</v>
      </c>
      <c r="R441">
        <f t="shared" si="12"/>
        <v>0.28866007122875142</v>
      </c>
      <c r="S441">
        <f>IF(Q441="new",1.5,1)*(K441/10)*(1-(MIN(F441,180)/180))</f>
        <v>0.50291666666666668</v>
      </c>
      <c r="T441" t="str">
        <f t="shared" si="13"/>
        <v>Scenario 3: Strong Convenience</v>
      </c>
    </row>
    <row r="442" spans="1:20" x14ac:dyDescent="0.35">
      <c r="A442" t="s">
        <v>584</v>
      </c>
      <c r="B442" s="1">
        <v>45078</v>
      </c>
      <c r="C442">
        <v>2023</v>
      </c>
      <c r="D442">
        <v>6</v>
      </c>
      <c r="E442" t="s">
        <v>78</v>
      </c>
      <c r="F442">
        <v>99</v>
      </c>
      <c r="G442" t="s">
        <v>34</v>
      </c>
      <c r="H442" t="s">
        <v>24</v>
      </c>
      <c r="I442">
        <v>0</v>
      </c>
      <c r="J442">
        <v>0</v>
      </c>
      <c r="K442">
        <v>6.4</v>
      </c>
      <c r="L442">
        <v>9380</v>
      </c>
      <c r="M442" t="s">
        <v>88</v>
      </c>
      <c r="N442" t="str">
        <f>IF(ISNUMBER(SEARCH("Streaming", M442)), "streaming", "cinema")</f>
        <v>streaming</v>
      </c>
      <c r="O442" t="str">
        <f>IF(I442=1, "non-original", "original")</f>
        <v>original</v>
      </c>
      <c r="P442" t="str">
        <f>IF(J442 = 1, "franchise", "non-franchise")</f>
        <v>non-franchise</v>
      </c>
      <c r="Q442" t="str">
        <f>IF(OR(I442 = 1,J442 =1), "old", "new")</f>
        <v>new</v>
      </c>
      <c r="R442">
        <f t="shared" si="12"/>
        <v>0.36390588681730329</v>
      </c>
      <c r="S442">
        <f>IF(Q442="new",1.5,1)*(K442/10)*(1-(MIN(F442,180)/180))</f>
        <v>0.43199999999999994</v>
      </c>
      <c r="T442" t="str">
        <f t="shared" si="13"/>
        <v>Scenario 3: Strong Convenience</v>
      </c>
    </row>
    <row r="443" spans="1:20" x14ac:dyDescent="0.35">
      <c r="A443" t="s">
        <v>585</v>
      </c>
      <c r="B443" s="1">
        <v>45079</v>
      </c>
      <c r="C443">
        <v>2023</v>
      </c>
      <c r="D443">
        <v>6</v>
      </c>
      <c r="E443" t="s">
        <v>78</v>
      </c>
      <c r="F443">
        <v>107</v>
      </c>
      <c r="G443" t="s">
        <v>29</v>
      </c>
      <c r="H443" t="s">
        <v>30</v>
      </c>
      <c r="I443">
        <v>0</v>
      </c>
      <c r="J443">
        <v>0</v>
      </c>
      <c r="K443">
        <v>4.4000000000000004</v>
      </c>
      <c r="L443">
        <v>299</v>
      </c>
      <c r="M443" t="s">
        <v>17</v>
      </c>
      <c r="N443" t="str">
        <f>IF(ISNUMBER(SEARCH("Streaming", M443)), "streaming", "cinema")</f>
        <v>streaming</v>
      </c>
      <c r="O443" t="str">
        <f>IF(I443=1, "non-original", "original")</f>
        <v>original</v>
      </c>
      <c r="P443" t="str">
        <f>IF(J443 = 1, "franchise", "non-franchise")</f>
        <v>non-franchise</v>
      </c>
      <c r="Q443" t="str">
        <f>IF(OR(I443 = 1,J443 =1), "old", "new")</f>
        <v>new</v>
      </c>
      <c r="R443">
        <f t="shared" si="12"/>
        <v>0.24513154880577143</v>
      </c>
      <c r="S443">
        <f>IF(Q443="new",1.5,1)*(K443/10)*(1-(MIN(F443,180)/180))</f>
        <v>0.26766666666666672</v>
      </c>
      <c r="T443" t="str">
        <f t="shared" si="13"/>
        <v>Scenario 2: Weak Commitment/Convenience</v>
      </c>
    </row>
    <row r="444" spans="1:20" x14ac:dyDescent="0.35">
      <c r="A444" t="s">
        <v>586</v>
      </c>
      <c r="B444" s="1">
        <v>45079</v>
      </c>
      <c r="C444">
        <v>2023</v>
      </c>
      <c r="D444">
        <v>6</v>
      </c>
      <c r="E444" t="s">
        <v>78</v>
      </c>
      <c r="F444">
        <v>89</v>
      </c>
      <c r="G444" t="s">
        <v>29</v>
      </c>
      <c r="H444" t="s">
        <v>30</v>
      </c>
      <c r="I444">
        <v>0</v>
      </c>
      <c r="J444">
        <v>0</v>
      </c>
      <c r="K444">
        <v>4.9000000000000004</v>
      </c>
      <c r="L444">
        <v>596</v>
      </c>
      <c r="M444" t="s">
        <v>17</v>
      </c>
      <c r="N444" t="str">
        <f>IF(ISNUMBER(SEARCH("Streaming", M444)), "streaming", "cinema")</f>
        <v>streaming</v>
      </c>
      <c r="O444" t="str">
        <f>IF(I444=1, "non-original", "original")</f>
        <v>original</v>
      </c>
      <c r="P444" t="str">
        <f>IF(J444 = 1, "franchise", "non-franchise")</f>
        <v>non-franchise</v>
      </c>
      <c r="Q444" t="str">
        <f>IF(OR(I444 = 1,J444 =1), "old", "new")</f>
        <v>new</v>
      </c>
      <c r="R444">
        <f t="shared" si="12"/>
        <v>0.22856724929489633</v>
      </c>
      <c r="S444">
        <f>IF(Q444="new",1.5,1)*(K444/10)*(1-(MIN(F444,180)/180))</f>
        <v>0.37158333333333338</v>
      </c>
      <c r="T444" t="str">
        <f t="shared" si="13"/>
        <v>Scenario 3: Strong Convenience</v>
      </c>
    </row>
    <row r="445" spans="1:20" x14ac:dyDescent="0.35">
      <c r="A445" t="s">
        <v>587</v>
      </c>
      <c r="B445" s="1">
        <v>45086</v>
      </c>
      <c r="C445">
        <v>2023</v>
      </c>
      <c r="D445">
        <v>6</v>
      </c>
      <c r="E445" t="s">
        <v>78</v>
      </c>
      <c r="F445">
        <v>99</v>
      </c>
      <c r="G445" t="s">
        <v>29</v>
      </c>
      <c r="H445" t="s">
        <v>27</v>
      </c>
      <c r="I445">
        <v>0</v>
      </c>
      <c r="J445">
        <v>0</v>
      </c>
      <c r="K445">
        <v>5</v>
      </c>
      <c r="L445">
        <v>2831</v>
      </c>
      <c r="M445" t="s">
        <v>88</v>
      </c>
      <c r="N445" t="str">
        <f>IF(ISNUMBER(SEARCH("Streaming", M445)), "streaming", "cinema")</f>
        <v>streaming</v>
      </c>
      <c r="O445" t="str">
        <f>IF(I445=1, "non-original", "original")</f>
        <v>original</v>
      </c>
      <c r="P445" t="str">
        <f>IF(J445 = 1, "franchise", "non-franchise")</f>
        <v>non-franchise</v>
      </c>
      <c r="Q445" t="str">
        <f>IF(OR(I445 = 1,J445 =1), "old", "new")</f>
        <v>new</v>
      </c>
      <c r="R445">
        <f t="shared" si="12"/>
        <v>0.31624297411607594</v>
      </c>
      <c r="S445">
        <f>IF(Q445="new",1.5,1)*(K445/10)*(1-(MIN(F445,180)/180))</f>
        <v>0.33749999999999997</v>
      </c>
      <c r="T445" t="str">
        <f t="shared" si="13"/>
        <v>Scenario 3: Strong Convenience</v>
      </c>
    </row>
    <row r="446" spans="1:20" x14ac:dyDescent="0.35">
      <c r="A446" t="s">
        <v>588</v>
      </c>
      <c r="B446" s="1">
        <v>45093</v>
      </c>
      <c r="C446">
        <v>2023</v>
      </c>
      <c r="D446">
        <v>6</v>
      </c>
      <c r="E446" t="s">
        <v>78</v>
      </c>
      <c r="F446">
        <v>113</v>
      </c>
      <c r="G446" t="s">
        <v>400</v>
      </c>
      <c r="H446" t="s">
        <v>27</v>
      </c>
      <c r="I446">
        <v>0</v>
      </c>
      <c r="J446">
        <v>0</v>
      </c>
      <c r="K446">
        <v>7.4</v>
      </c>
      <c r="L446">
        <v>9651</v>
      </c>
      <c r="M446" t="s">
        <v>17</v>
      </c>
      <c r="N446" t="str">
        <f>IF(ISNUMBER(SEARCH("Streaming", M446)), "streaming", "cinema")</f>
        <v>streaming</v>
      </c>
      <c r="O446" t="str">
        <f>IF(I446=1, "non-original", "original")</f>
        <v>original</v>
      </c>
      <c r="P446" t="str">
        <f>IF(J446 = 1, "franchise", "non-franchise")</f>
        <v>non-franchise</v>
      </c>
      <c r="Q446" t="str">
        <f>IF(OR(I446 = 1,J446 =1), "old", "new")</f>
        <v>new</v>
      </c>
      <c r="R446">
        <f t="shared" si="12"/>
        <v>0.41666078314046506</v>
      </c>
      <c r="S446">
        <f>IF(Q446="new",1.5,1)*(K446/10)*(1-(MIN(F446,180)/180))</f>
        <v>0.41316666666666663</v>
      </c>
      <c r="T446" t="str">
        <f t="shared" si="13"/>
        <v>Scenario 3: Strong Convenience</v>
      </c>
    </row>
    <row r="447" spans="1:20" x14ac:dyDescent="0.35">
      <c r="A447" t="s">
        <v>589</v>
      </c>
      <c r="B447" s="1">
        <v>45100</v>
      </c>
      <c r="C447">
        <v>2023</v>
      </c>
      <c r="D447">
        <v>6</v>
      </c>
      <c r="E447" t="s">
        <v>78</v>
      </c>
      <c r="F447">
        <v>113</v>
      </c>
      <c r="G447" t="s">
        <v>19</v>
      </c>
      <c r="H447" t="s">
        <v>30</v>
      </c>
      <c r="I447">
        <v>0</v>
      </c>
      <c r="J447">
        <v>0</v>
      </c>
      <c r="K447">
        <v>4.4000000000000004</v>
      </c>
      <c r="L447">
        <v>546</v>
      </c>
      <c r="M447" t="s">
        <v>17</v>
      </c>
      <c r="N447" t="str">
        <f>IF(ISNUMBER(SEARCH("Streaming", M447)), "streaming", "cinema")</f>
        <v>streaming</v>
      </c>
      <c r="O447" t="str">
        <f>IF(I447=1, "non-original", "original")</f>
        <v>original</v>
      </c>
      <c r="P447" t="str">
        <f>IF(J447 = 1, "franchise", "non-franchise")</f>
        <v>non-franchise</v>
      </c>
      <c r="Q447" t="str">
        <f>IF(OR(I447 = 1,J447 =1), "old", "new")</f>
        <v>new</v>
      </c>
      <c r="R447">
        <f t="shared" si="12"/>
        <v>0.28622415149660774</v>
      </c>
      <c r="S447">
        <f>IF(Q447="new",1.5,1)*(K447/10)*(1-(MIN(F447,180)/180))</f>
        <v>0.24566666666666673</v>
      </c>
      <c r="T447" t="str">
        <f t="shared" si="13"/>
        <v>Scenario 2: Weak Commitment/Convenience</v>
      </c>
    </row>
    <row r="448" spans="1:20" x14ac:dyDescent="0.35">
      <c r="A448" t="s">
        <v>590</v>
      </c>
      <c r="B448" s="1">
        <v>45100</v>
      </c>
      <c r="C448">
        <v>2023</v>
      </c>
      <c r="D448">
        <v>6</v>
      </c>
      <c r="E448" t="s">
        <v>78</v>
      </c>
      <c r="F448">
        <v>104</v>
      </c>
      <c r="G448" t="s">
        <v>29</v>
      </c>
      <c r="H448" t="s">
        <v>24</v>
      </c>
      <c r="I448">
        <v>0</v>
      </c>
      <c r="J448">
        <v>0</v>
      </c>
      <c r="K448">
        <v>5.7</v>
      </c>
      <c r="L448">
        <v>4073</v>
      </c>
      <c r="M448" t="s">
        <v>88</v>
      </c>
      <c r="N448" t="str">
        <f>IF(ISNUMBER(SEARCH("Streaming", M448)), "streaming", "cinema")</f>
        <v>streaming</v>
      </c>
      <c r="O448" t="str">
        <f>IF(I448=1, "non-original", "original")</f>
        <v>original</v>
      </c>
      <c r="P448" t="str">
        <f>IF(J448 = 1, "franchise", "non-franchise")</f>
        <v>non-franchise</v>
      </c>
      <c r="Q448" t="str">
        <f>IF(OR(I448 = 1,J448 =1), "old", "new")</f>
        <v>new</v>
      </c>
      <c r="R448">
        <f t="shared" si="12"/>
        <v>0.3474183180891417</v>
      </c>
      <c r="S448">
        <f>IF(Q448="new",1.5,1)*(K448/10)*(1-(MIN(F448,180)/180))</f>
        <v>0.3610000000000001</v>
      </c>
      <c r="T448" t="str">
        <f t="shared" si="13"/>
        <v>Scenario 3: Strong Convenience</v>
      </c>
    </row>
    <row r="449" spans="1:20" x14ac:dyDescent="0.35">
      <c r="A449" t="s">
        <v>591</v>
      </c>
      <c r="B449" s="1">
        <v>45100</v>
      </c>
      <c r="C449">
        <v>2023</v>
      </c>
      <c r="D449">
        <v>6</v>
      </c>
      <c r="E449" t="s">
        <v>78</v>
      </c>
      <c r="F449">
        <v>99</v>
      </c>
      <c r="G449" t="s">
        <v>29</v>
      </c>
      <c r="H449" t="s">
        <v>24</v>
      </c>
      <c r="I449">
        <v>0</v>
      </c>
      <c r="J449">
        <v>0</v>
      </c>
      <c r="K449">
        <v>5.2</v>
      </c>
      <c r="L449">
        <v>3819</v>
      </c>
      <c r="M449" t="s">
        <v>17</v>
      </c>
      <c r="N449" t="str">
        <f>IF(ISNUMBER(SEARCH("Streaming", M449)), "streaming", "cinema")</f>
        <v>streaming</v>
      </c>
      <c r="O449" t="str">
        <f>IF(I449=1, "non-original", "original")</f>
        <v>original</v>
      </c>
      <c r="P449" t="str">
        <f>IF(J449 = 1, "franchise", "non-franchise")</f>
        <v>non-franchise</v>
      </c>
      <c r="Q449" t="str">
        <f>IF(OR(I449 = 1,J449 =1), "old", "new")</f>
        <v>new</v>
      </c>
      <c r="R449">
        <f t="shared" si="12"/>
        <v>0.32815357624012842</v>
      </c>
      <c r="S449">
        <f>IF(Q449="new",1.5,1)*(K449/10)*(1-(MIN(F449,180)/180))</f>
        <v>0.35099999999999998</v>
      </c>
      <c r="T449" t="str">
        <f t="shared" si="13"/>
        <v>Scenario 3: Strong Convenience</v>
      </c>
    </row>
    <row r="450" spans="1:20" x14ac:dyDescent="0.35">
      <c r="A450" t="s">
        <v>592</v>
      </c>
      <c r="B450" s="1">
        <v>45106</v>
      </c>
      <c r="C450">
        <v>2023</v>
      </c>
      <c r="D450">
        <v>6</v>
      </c>
      <c r="E450" t="s">
        <v>78</v>
      </c>
      <c r="F450">
        <v>132</v>
      </c>
      <c r="G450" t="s">
        <v>293</v>
      </c>
      <c r="H450" t="s">
        <v>24</v>
      </c>
      <c r="I450">
        <v>0</v>
      </c>
      <c r="J450">
        <v>1</v>
      </c>
      <c r="K450">
        <v>5.7</v>
      </c>
      <c r="L450">
        <v>52034</v>
      </c>
      <c r="M450" t="s">
        <v>17</v>
      </c>
      <c r="N450" t="str">
        <f>IF(ISNUMBER(SEARCH("Streaming", M450)), "streaming", "cinema")</f>
        <v>streaming</v>
      </c>
      <c r="O450" t="str">
        <f>IF(I450=1, "non-original", "original")</f>
        <v>original</v>
      </c>
      <c r="P450" t="str">
        <f>IF(J450 = 1, "franchise", "non-franchise")</f>
        <v>franchise</v>
      </c>
      <c r="Q450" t="str">
        <f>IF(OR(I450 = 1,J450 =1), "old", "new")</f>
        <v>old</v>
      </c>
      <c r="R450">
        <f t="shared" si="12"/>
        <v>0.86414755259240639</v>
      </c>
      <c r="S450">
        <f>IF(Q450="new",1.5,1)*(K450/10)*(1-(MIN(F450,180)/180))</f>
        <v>0.15200000000000005</v>
      </c>
      <c r="T450" t="str">
        <f t="shared" si="13"/>
        <v>Scenario 1: Strong Commitment</v>
      </c>
    </row>
    <row r="451" spans="1:20" x14ac:dyDescent="0.35">
      <c r="A451" t="s">
        <v>593</v>
      </c>
      <c r="B451" s="1">
        <v>45107</v>
      </c>
      <c r="C451">
        <v>2023</v>
      </c>
      <c r="D451">
        <v>6</v>
      </c>
      <c r="E451" t="s">
        <v>78</v>
      </c>
      <c r="F451">
        <v>102</v>
      </c>
      <c r="G451" t="s">
        <v>594</v>
      </c>
      <c r="H451" t="s">
        <v>56</v>
      </c>
      <c r="I451">
        <v>1</v>
      </c>
      <c r="J451">
        <v>0</v>
      </c>
      <c r="K451">
        <v>7.5</v>
      </c>
      <c r="L451">
        <v>61297</v>
      </c>
      <c r="M451" t="s">
        <v>88</v>
      </c>
      <c r="N451" t="str">
        <f>IF(ISNUMBER(SEARCH("Streaming", M451)), "streaming", "cinema")</f>
        <v>streaming</v>
      </c>
      <c r="O451" t="str">
        <f>IF(I451=1, "non-original", "original")</f>
        <v>non-original</v>
      </c>
      <c r="P451" t="str">
        <f>IF(J451 = 1, "franchise", "non-franchise")</f>
        <v>non-franchise</v>
      </c>
      <c r="Q451" t="str">
        <f>IF(OR(I451 = 1,J451 =1), "old", "new")</f>
        <v>old</v>
      </c>
      <c r="R451">
        <f t="shared" ref="R451:R514" si="14">IF(Q451="old",1.5,1)*(LOG10(L451)/LOG10(MAX($L$2:$L$1078)))*(MIN(F451,180)/180)</f>
        <v>0.67782436088662179</v>
      </c>
      <c r="S451">
        <f>IF(Q451="new",1.5,1)*(K451/10)*(1-(MIN(F451,180)/180))</f>
        <v>0.32500000000000001</v>
      </c>
      <c r="T451" t="str">
        <f t="shared" ref="T451:T514" si="15">IF(AND(R451&gt;=AVERAGE($R$2:$R$1078),S451&gt;=AVERAGE($S$2:$S$1078)),"Scenario 4: Hybrid Logic",
 IF(AND(R451&gt;=AVERAGE($R$2:$R$1078),S451&lt;AVERAGE($S$2:$S$1078)),"Scenario 1: Strong Commitment",
  IF(AND(R451&lt;AVERAGE($R$2:$R$1078),S451&gt;=AVERAGE($S$2:$S$1078)),"Scenario 3: Strong Convenience",
   "Scenario 2: Weak Commitment/Convenience")))</f>
        <v>Scenario 4: Hybrid Logic</v>
      </c>
    </row>
    <row r="452" spans="1:20" x14ac:dyDescent="0.35">
      <c r="A452" t="s">
        <v>595</v>
      </c>
      <c r="B452" s="1">
        <v>45113</v>
      </c>
      <c r="C452">
        <v>2023</v>
      </c>
      <c r="D452">
        <v>7</v>
      </c>
      <c r="E452" t="s">
        <v>78</v>
      </c>
      <c r="F452">
        <v>95</v>
      </c>
      <c r="G452" t="s">
        <v>21</v>
      </c>
      <c r="H452" t="s">
        <v>24</v>
      </c>
      <c r="I452">
        <v>0</v>
      </c>
      <c r="J452">
        <v>0</v>
      </c>
      <c r="K452">
        <v>6.2</v>
      </c>
      <c r="L452">
        <v>3852</v>
      </c>
      <c r="M452" t="s">
        <v>88</v>
      </c>
      <c r="N452" t="str">
        <f>IF(ISNUMBER(SEARCH("Streaming", M452)), "streaming", "cinema")</f>
        <v>streaming</v>
      </c>
      <c r="O452" t="str">
        <f>IF(I452=1, "non-original", "original")</f>
        <v>original</v>
      </c>
      <c r="P452" t="str">
        <f>IF(J452 = 1, "franchise", "non-franchise")</f>
        <v>non-franchise</v>
      </c>
      <c r="Q452" t="str">
        <f>IF(OR(I452 = 1,J452 =1), "old", "new")</f>
        <v>new</v>
      </c>
      <c r="R452">
        <f t="shared" si="14"/>
        <v>0.31522333805360309</v>
      </c>
      <c r="S452">
        <f>IF(Q452="new",1.5,1)*(K452/10)*(1-(MIN(F452,180)/180))</f>
        <v>0.43916666666666665</v>
      </c>
      <c r="T452" t="str">
        <f t="shared" si="15"/>
        <v>Scenario 3: Strong Convenience</v>
      </c>
    </row>
    <row r="453" spans="1:20" x14ac:dyDescent="0.35">
      <c r="A453" t="s">
        <v>596</v>
      </c>
      <c r="B453" s="1">
        <v>45114</v>
      </c>
      <c r="C453">
        <v>2023</v>
      </c>
      <c r="D453">
        <v>7</v>
      </c>
      <c r="E453" t="s">
        <v>78</v>
      </c>
      <c r="F453">
        <v>109</v>
      </c>
      <c r="G453" t="s">
        <v>269</v>
      </c>
      <c r="H453" t="s">
        <v>24</v>
      </c>
      <c r="I453">
        <v>0</v>
      </c>
      <c r="J453">
        <v>0</v>
      </c>
      <c r="K453">
        <v>5.0999999999999996</v>
      </c>
      <c r="L453">
        <v>425</v>
      </c>
      <c r="M453" t="s">
        <v>17</v>
      </c>
      <c r="N453" t="str">
        <f>IF(ISNUMBER(SEARCH("Streaming", M453)), "streaming", "cinema")</f>
        <v>streaming</v>
      </c>
      <c r="O453" t="str">
        <f>IF(I453=1, "non-original", "original")</f>
        <v>original</v>
      </c>
      <c r="P453" t="str">
        <f>IF(J453 = 1, "franchise", "non-franchise")</f>
        <v>non-franchise</v>
      </c>
      <c r="Q453" t="str">
        <f>IF(OR(I453 = 1,J453 =1), "old", "new")</f>
        <v>new</v>
      </c>
      <c r="R453">
        <f t="shared" si="14"/>
        <v>0.26511762250561655</v>
      </c>
      <c r="S453">
        <f>IF(Q453="new",1.5,1)*(K453/10)*(1-(MIN(F453,180)/180))</f>
        <v>0.30175000000000002</v>
      </c>
      <c r="T453" t="str">
        <f t="shared" si="15"/>
        <v>Scenario 2: Weak Commitment/Convenience</v>
      </c>
    </row>
    <row r="454" spans="1:20" x14ac:dyDescent="0.35">
      <c r="A454" t="s">
        <v>597</v>
      </c>
      <c r="B454" s="1">
        <v>45114</v>
      </c>
      <c r="C454">
        <v>2023</v>
      </c>
      <c r="D454">
        <v>7</v>
      </c>
      <c r="E454" t="s">
        <v>78</v>
      </c>
      <c r="F454">
        <v>95</v>
      </c>
      <c r="G454" t="s">
        <v>41</v>
      </c>
      <c r="H454" t="s">
        <v>24</v>
      </c>
      <c r="I454">
        <v>0</v>
      </c>
      <c r="J454">
        <v>0</v>
      </c>
      <c r="K454">
        <v>5.4</v>
      </c>
      <c r="L454">
        <v>41283</v>
      </c>
      <c r="M454" t="s">
        <v>88</v>
      </c>
      <c r="N454" t="str">
        <f>IF(ISNUMBER(SEARCH("Streaming", M454)), "streaming", "cinema")</f>
        <v>streaming</v>
      </c>
      <c r="O454" t="str">
        <f>IF(I454=1, "non-original", "original")</f>
        <v>original</v>
      </c>
      <c r="P454" t="str">
        <f>IF(J454 = 1, "franchise", "non-franchise")</f>
        <v>non-franchise</v>
      </c>
      <c r="Q454" t="str">
        <f>IF(OR(I454 = 1,J454 =1), "old", "new")</f>
        <v>new</v>
      </c>
      <c r="R454">
        <f t="shared" si="14"/>
        <v>0.40577973308073778</v>
      </c>
      <c r="S454">
        <f>IF(Q454="new",1.5,1)*(K454/10)*(1-(MIN(F454,180)/180))</f>
        <v>0.38250000000000001</v>
      </c>
      <c r="T454" t="str">
        <f t="shared" si="15"/>
        <v>Scenario 3: Strong Convenience</v>
      </c>
    </row>
    <row r="455" spans="1:20" x14ac:dyDescent="0.35">
      <c r="A455" t="s">
        <v>598</v>
      </c>
      <c r="B455" s="1">
        <v>45119</v>
      </c>
      <c r="C455">
        <v>2023</v>
      </c>
      <c r="D455">
        <v>7</v>
      </c>
      <c r="E455" t="s">
        <v>78</v>
      </c>
      <c r="F455">
        <v>110</v>
      </c>
      <c r="G455" t="s">
        <v>34</v>
      </c>
      <c r="H455" t="s">
        <v>27</v>
      </c>
      <c r="I455">
        <v>0</v>
      </c>
      <c r="J455">
        <v>0</v>
      </c>
      <c r="K455">
        <v>4.4000000000000004</v>
      </c>
      <c r="L455">
        <v>1531</v>
      </c>
      <c r="M455" t="s">
        <v>17</v>
      </c>
      <c r="N455" t="str">
        <f>IF(ISNUMBER(SEARCH("Streaming", M455)), "streaming", "cinema")</f>
        <v>streaming</v>
      </c>
      <c r="O455" t="str">
        <f>IF(I455=1, "non-original", "original")</f>
        <v>original</v>
      </c>
      <c r="P455" t="str">
        <f>IF(J455 = 1, "franchise", "non-franchise")</f>
        <v>non-franchise</v>
      </c>
      <c r="Q455" t="str">
        <f>IF(OR(I455 = 1,J455 =1), "old", "new")</f>
        <v>new</v>
      </c>
      <c r="R455">
        <f t="shared" si="14"/>
        <v>0.324206119492776</v>
      </c>
      <c r="S455">
        <f>IF(Q455="new",1.5,1)*(K455/10)*(1-(MIN(F455,180)/180))</f>
        <v>0.25666666666666671</v>
      </c>
      <c r="T455" t="str">
        <f t="shared" si="15"/>
        <v>Scenario 2: Weak Commitment/Convenience</v>
      </c>
    </row>
    <row r="456" spans="1:20" x14ac:dyDescent="0.35">
      <c r="A456" t="s">
        <v>599</v>
      </c>
      <c r="B456" s="1">
        <v>45121</v>
      </c>
      <c r="C456">
        <v>2023</v>
      </c>
      <c r="D456">
        <v>7</v>
      </c>
      <c r="E456" t="s">
        <v>78</v>
      </c>
      <c r="F456">
        <v>98</v>
      </c>
      <c r="G456" t="s">
        <v>29</v>
      </c>
      <c r="H456" t="s">
        <v>27</v>
      </c>
      <c r="I456">
        <v>0</v>
      </c>
      <c r="J456">
        <v>0</v>
      </c>
      <c r="K456">
        <v>5</v>
      </c>
      <c r="L456">
        <v>2990</v>
      </c>
      <c r="M456" t="s">
        <v>17</v>
      </c>
      <c r="N456" t="str">
        <f>IF(ISNUMBER(SEARCH("Streaming", M456)), "streaming", "cinema")</f>
        <v>streaming</v>
      </c>
      <c r="O456" t="str">
        <f>IF(I456=1, "non-original", "original")</f>
        <v>original</v>
      </c>
      <c r="P456" t="str">
        <f>IF(J456 = 1, "franchise", "non-franchise")</f>
        <v>non-franchise</v>
      </c>
      <c r="Q456" t="str">
        <f>IF(OR(I456 = 1,J456 =1), "old", "new")</f>
        <v>new</v>
      </c>
      <c r="R456">
        <f t="shared" si="14"/>
        <v>0.31520074015379379</v>
      </c>
      <c r="S456">
        <f>IF(Q456="new",1.5,1)*(K456/10)*(1-(MIN(F456,180)/180))</f>
        <v>0.34166666666666667</v>
      </c>
      <c r="T456" t="str">
        <f t="shared" si="15"/>
        <v>Scenario 3: Strong Convenience</v>
      </c>
    </row>
    <row r="457" spans="1:20" x14ac:dyDescent="0.35">
      <c r="A457" t="s">
        <v>600</v>
      </c>
      <c r="B457" s="1">
        <v>45126</v>
      </c>
      <c r="C457">
        <v>2023</v>
      </c>
      <c r="D457">
        <v>7</v>
      </c>
      <c r="E457" t="s">
        <v>78</v>
      </c>
      <c r="F457">
        <v>96</v>
      </c>
      <c r="G457" t="s">
        <v>21</v>
      </c>
      <c r="H457" t="s">
        <v>30</v>
      </c>
      <c r="I457">
        <v>0</v>
      </c>
      <c r="J457">
        <v>0</v>
      </c>
      <c r="K457">
        <v>6.4</v>
      </c>
      <c r="L457">
        <v>667</v>
      </c>
      <c r="M457" t="s">
        <v>17</v>
      </c>
      <c r="N457" t="str">
        <f>IF(ISNUMBER(SEARCH("Streaming", M457)), "streaming", "cinema")</f>
        <v>streaming</v>
      </c>
      <c r="O457" t="str">
        <f>IF(I457=1, "non-original", "original")</f>
        <v>original</v>
      </c>
      <c r="P457" t="str">
        <f>IF(J457 = 1, "franchise", "non-franchise")</f>
        <v>non-franchise</v>
      </c>
      <c r="Q457" t="str">
        <f>IF(OR(I457 = 1,J457 =1), "old", "new")</f>
        <v>new</v>
      </c>
      <c r="R457">
        <f t="shared" si="14"/>
        <v>0.25088676158936968</v>
      </c>
      <c r="S457">
        <f>IF(Q457="new",1.5,1)*(K457/10)*(1-(MIN(F457,180)/180))</f>
        <v>0.44800000000000001</v>
      </c>
      <c r="T457" t="str">
        <f t="shared" si="15"/>
        <v>Scenario 3: Strong Convenience</v>
      </c>
    </row>
    <row r="458" spans="1:20" x14ac:dyDescent="0.35">
      <c r="A458" t="s">
        <v>601</v>
      </c>
      <c r="B458" s="1">
        <v>45128</v>
      </c>
      <c r="C458">
        <v>2023</v>
      </c>
      <c r="D458">
        <v>7</v>
      </c>
      <c r="E458" t="s">
        <v>78</v>
      </c>
      <c r="F458">
        <v>119</v>
      </c>
      <c r="G458" t="s">
        <v>602</v>
      </c>
      <c r="H458" t="s">
        <v>24</v>
      </c>
      <c r="I458">
        <v>0</v>
      </c>
      <c r="J458">
        <v>0</v>
      </c>
      <c r="K458">
        <v>6.7</v>
      </c>
      <c r="L458">
        <v>47398</v>
      </c>
      <c r="M458" t="s">
        <v>17</v>
      </c>
      <c r="N458" t="str">
        <f>IF(ISNUMBER(SEARCH("Streaming", M458)), "streaming", "cinema")</f>
        <v>streaming</v>
      </c>
      <c r="O458" t="str">
        <f>IF(I458=1, "non-original", "original")</f>
        <v>original</v>
      </c>
      <c r="P458" t="str">
        <f>IF(J458 = 1, "franchise", "non-franchise")</f>
        <v>non-franchise</v>
      </c>
      <c r="Q458" t="str">
        <f>IF(OR(I458 = 1,J458 =1), "old", "new")</f>
        <v>new</v>
      </c>
      <c r="R458">
        <f t="shared" si="14"/>
        <v>0.51489851987926183</v>
      </c>
      <c r="S458">
        <f>IF(Q458="new",1.5,1)*(K458/10)*(1-(MIN(F458,180)/180))</f>
        <v>0.3405833333333334</v>
      </c>
      <c r="T458" t="str">
        <f t="shared" si="15"/>
        <v>Scenario 4: Hybrid Logic</v>
      </c>
    </row>
    <row r="459" spans="1:20" x14ac:dyDescent="0.35">
      <c r="A459" t="s">
        <v>603</v>
      </c>
      <c r="B459" s="1">
        <v>45134</v>
      </c>
      <c r="C459">
        <v>2023</v>
      </c>
      <c r="D459">
        <v>7</v>
      </c>
      <c r="E459" t="s">
        <v>78</v>
      </c>
      <c r="F459">
        <v>103</v>
      </c>
      <c r="G459" t="s">
        <v>29</v>
      </c>
      <c r="H459" t="s">
        <v>27</v>
      </c>
      <c r="I459">
        <v>0</v>
      </c>
      <c r="J459">
        <v>0</v>
      </c>
      <c r="K459">
        <v>6.1</v>
      </c>
      <c r="L459">
        <v>22061</v>
      </c>
      <c r="M459" t="s">
        <v>17</v>
      </c>
      <c r="N459" t="str">
        <f>IF(ISNUMBER(SEARCH("Streaming", M459)), "streaming", "cinema")</f>
        <v>streaming</v>
      </c>
      <c r="O459" t="str">
        <f>IF(I459=1, "non-original", "original")</f>
        <v>original</v>
      </c>
      <c r="P459" t="str">
        <f>IF(J459 = 1, "franchise", "non-franchise")</f>
        <v>non-franchise</v>
      </c>
      <c r="Q459" t="str">
        <f>IF(OR(I459 = 1,J459 =1), "old", "new")</f>
        <v>new</v>
      </c>
      <c r="R459">
        <f t="shared" si="14"/>
        <v>0.41401114982359594</v>
      </c>
      <c r="S459">
        <f>IF(Q459="new",1.5,1)*(K459/10)*(1-(MIN(F459,180)/180))</f>
        <v>0.39141666666666669</v>
      </c>
      <c r="T459" t="str">
        <f t="shared" si="15"/>
        <v>Scenario 3: Strong Convenience</v>
      </c>
    </row>
    <row r="460" spans="1:20" x14ac:dyDescent="0.35">
      <c r="A460" t="s">
        <v>604</v>
      </c>
      <c r="B460" s="1">
        <v>45134</v>
      </c>
      <c r="C460">
        <v>2023</v>
      </c>
      <c r="D460">
        <v>7</v>
      </c>
      <c r="E460" t="s">
        <v>78</v>
      </c>
      <c r="F460">
        <v>118</v>
      </c>
      <c r="G460" t="s">
        <v>605</v>
      </c>
      <c r="H460" t="s">
        <v>24</v>
      </c>
      <c r="I460">
        <v>0</v>
      </c>
      <c r="J460">
        <v>0</v>
      </c>
      <c r="K460">
        <v>6.3</v>
      </c>
      <c r="L460">
        <v>25263</v>
      </c>
      <c r="M460" t="s">
        <v>88</v>
      </c>
      <c r="N460" t="str">
        <f>IF(ISNUMBER(SEARCH("Streaming", M460)), "streaming", "cinema")</f>
        <v>streaming</v>
      </c>
      <c r="O460" t="str">
        <f>IF(I460=1, "non-original", "original")</f>
        <v>original</v>
      </c>
      <c r="P460" t="str">
        <f>IF(J460 = 1, "franchise", "non-franchise")</f>
        <v>non-franchise</v>
      </c>
      <c r="Q460" t="str">
        <f>IF(OR(I460 = 1,J460 =1), "old", "new")</f>
        <v>new</v>
      </c>
      <c r="R460">
        <f t="shared" si="14"/>
        <v>0.48073124916975812</v>
      </c>
      <c r="S460">
        <f>IF(Q460="new",1.5,1)*(K460/10)*(1-(MIN(F460,180)/180))</f>
        <v>0.32550000000000001</v>
      </c>
      <c r="T460" t="str">
        <f t="shared" si="15"/>
        <v>Scenario 4: Hybrid Logic</v>
      </c>
    </row>
    <row r="461" spans="1:20" x14ac:dyDescent="0.35">
      <c r="A461" t="s">
        <v>606</v>
      </c>
      <c r="B461" s="1">
        <v>45134</v>
      </c>
      <c r="C461">
        <v>2023</v>
      </c>
      <c r="D461">
        <v>7</v>
      </c>
      <c r="E461" t="s">
        <v>78</v>
      </c>
      <c r="F461">
        <v>120</v>
      </c>
      <c r="G461" t="s">
        <v>73</v>
      </c>
      <c r="H461" t="s">
        <v>24</v>
      </c>
      <c r="I461">
        <v>0</v>
      </c>
      <c r="J461">
        <v>0</v>
      </c>
      <c r="K461">
        <v>6.2</v>
      </c>
      <c r="L461">
        <v>1261</v>
      </c>
      <c r="M461" t="s">
        <v>17</v>
      </c>
      <c r="N461" t="str">
        <f>IF(ISNUMBER(SEARCH("Streaming", M461)), "streaming", "cinema")</f>
        <v>streaming</v>
      </c>
      <c r="O461" t="str">
        <f>IF(I461=1, "non-original", "original")</f>
        <v>original</v>
      </c>
      <c r="P461" t="str">
        <f>IF(J461 = 1, "franchise", "non-franchise")</f>
        <v>non-franchise</v>
      </c>
      <c r="Q461" t="str">
        <f>IF(OR(I461 = 1,J461 =1), "old", "new")</f>
        <v>new</v>
      </c>
      <c r="R461">
        <f t="shared" si="14"/>
        <v>0.34432263841567978</v>
      </c>
      <c r="S461">
        <f>IF(Q461="new",1.5,1)*(K461/10)*(1-(MIN(F461,180)/180))</f>
        <v>0.31</v>
      </c>
      <c r="T461" t="str">
        <f t="shared" si="15"/>
        <v>Scenario 2: Weak Commitment/Convenience</v>
      </c>
    </row>
    <row r="462" spans="1:20" x14ac:dyDescent="0.35">
      <c r="A462" t="s">
        <v>607</v>
      </c>
      <c r="B462" s="1">
        <v>45134</v>
      </c>
      <c r="C462">
        <v>2023</v>
      </c>
      <c r="D462">
        <v>7</v>
      </c>
      <c r="E462" t="s">
        <v>78</v>
      </c>
      <c r="F462">
        <v>118</v>
      </c>
      <c r="G462" t="s">
        <v>608</v>
      </c>
      <c r="H462" t="s">
        <v>27</v>
      </c>
      <c r="I462">
        <v>0</v>
      </c>
      <c r="J462">
        <v>0</v>
      </c>
      <c r="K462">
        <v>5.9</v>
      </c>
      <c r="L462">
        <v>242</v>
      </c>
      <c r="M462" t="s">
        <v>17</v>
      </c>
      <c r="N462" t="str">
        <f>IF(ISNUMBER(SEARCH("Streaming", M462)), "streaming", "cinema")</f>
        <v>streaming</v>
      </c>
      <c r="O462" t="str">
        <f>IF(I462=1, "non-original", "original")</f>
        <v>original</v>
      </c>
      <c r="P462" t="str">
        <f>IF(J462 = 1, "franchise", "non-franchise")</f>
        <v>non-franchise</v>
      </c>
      <c r="Q462" t="str">
        <f>IF(OR(I462 = 1,J462 =1), "old", "new")</f>
        <v>new</v>
      </c>
      <c r="R462">
        <f t="shared" si="14"/>
        <v>0.26030175207006323</v>
      </c>
      <c r="S462">
        <f>IF(Q462="new",1.5,1)*(K462/10)*(1-(MIN(F462,180)/180))</f>
        <v>0.30483333333333335</v>
      </c>
      <c r="T462" t="str">
        <f t="shared" si="15"/>
        <v>Scenario 2: Weak Commitment/Convenience</v>
      </c>
    </row>
    <row r="463" spans="1:20" x14ac:dyDescent="0.35">
      <c r="A463" t="s">
        <v>609</v>
      </c>
      <c r="B463" s="1">
        <v>45135</v>
      </c>
      <c r="C463">
        <v>2023</v>
      </c>
      <c r="D463">
        <v>7</v>
      </c>
      <c r="E463" t="s">
        <v>78</v>
      </c>
      <c r="F463">
        <v>92</v>
      </c>
      <c r="G463" t="s">
        <v>21</v>
      </c>
      <c r="H463" t="s">
        <v>24</v>
      </c>
      <c r="I463">
        <v>0</v>
      </c>
      <c r="J463">
        <v>0</v>
      </c>
      <c r="K463">
        <v>4.0999999999999996</v>
      </c>
      <c r="L463">
        <v>314</v>
      </c>
      <c r="M463" t="s">
        <v>17</v>
      </c>
      <c r="N463" t="str">
        <f>IF(ISNUMBER(SEARCH("Streaming", M463)), "streaming", "cinema")</f>
        <v>streaming</v>
      </c>
      <c r="O463" t="str">
        <f>IF(I463=1, "non-original", "original")</f>
        <v>original</v>
      </c>
      <c r="P463" t="str">
        <f>IF(J463 = 1, "franchise", "non-franchise")</f>
        <v>non-franchise</v>
      </c>
      <c r="Q463" t="str">
        <f>IF(OR(I463 = 1,J463 =1), "old", "new")</f>
        <v>new</v>
      </c>
      <c r="R463">
        <f t="shared" si="14"/>
        <v>0.21257716094774914</v>
      </c>
      <c r="S463">
        <f>IF(Q463="new",1.5,1)*(K463/10)*(1-(MIN(F463,180)/180))</f>
        <v>0.30066666666666669</v>
      </c>
      <c r="T463" t="str">
        <f t="shared" si="15"/>
        <v>Scenario 2: Weak Commitment/Convenience</v>
      </c>
    </row>
    <row r="464" spans="1:20" x14ac:dyDescent="0.35">
      <c r="A464" t="s">
        <v>610</v>
      </c>
      <c r="B464" s="1">
        <v>45140</v>
      </c>
      <c r="C464">
        <v>2023</v>
      </c>
      <c r="D464">
        <v>8</v>
      </c>
      <c r="E464" t="s">
        <v>78</v>
      </c>
      <c r="F464">
        <v>98</v>
      </c>
      <c r="G464" t="s">
        <v>19</v>
      </c>
      <c r="H464" t="s">
        <v>24</v>
      </c>
      <c r="I464">
        <v>0</v>
      </c>
      <c r="J464">
        <v>0</v>
      </c>
      <c r="K464">
        <v>3.7</v>
      </c>
      <c r="L464">
        <v>1602</v>
      </c>
      <c r="M464" t="s">
        <v>17</v>
      </c>
      <c r="N464" t="str">
        <f>IF(ISNUMBER(SEARCH("Streaming", M464)), "streaming", "cinema")</f>
        <v>streaming</v>
      </c>
      <c r="O464" t="str">
        <f>IF(I464=1, "non-original", "original")</f>
        <v>original</v>
      </c>
      <c r="P464" t="str">
        <f>IF(J464 = 1, "franchise", "non-franchise")</f>
        <v>non-franchise</v>
      </c>
      <c r="Q464" t="str">
        <f>IF(OR(I464 = 1,J464 =1), "old", "new")</f>
        <v>new</v>
      </c>
      <c r="R464">
        <f t="shared" si="14"/>
        <v>0.29062357769611535</v>
      </c>
      <c r="S464">
        <f>IF(Q464="new",1.5,1)*(K464/10)*(1-(MIN(F464,180)/180))</f>
        <v>0.25283333333333335</v>
      </c>
      <c r="T464" t="str">
        <f t="shared" si="15"/>
        <v>Scenario 2: Weak Commitment/Convenience</v>
      </c>
    </row>
    <row r="465" spans="1:20" x14ac:dyDescent="0.35">
      <c r="A465" t="s">
        <v>611</v>
      </c>
      <c r="B465" s="1">
        <v>45141</v>
      </c>
      <c r="C465">
        <v>2023</v>
      </c>
      <c r="D465">
        <v>8</v>
      </c>
      <c r="E465" t="s">
        <v>78</v>
      </c>
      <c r="F465">
        <v>94</v>
      </c>
      <c r="G465" t="s">
        <v>612</v>
      </c>
      <c r="H465" t="s">
        <v>30</v>
      </c>
      <c r="I465">
        <v>0</v>
      </c>
      <c r="J465">
        <v>0</v>
      </c>
      <c r="K465">
        <v>6</v>
      </c>
      <c r="L465">
        <v>3479</v>
      </c>
      <c r="M465" t="s">
        <v>17</v>
      </c>
      <c r="N465" t="str">
        <f>IF(ISNUMBER(SEARCH("Streaming", M465)), "streaming", "cinema")</f>
        <v>streaming</v>
      </c>
      <c r="O465" t="str">
        <f>IF(I465=1, "non-original", "original")</f>
        <v>original</v>
      </c>
      <c r="P465" t="str">
        <f>IF(J465 = 1, "franchise", "non-franchise")</f>
        <v>non-franchise</v>
      </c>
      <c r="Q465" t="str">
        <f>IF(OR(I465 = 1,J465 =1), "old", "new")</f>
        <v>new</v>
      </c>
      <c r="R465">
        <f t="shared" si="14"/>
        <v>0.30805763745021969</v>
      </c>
      <c r="S465">
        <f>IF(Q465="new",1.5,1)*(K465/10)*(1-(MIN(F465,180)/180))</f>
        <v>0.42999999999999994</v>
      </c>
      <c r="T465" t="str">
        <f t="shared" si="15"/>
        <v>Scenario 3: Strong Convenience</v>
      </c>
    </row>
    <row r="466" spans="1:20" x14ac:dyDescent="0.35">
      <c r="A466" t="s">
        <v>613</v>
      </c>
      <c r="B466" s="1">
        <v>45141</v>
      </c>
      <c r="C466">
        <v>2023</v>
      </c>
      <c r="D466">
        <v>8</v>
      </c>
      <c r="E466" t="s">
        <v>78</v>
      </c>
      <c r="F466">
        <v>129</v>
      </c>
      <c r="G466" t="s">
        <v>614</v>
      </c>
      <c r="H466" t="s">
        <v>24</v>
      </c>
      <c r="I466">
        <v>1</v>
      </c>
      <c r="J466">
        <v>0</v>
      </c>
      <c r="K466">
        <v>5.5</v>
      </c>
      <c r="L466">
        <v>8090</v>
      </c>
      <c r="M466" t="s">
        <v>88</v>
      </c>
      <c r="N466" t="str">
        <f>IF(ISNUMBER(SEARCH("Streaming", M466)), "streaming", "cinema")</f>
        <v>streaming</v>
      </c>
      <c r="O466" t="str">
        <f>IF(I466=1, "non-original", "original")</f>
        <v>non-original</v>
      </c>
      <c r="P466" t="str">
        <f>IF(J466 = 1, "franchise", "non-franchise")</f>
        <v>non-franchise</v>
      </c>
      <c r="Q466" t="str">
        <f>IF(OR(I466 = 1,J466 =1), "old", "new")</f>
        <v>old</v>
      </c>
      <c r="R466">
        <f t="shared" si="14"/>
        <v>0.69976509029298595</v>
      </c>
      <c r="S466">
        <f>IF(Q466="new",1.5,1)*(K466/10)*(1-(MIN(F466,180)/180))</f>
        <v>0.15583333333333335</v>
      </c>
      <c r="T466" t="str">
        <f t="shared" si="15"/>
        <v>Scenario 1: Strong Commitment</v>
      </c>
    </row>
    <row r="467" spans="1:20" x14ac:dyDescent="0.35">
      <c r="A467" t="s">
        <v>615</v>
      </c>
      <c r="B467" s="1">
        <v>45149</v>
      </c>
      <c r="C467">
        <v>2023</v>
      </c>
      <c r="D467">
        <v>8</v>
      </c>
      <c r="E467" t="s">
        <v>78</v>
      </c>
      <c r="F467">
        <v>125</v>
      </c>
      <c r="G467" t="s">
        <v>431</v>
      </c>
      <c r="H467" t="s">
        <v>27</v>
      </c>
      <c r="I467">
        <v>0</v>
      </c>
      <c r="J467">
        <v>0</v>
      </c>
      <c r="K467">
        <v>5.7</v>
      </c>
      <c r="L467">
        <v>67906</v>
      </c>
      <c r="M467" t="s">
        <v>88</v>
      </c>
      <c r="N467" t="str">
        <f>IF(ISNUMBER(SEARCH("Streaming", M467)), "streaming", "cinema")</f>
        <v>streaming</v>
      </c>
      <c r="O467" t="str">
        <f>IF(I467=1, "non-original", "original")</f>
        <v>original</v>
      </c>
      <c r="P467" t="str">
        <f>IF(J467 = 1, "franchise", "non-franchise")</f>
        <v>non-franchise</v>
      </c>
      <c r="Q467" t="str">
        <f>IF(OR(I467 = 1,J467 =1), "old", "new")</f>
        <v>new</v>
      </c>
      <c r="R467">
        <f t="shared" si="14"/>
        <v>0.55892193280285662</v>
      </c>
      <c r="S467">
        <f>IF(Q467="new",1.5,1)*(K467/10)*(1-(MIN(F467,180)/180))</f>
        <v>0.26125000000000004</v>
      </c>
      <c r="T467" t="str">
        <f t="shared" si="15"/>
        <v>Scenario 1: Strong Commitment</v>
      </c>
    </row>
    <row r="468" spans="1:20" x14ac:dyDescent="0.35">
      <c r="A468" t="s">
        <v>616</v>
      </c>
      <c r="B468" s="1">
        <v>45156</v>
      </c>
      <c r="C468">
        <v>2023</v>
      </c>
      <c r="D468">
        <v>8</v>
      </c>
      <c r="E468" t="s">
        <v>78</v>
      </c>
      <c r="F468">
        <v>124</v>
      </c>
      <c r="G468" t="s">
        <v>34</v>
      </c>
      <c r="H468" t="s">
        <v>24</v>
      </c>
      <c r="I468">
        <v>0</v>
      </c>
      <c r="J468">
        <v>0</v>
      </c>
      <c r="K468">
        <v>6.1</v>
      </c>
      <c r="L468">
        <v>3453</v>
      </c>
      <c r="M468" t="s">
        <v>17</v>
      </c>
      <c r="N468" t="str">
        <f>IF(ISNUMBER(SEARCH("Streaming", M468)), "streaming", "cinema")</f>
        <v>streaming</v>
      </c>
      <c r="O468" t="str">
        <f>IF(I468=1, "non-original", "original")</f>
        <v>original</v>
      </c>
      <c r="P468" t="str">
        <f>IF(J468 = 1, "franchise", "non-franchise")</f>
        <v>non-franchise</v>
      </c>
      <c r="Q468" t="str">
        <f>IF(OR(I468 = 1,J468 =1), "old", "new")</f>
        <v>new</v>
      </c>
      <c r="R468">
        <f t="shared" si="14"/>
        <v>0.40600007373943031</v>
      </c>
      <c r="S468">
        <f>IF(Q468="new",1.5,1)*(K468/10)*(1-(MIN(F468,180)/180))</f>
        <v>0.28466666666666668</v>
      </c>
      <c r="T468" t="str">
        <f t="shared" si="15"/>
        <v>Scenario 2: Weak Commitment/Convenience</v>
      </c>
    </row>
    <row r="469" spans="1:20" x14ac:dyDescent="0.35">
      <c r="A469" t="s">
        <v>617</v>
      </c>
      <c r="B469" s="1">
        <v>45156</v>
      </c>
      <c r="C469">
        <v>2023</v>
      </c>
      <c r="D469">
        <v>8</v>
      </c>
      <c r="E469" t="s">
        <v>78</v>
      </c>
      <c r="F469">
        <v>96</v>
      </c>
      <c r="G469" t="s">
        <v>618</v>
      </c>
      <c r="H469" t="s">
        <v>56</v>
      </c>
      <c r="I469">
        <v>0</v>
      </c>
      <c r="J469">
        <v>0</v>
      </c>
      <c r="K469">
        <v>5.8</v>
      </c>
      <c r="L469">
        <v>7820</v>
      </c>
      <c r="M469" t="s">
        <v>17</v>
      </c>
      <c r="N469" t="str">
        <f>IF(ISNUMBER(SEARCH("Streaming", M469)), "streaming", "cinema")</f>
        <v>streaming</v>
      </c>
      <c r="O469" t="str">
        <f>IF(I469=1, "non-original", "original")</f>
        <v>original</v>
      </c>
      <c r="P469" t="str">
        <f>IF(J469 = 1, "franchise", "non-franchise")</f>
        <v>non-franchise</v>
      </c>
      <c r="Q469" t="str">
        <f>IF(OR(I469 = 1,J469 =1), "old", "new")</f>
        <v>new</v>
      </c>
      <c r="R469">
        <f t="shared" si="14"/>
        <v>0.34586066341047905</v>
      </c>
      <c r="S469">
        <f>IF(Q469="new",1.5,1)*(K469/10)*(1-(MIN(F469,180)/180))</f>
        <v>0.40599999999999997</v>
      </c>
      <c r="T469" t="str">
        <f t="shared" si="15"/>
        <v>Scenario 3: Strong Convenience</v>
      </c>
    </row>
    <row r="470" spans="1:20" x14ac:dyDescent="0.35">
      <c r="A470" t="s">
        <v>619</v>
      </c>
      <c r="B470" s="1">
        <v>45161</v>
      </c>
      <c r="C470">
        <v>2023</v>
      </c>
      <c r="D470">
        <v>8</v>
      </c>
      <c r="E470" t="s">
        <v>78</v>
      </c>
      <c r="F470">
        <v>102</v>
      </c>
      <c r="G470" t="s">
        <v>29</v>
      </c>
      <c r="H470" t="s">
        <v>27</v>
      </c>
      <c r="I470">
        <v>0</v>
      </c>
      <c r="J470">
        <v>0</v>
      </c>
      <c r="K470">
        <v>4.5</v>
      </c>
      <c r="L470">
        <v>439</v>
      </c>
      <c r="M470" t="s">
        <v>17</v>
      </c>
      <c r="N470" t="str">
        <f>IF(ISNUMBER(SEARCH("Streaming", M470)), "streaming", "cinema")</f>
        <v>streaming</v>
      </c>
      <c r="O470" t="str">
        <f>IF(I470=1, "non-original", "original")</f>
        <v>original</v>
      </c>
      <c r="P470" t="str">
        <f>IF(J470 = 1, "franchise", "non-franchise")</f>
        <v>non-franchise</v>
      </c>
      <c r="Q470" t="str">
        <f>IF(OR(I470 = 1,J470 =1), "old", "new")</f>
        <v>new</v>
      </c>
      <c r="R470">
        <f t="shared" si="14"/>
        <v>0.2494203048674476</v>
      </c>
      <c r="S470">
        <f>IF(Q470="new",1.5,1)*(K470/10)*(1-(MIN(F470,180)/180))</f>
        <v>0.29250000000000004</v>
      </c>
      <c r="T470" t="str">
        <f t="shared" si="15"/>
        <v>Scenario 2: Weak Commitment/Convenience</v>
      </c>
    </row>
    <row r="471" spans="1:20" x14ac:dyDescent="0.35">
      <c r="A471" t="s">
        <v>620</v>
      </c>
      <c r="B471" s="1">
        <v>45163</v>
      </c>
      <c r="C471">
        <v>2023</v>
      </c>
      <c r="D471">
        <v>8</v>
      </c>
      <c r="E471" t="s">
        <v>78</v>
      </c>
      <c r="F471">
        <v>89</v>
      </c>
      <c r="G471" t="s">
        <v>304</v>
      </c>
      <c r="H471" t="s">
        <v>24</v>
      </c>
      <c r="I471">
        <v>0</v>
      </c>
      <c r="J471">
        <v>0</v>
      </c>
      <c r="K471">
        <v>4.5999999999999996</v>
      </c>
      <c r="L471">
        <v>5853</v>
      </c>
      <c r="M471" t="s">
        <v>17</v>
      </c>
      <c r="N471" t="str">
        <f>IF(ISNUMBER(SEARCH("Streaming", M471)), "streaming", "cinema")</f>
        <v>streaming</v>
      </c>
      <c r="O471" t="str">
        <f>IF(I471=1, "non-original", "original")</f>
        <v>original</v>
      </c>
      <c r="P471" t="str">
        <f>IF(J471 = 1, "franchise", "non-franchise")</f>
        <v>non-franchise</v>
      </c>
      <c r="Q471" t="str">
        <f>IF(OR(I471 = 1,J471 =1), "old", "new")</f>
        <v>new</v>
      </c>
      <c r="R471">
        <f t="shared" si="14"/>
        <v>0.31027853592713012</v>
      </c>
      <c r="S471">
        <f>IF(Q471="new",1.5,1)*(K471/10)*(1-(MIN(F471,180)/180))</f>
        <v>0.34883333333333327</v>
      </c>
      <c r="T471" t="str">
        <f t="shared" si="15"/>
        <v>Scenario 3: Strong Convenience</v>
      </c>
    </row>
    <row r="472" spans="1:20" x14ac:dyDescent="0.35">
      <c r="A472" t="s">
        <v>621</v>
      </c>
      <c r="B472" s="1">
        <v>45163</v>
      </c>
      <c r="C472">
        <v>2023</v>
      </c>
      <c r="D472">
        <v>8</v>
      </c>
      <c r="E472" t="s">
        <v>78</v>
      </c>
      <c r="F472">
        <v>103</v>
      </c>
      <c r="G472" t="s">
        <v>448</v>
      </c>
      <c r="H472" t="s">
        <v>27</v>
      </c>
      <c r="I472">
        <v>0</v>
      </c>
      <c r="J472">
        <v>0</v>
      </c>
      <c r="K472">
        <v>5.9</v>
      </c>
      <c r="L472">
        <v>27751</v>
      </c>
      <c r="M472" t="s">
        <v>88</v>
      </c>
      <c r="N472" t="str">
        <f>IF(ISNUMBER(SEARCH("Streaming", M472)), "streaming", "cinema")</f>
        <v>streaming</v>
      </c>
      <c r="O472" t="str">
        <f>IF(I472=1, "non-original", "original")</f>
        <v>original</v>
      </c>
      <c r="P472" t="str">
        <f>IF(J472 = 1, "franchise", "non-franchise")</f>
        <v>non-franchise</v>
      </c>
      <c r="Q472" t="str">
        <f>IF(OR(I472 = 1,J472 =1), "old", "new")</f>
        <v>new</v>
      </c>
      <c r="R472">
        <f t="shared" si="14"/>
        <v>0.4235095836410766</v>
      </c>
      <c r="S472">
        <f>IF(Q472="new",1.5,1)*(K472/10)*(1-(MIN(F472,180)/180))</f>
        <v>0.37858333333333344</v>
      </c>
      <c r="T472" t="str">
        <f t="shared" si="15"/>
        <v>Scenario 3: Strong Convenience</v>
      </c>
    </row>
    <row r="473" spans="1:20" x14ac:dyDescent="0.35">
      <c r="A473" t="s">
        <v>622</v>
      </c>
      <c r="B473" s="1">
        <v>45168</v>
      </c>
      <c r="C473">
        <v>2023</v>
      </c>
      <c r="D473">
        <v>8</v>
      </c>
      <c r="E473" t="s">
        <v>78</v>
      </c>
      <c r="F473">
        <v>95</v>
      </c>
      <c r="G473" t="s">
        <v>21</v>
      </c>
      <c r="H473" t="s">
        <v>24</v>
      </c>
      <c r="I473">
        <v>0</v>
      </c>
      <c r="J473">
        <v>0</v>
      </c>
      <c r="K473">
        <v>6.5</v>
      </c>
      <c r="L473">
        <v>1826</v>
      </c>
      <c r="M473" t="s">
        <v>88</v>
      </c>
      <c r="N473" t="str">
        <f>IF(ISNUMBER(SEARCH("Streaming", M473)), "streaming", "cinema")</f>
        <v>streaming</v>
      </c>
      <c r="O473" t="str">
        <f>IF(I473=1, "non-original", "original")</f>
        <v>original</v>
      </c>
      <c r="P473" t="str">
        <f>IF(J473 = 1, "franchise", "non-franchise")</f>
        <v>non-franchise</v>
      </c>
      <c r="Q473" t="str">
        <f>IF(OR(I473 = 1,J473 =1), "old", "new")</f>
        <v>new</v>
      </c>
      <c r="R473">
        <f t="shared" si="14"/>
        <v>0.28672367880317606</v>
      </c>
      <c r="S473">
        <f>IF(Q473="new",1.5,1)*(K473/10)*(1-(MIN(F473,180)/180))</f>
        <v>0.4604166666666667</v>
      </c>
      <c r="T473" t="str">
        <f t="shared" si="15"/>
        <v>Scenario 3: Strong Convenience</v>
      </c>
    </row>
    <row r="474" spans="1:20" x14ac:dyDescent="0.35">
      <c r="A474" t="s">
        <v>623</v>
      </c>
      <c r="B474" s="1">
        <v>45170</v>
      </c>
      <c r="C474">
        <v>2023</v>
      </c>
      <c r="D474">
        <v>9</v>
      </c>
      <c r="E474" t="s">
        <v>125</v>
      </c>
      <c r="F474">
        <v>95</v>
      </c>
      <c r="G474" t="s">
        <v>19</v>
      </c>
      <c r="H474" t="s">
        <v>24</v>
      </c>
      <c r="I474">
        <v>0</v>
      </c>
      <c r="J474">
        <v>0</v>
      </c>
      <c r="K474">
        <v>5.8</v>
      </c>
      <c r="L474">
        <v>3574</v>
      </c>
      <c r="M474" t="s">
        <v>17</v>
      </c>
      <c r="N474" t="str">
        <f>IF(ISNUMBER(SEARCH("Streaming", M474)), "streaming", "cinema")</f>
        <v>streaming</v>
      </c>
      <c r="O474" t="str">
        <f>IF(I474=1, "non-original", "original")</f>
        <v>original</v>
      </c>
      <c r="P474" t="str">
        <f>IF(J474 = 1, "franchise", "non-franchise")</f>
        <v>non-franchise</v>
      </c>
      <c r="Q474" t="str">
        <f>IF(OR(I474 = 1,J474 =1), "old", "new")</f>
        <v>new</v>
      </c>
      <c r="R474">
        <f t="shared" si="14"/>
        <v>0.31236342231751368</v>
      </c>
      <c r="S474">
        <f>IF(Q474="new",1.5,1)*(K474/10)*(1-(MIN(F474,180)/180))</f>
        <v>0.41083333333333327</v>
      </c>
      <c r="T474" t="str">
        <f t="shared" si="15"/>
        <v>Scenario 3: Strong Convenience</v>
      </c>
    </row>
    <row r="475" spans="1:20" x14ac:dyDescent="0.35">
      <c r="A475" t="s">
        <v>624</v>
      </c>
      <c r="B475" s="1">
        <v>45170</v>
      </c>
      <c r="C475">
        <v>2023</v>
      </c>
      <c r="D475">
        <v>9</v>
      </c>
      <c r="E475" t="s">
        <v>125</v>
      </c>
      <c r="F475">
        <v>108</v>
      </c>
      <c r="G475" t="s">
        <v>448</v>
      </c>
      <c r="H475" t="s">
        <v>24</v>
      </c>
      <c r="I475">
        <v>0</v>
      </c>
      <c r="J475">
        <v>0</v>
      </c>
      <c r="K475">
        <v>6.6</v>
      </c>
      <c r="L475">
        <v>2116</v>
      </c>
      <c r="M475" t="s">
        <v>17</v>
      </c>
      <c r="N475" t="str">
        <f>IF(ISNUMBER(SEARCH("Streaming", M475)), "streaming", "cinema")</f>
        <v>streaming</v>
      </c>
      <c r="O475" t="str">
        <f>IF(I475=1, "non-original", "original")</f>
        <v>original</v>
      </c>
      <c r="P475" t="str">
        <f>IF(J475 = 1, "franchise", "non-franchise")</f>
        <v>non-franchise</v>
      </c>
      <c r="Q475" t="str">
        <f>IF(OR(I475 = 1,J475 =1), "old", "new")</f>
        <v>new</v>
      </c>
      <c r="R475">
        <f t="shared" si="14"/>
        <v>0.3323573001061001</v>
      </c>
      <c r="S475">
        <f>IF(Q475="new",1.5,1)*(K475/10)*(1-(MIN(F475,180)/180))</f>
        <v>0.39599999999999996</v>
      </c>
      <c r="T475" t="str">
        <f t="shared" si="15"/>
        <v>Scenario 3: Strong Convenience</v>
      </c>
    </row>
    <row r="476" spans="1:20" x14ac:dyDescent="0.35">
      <c r="A476" t="s">
        <v>625</v>
      </c>
      <c r="B476" s="1">
        <v>45170</v>
      </c>
      <c r="C476">
        <v>2023</v>
      </c>
      <c r="D476">
        <v>9</v>
      </c>
      <c r="E476" t="s">
        <v>125</v>
      </c>
      <c r="F476">
        <v>93</v>
      </c>
      <c r="G476" t="s">
        <v>21</v>
      </c>
      <c r="H476" t="s">
        <v>24</v>
      </c>
      <c r="I476">
        <v>0</v>
      </c>
      <c r="J476">
        <v>0</v>
      </c>
      <c r="K476">
        <v>5.4</v>
      </c>
      <c r="L476">
        <v>2370</v>
      </c>
      <c r="M476" t="s">
        <v>17</v>
      </c>
      <c r="N476" t="str">
        <f>IF(ISNUMBER(SEARCH("Streaming", M476)), "streaming", "cinema")</f>
        <v>streaming</v>
      </c>
      <c r="O476" t="str">
        <f>IF(I476=1, "non-original", "original")</f>
        <v>original</v>
      </c>
      <c r="P476" t="str">
        <f>IF(J476 = 1, "franchise", "non-franchise")</f>
        <v>non-franchise</v>
      </c>
      <c r="Q476" t="str">
        <f>IF(OR(I476 = 1,J476 =1), "old", "new")</f>
        <v>new</v>
      </c>
      <c r="R476">
        <f t="shared" si="14"/>
        <v>0.29043356841367646</v>
      </c>
      <c r="S476">
        <f>IF(Q476="new",1.5,1)*(K476/10)*(1-(MIN(F476,180)/180))</f>
        <v>0.39149999999999996</v>
      </c>
      <c r="T476" t="str">
        <f t="shared" si="15"/>
        <v>Scenario 3: Strong Convenience</v>
      </c>
    </row>
    <row r="477" spans="1:20" x14ac:dyDescent="0.35">
      <c r="A477" t="s">
        <v>626</v>
      </c>
      <c r="B477" s="1">
        <v>45182</v>
      </c>
      <c r="C477">
        <v>2023</v>
      </c>
      <c r="D477">
        <v>9</v>
      </c>
      <c r="E477" t="s">
        <v>125</v>
      </c>
      <c r="F477">
        <v>88</v>
      </c>
      <c r="G477" t="s">
        <v>19</v>
      </c>
      <c r="H477" t="s">
        <v>30</v>
      </c>
      <c r="I477">
        <v>0</v>
      </c>
      <c r="J477">
        <v>0</v>
      </c>
      <c r="K477">
        <v>4.8</v>
      </c>
      <c r="L477">
        <v>1469</v>
      </c>
      <c r="M477" t="s">
        <v>17</v>
      </c>
      <c r="N477" t="str">
        <f>IF(ISNUMBER(SEARCH("Streaming", M477)), "streaming", "cinema")</f>
        <v>streaming</v>
      </c>
      <c r="O477" t="str">
        <f>IF(I477=1, "non-original", "original")</f>
        <v>original</v>
      </c>
      <c r="P477" t="str">
        <f>IF(J477 = 1, "franchise", "non-franchise")</f>
        <v>non-franchise</v>
      </c>
      <c r="Q477" t="str">
        <f>IF(OR(I477 = 1,J477 =1), "old", "new")</f>
        <v>new</v>
      </c>
      <c r="R477">
        <f t="shared" si="14"/>
        <v>0.25790288094196367</v>
      </c>
      <c r="S477">
        <f>IF(Q477="new",1.5,1)*(K477/10)*(1-(MIN(F477,180)/180))</f>
        <v>0.36799999999999994</v>
      </c>
      <c r="T477" t="str">
        <f t="shared" si="15"/>
        <v>Scenario 3: Strong Convenience</v>
      </c>
    </row>
    <row r="478" spans="1:20" x14ac:dyDescent="0.35">
      <c r="A478" t="s">
        <v>627</v>
      </c>
      <c r="B478" s="1">
        <v>45183</v>
      </c>
      <c r="C478">
        <v>2023</v>
      </c>
      <c r="D478">
        <v>9</v>
      </c>
      <c r="E478" t="s">
        <v>125</v>
      </c>
      <c r="F478">
        <v>94</v>
      </c>
      <c r="G478" t="s">
        <v>29</v>
      </c>
      <c r="H478" t="s">
        <v>24</v>
      </c>
      <c r="I478">
        <v>0</v>
      </c>
      <c r="J478">
        <v>0</v>
      </c>
      <c r="K478">
        <v>5.8</v>
      </c>
      <c r="L478">
        <v>3458</v>
      </c>
      <c r="M478" t="s">
        <v>17</v>
      </c>
      <c r="N478" t="str">
        <f>IF(ISNUMBER(SEARCH("Streaming", M478)), "streaming", "cinema")</f>
        <v>streaming</v>
      </c>
      <c r="O478" t="str">
        <f>IF(I478=1, "non-original", "original")</f>
        <v>original</v>
      </c>
      <c r="P478" t="str">
        <f>IF(J478 = 1, "franchise", "non-franchise")</f>
        <v>non-franchise</v>
      </c>
      <c r="Q478" t="str">
        <f>IF(OR(I478 = 1,J478 =1), "old", "new")</f>
        <v>new</v>
      </c>
      <c r="R478">
        <f t="shared" si="14"/>
        <v>0.30782891249218719</v>
      </c>
      <c r="S478">
        <f>IF(Q478="new",1.5,1)*(K478/10)*(1-(MIN(F478,180)/180))</f>
        <v>0.41566666666666657</v>
      </c>
      <c r="T478" t="str">
        <f t="shared" si="15"/>
        <v>Scenario 3: Strong Convenience</v>
      </c>
    </row>
    <row r="479" spans="1:20" x14ac:dyDescent="0.35">
      <c r="A479" t="s">
        <v>628</v>
      </c>
      <c r="B479" s="1">
        <v>45183</v>
      </c>
      <c r="C479">
        <v>2023</v>
      </c>
      <c r="D479">
        <v>9</v>
      </c>
      <c r="E479" t="s">
        <v>125</v>
      </c>
      <c r="F479">
        <v>107</v>
      </c>
      <c r="G479" t="s">
        <v>343</v>
      </c>
      <c r="H479" t="s">
        <v>56</v>
      </c>
      <c r="I479">
        <v>0</v>
      </c>
      <c r="J479">
        <v>0</v>
      </c>
      <c r="K479">
        <v>5.3</v>
      </c>
      <c r="L479">
        <v>2395</v>
      </c>
      <c r="M479" t="s">
        <v>17</v>
      </c>
      <c r="N479" t="str">
        <f>IF(ISNUMBER(SEARCH("Streaming", M479)), "streaming", "cinema")</f>
        <v>streaming</v>
      </c>
      <c r="O479" t="str">
        <f>IF(I479=1, "non-original", "original")</f>
        <v>original</v>
      </c>
      <c r="P479" t="str">
        <f>IF(J479 = 1, "franchise", "non-franchise")</f>
        <v>non-franchise</v>
      </c>
      <c r="Q479" t="str">
        <f>IF(OR(I479 = 1,J479 =1), "old", "new")</f>
        <v>new</v>
      </c>
      <c r="R479">
        <f t="shared" si="14"/>
        <v>0.33460598457533663</v>
      </c>
      <c r="S479">
        <f>IF(Q479="new",1.5,1)*(K479/10)*(1-(MIN(F479,180)/180))</f>
        <v>0.32241666666666668</v>
      </c>
      <c r="T479" t="str">
        <f t="shared" si="15"/>
        <v>Scenario 3: Strong Convenience</v>
      </c>
    </row>
    <row r="480" spans="1:20" x14ac:dyDescent="0.35">
      <c r="A480" t="s">
        <v>629</v>
      </c>
      <c r="B480" s="1">
        <v>45184</v>
      </c>
      <c r="C480">
        <v>2023</v>
      </c>
      <c r="D480">
        <v>9</v>
      </c>
      <c r="E480" t="s">
        <v>125</v>
      </c>
      <c r="F480">
        <v>111</v>
      </c>
      <c r="G480" t="s">
        <v>73</v>
      </c>
      <c r="H480" t="s">
        <v>24</v>
      </c>
      <c r="I480">
        <v>0</v>
      </c>
      <c r="J480">
        <v>0</v>
      </c>
      <c r="K480">
        <v>6.3</v>
      </c>
      <c r="L480">
        <v>16214</v>
      </c>
      <c r="M480" t="s">
        <v>17</v>
      </c>
      <c r="N480" t="str">
        <f>IF(ISNUMBER(SEARCH("Streaming", M480)), "streaming", "cinema")</f>
        <v>streaming</v>
      </c>
      <c r="O480" t="str">
        <f>IF(I480=1, "non-original", "original")</f>
        <v>original</v>
      </c>
      <c r="P480" t="str">
        <f>IF(J480 = 1, "franchise", "non-franchise")</f>
        <v>non-franchise</v>
      </c>
      <c r="Q480" t="str">
        <f>IF(OR(I480 = 1,J480 =1), "old", "new")</f>
        <v>new</v>
      </c>
      <c r="R480">
        <f t="shared" si="14"/>
        <v>0.43243039625044161</v>
      </c>
      <c r="S480">
        <f>IF(Q480="new",1.5,1)*(K480/10)*(1-(MIN(F480,180)/180))</f>
        <v>0.36225000000000002</v>
      </c>
      <c r="T480" t="str">
        <f t="shared" si="15"/>
        <v>Scenario 3: Strong Convenience</v>
      </c>
    </row>
    <row r="481" spans="1:20" x14ac:dyDescent="0.35">
      <c r="A481" t="s">
        <v>630</v>
      </c>
      <c r="B481" s="1">
        <v>45184</v>
      </c>
      <c r="C481">
        <v>2023</v>
      </c>
      <c r="D481">
        <v>9</v>
      </c>
      <c r="E481" t="s">
        <v>125</v>
      </c>
      <c r="F481">
        <v>91</v>
      </c>
      <c r="G481" t="s">
        <v>269</v>
      </c>
      <c r="H481" t="s">
        <v>27</v>
      </c>
      <c r="I481">
        <v>0</v>
      </c>
      <c r="J481">
        <v>0</v>
      </c>
      <c r="K481">
        <v>6.8</v>
      </c>
      <c r="L481">
        <v>42211</v>
      </c>
      <c r="M481" t="s">
        <v>17</v>
      </c>
      <c r="N481" t="str">
        <f>IF(ISNUMBER(SEARCH("Streaming", M481)), "streaming", "cinema")</f>
        <v>streaming</v>
      </c>
      <c r="O481" t="str">
        <f>IF(I481=1, "non-original", "original")</f>
        <v>original</v>
      </c>
      <c r="P481" t="str">
        <f>IF(J481 = 1, "franchise", "non-franchise")</f>
        <v>non-franchise</v>
      </c>
      <c r="Q481" t="str">
        <f>IF(OR(I481 = 1,J481 =1), "old", "new")</f>
        <v>new</v>
      </c>
      <c r="R481">
        <f t="shared" si="14"/>
        <v>0.38950726729511859</v>
      </c>
      <c r="S481">
        <f>IF(Q481="new",1.5,1)*(K481/10)*(1-(MIN(F481,180)/180))</f>
        <v>0.50433333333333341</v>
      </c>
      <c r="T481" t="str">
        <f t="shared" si="15"/>
        <v>Scenario 3: Strong Convenience</v>
      </c>
    </row>
    <row r="482" spans="1:20" x14ac:dyDescent="0.35">
      <c r="A482" t="s">
        <v>631</v>
      </c>
      <c r="B482" s="1">
        <v>45184</v>
      </c>
      <c r="C482">
        <v>2023</v>
      </c>
      <c r="D482">
        <v>9</v>
      </c>
      <c r="E482" t="s">
        <v>125</v>
      </c>
      <c r="F482">
        <v>103</v>
      </c>
      <c r="G482" t="s">
        <v>632</v>
      </c>
      <c r="H482" t="s">
        <v>24</v>
      </c>
      <c r="I482">
        <v>0</v>
      </c>
      <c r="J482">
        <v>0</v>
      </c>
      <c r="K482">
        <v>5.3</v>
      </c>
      <c r="L482">
        <v>11259</v>
      </c>
      <c r="M482" t="s">
        <v>88</v>
      </c>
      <c r="N482" t="str">
        <f>IF(ISNUMBER(SEARCH("Streaming", M482)), "streaming", "cinema")</f>
        <v>streaming</v>
      </c>
      <c r="O482" t="str">
        <f>IF(I482=1, "non-original", "original")</f>
        <v>original</v>
      </c>
      <c r="P482" t="str">
        <f>IF(J482 = 1, "franchise", "non-franchise")</f>
        <v>non-franchise</v>
      </c>
      <c r="Q482" t="str">
        <f>IF(OR(I482 = 1,J482 =1), "old", "new")</f>
        <v>new</v>
      </c>
      <c r="R482">
        <f t="shared" si="14"/>
        <v>0.38616731957100631</v>
      </c>
      <c r="S482">
        <f>IF(Q482="new",1.5,1)*(K482/10)*(1-(MIN(F482,180)/180))</f>
        <v>0.3400833333333334</v>
      </c>
      <c r="T482" t="str">
        <f t="shared" si="15"/>
        <v>Scenario 3: Strong Convenience</v>
      </c>
    </row>
    <row r="483" spans="1:20" x14ac:dyDescent="0.35">
      <c r="A483" t="s">
        <v>633</v>
      </c>
      <c r="B483" s="1">
        <v>45190</v>
      </c>
      <c r="C483">
        <v>2023</v>
      </c>
      <c r="D483">
        <v>9</v>
      </c>
      <c r="E483" t="s">
        <v>125</v>
      </c>
      <c r="F483">
        <v>139</v>
      </c>
      <c r="G483" t="s">
        <v>19</v>
      </c>
      <c r="H483" t="s">
        <v>24</v>
      </c>
      <c r="I483">
        <v>0</v>
      </c>
      <c r="J483">
        <v>0</v>
      </c>
      <c r="K483">
        <v>7</v>
      </c>
      <c r="L483">
        <v>16721</v>
      </c>
      <c r="M483" t="s">
        <v>17</v>
      </c>
      <c r="N483" t="str">
        <f>IF(ISNUMBER(SEARCH("Streaming", M483)), "streaming", "cinema")</f>
        <v>streaming</v>
      </c>
      <c r="O483" t="str">
        <f>IF(I483=1, "non-original", "original")</f>
        <v>original</v>
      </c>
      <c r="P483" t="str">
        <f>IF(J483 = 1, "franchise", "non-franchise")</f>
        <v>non-franchise</v>
      </c>
      <c r="Q483" t="str">
        <f>IF(OR(I483 = 1,J483 =1), "old", "new")</f>
        <v>new</v>
      </c>
      <c r="R483">
        <f t="shared" si="14"/>
        <v>0.54323196826147979</v>
      </c>
      <c r="S483">
        <f>IF(Q483="new",1.5,1)*(K483/10)*(1-(MIN(F483,180)/180))</f>
        <v>0.23916666666666658</v>
      </c>
      <c r="T483" t="str">
        <f t="shared" si="15"/>
        <v>Scenario 1: Strong Commitment</v>
      </c>
    </row>
    <row r="484" spans="1:20" x14ac:dyDescent="0.35">
      <c r="A484" t="s">
        <v>634</v>
      </c>
      <c r="B484" s="1">
        <v>45191</v>
      </c>
      <c r="C484">
        <v>2023</v>
      </c>
      <c r="D484">
        <v>9</v>
      </c>
      <c r="E484" t="s">
        <v>125</v>
      </c>
      <c r="F484">
        <v>97</v>
      </c>
      <c r="G484" t="s">
        <v>635</v>
      </c>
      <c r="H484" t="s">
        <v>56</v>
      </c>
      <c r="I484">
        <v>0</v>
      </c>
      <c r="J484">
        <v>0</v>
      </c>
      <c r="K484">
        <v>4.3</v>
      </c>
      <c r="L484">
        <v>4428</v>
      </c>
      <c r="M484" t="s">
        <v>17</v>
      </c>
      <c r="N484" t="str">
        <f>IF(ISNUMBER(SEARCH("Streaming", M484)), "streaming", "cinema")</f>
        <v>streaming</v>
      </c>
      <c r="O484" t="str">
        <f>IF(I484=1, "non-original", "original")</f>
        <v>original</v>
      </c>
      <c r="P484" t="str">
        <f>IF(J484 = 1, "franchise", "non-franchise")</f>
        <v>non-franchise</v>
      </c>
      <c r="Q484" t="str">
        <f>IF(OR(I484 = 1,J484 =1), "old", "new")</f>
        <v>new</v>
      </c>
      <c r="R484">
        <f t="shared" si="14"/>
        <v>0.32729215586494376</v>
      </c>
      <c r="S484">
        <f>IF(Q484="new",1.5,1)*(K484/10)*(1-(MIN(F484,180)/180))</f>
        <v>0.29741666666666672</v>
      </c>
      <c r="T484" t="str">
        <f t="shared" si="15"/>
        <v>Scenario 2: Weak Commitment/Convenience</v>
      </c>
    </row>
    <row r="485" spans="1:20" x14ac:dyDescent="0.35">
      <c r="A485" t="s">
        <v>636</v>
      </c>
      <c r="B485" s="1">
        <v>45191</v>
      </c>
      <c r="C485">
        <v>2023</v>
      </c>
      <c r="D485">
        <v>9</v>
      </c>
      <c r="E485" t="s">
        <v>125</v>
      </c>
      <c r="F485">
        <v>124</v>
      </c>
      <c r="G485" t="s">
        <v>19</v>
      </c>
      <c r="H485" t="s">
        <v>24</v>
      </c>
      <c r="I485">
        <v>0</v>
      </c>
      <c r="J485">
        <v>0</v>
      </c>
      <c r="K485">
        <v>5.3</v>
      </c>
      <c r="L485">
        <v>1514</v>
      </c>
      <c r="M485" t="s">
        <v>17</v>
      </c>
      <c r="N485" t="str">
        <f>IF(ISNUMBER(SEARCH("Streaming", M485)), "streaming", "cinema")</f>
        <v>streaming</v>
      </c>
      <c r="O485" t="str">
        <f>IF(I485=1, "non-original", "original")</f>
        <v>original</v>
      </c>
      <c r="P485" t="str">
        <f>IF(J485 = 1, "franchise", "non-franchise")</f>
        <v>non-franchise</v>
      </c>
      <c r="Q485" t="str">
        <f>IF(OR(I485 = 1,J485 =1), "old", "new")</f>
        <v>new</v>
      </c>
      <c r="R485">
        <f t="shared" si="14"/>
        <v>0.36491226850362868</v>
      </c>
      <c r="S485">
        <f>IF(Q485="new",1.5,1)*(K485/10)*(1-(MIN(F485,180)/180))</f>
        <v>0.24733333333333335</v>
      </c>
      <c r="T485" t="str">
        <f t="shared" si="15"/>
        <v>Scenario 2: Weak Commitment/Convenience</v>
      </c>
    </row>
    <row r="486" spans="1:20" x14ac:dyDescent="0.35">
      <c r="A486" t="s">
        <v>637</v>
      </c>
      <c r="B486" s="1">
        <v>45196</v>
      </c>
      <c r="C486">
        <v>2023</v>
      </c>
      <c r="D486">
        <v>9</v>
      </c>
      <c r="E486" t="s">
        <v>125</v>
      </c>
      <c r="F486">
        <v>140</v>
      </c>
      <c r="G486" t="s">
        <v>34</v>
      </c>
      <c r="H486" t="s">
        <v>27</v>
      </c>
      <c r="I486">
        <v>0</v>
      </c>
      <c r="J486">
        <v>0</v>
      </c>
      <c r="K486">
        <v>7.5</v>
      </c>
      <c r="L486">
        <v>13667</v>
      </c>
      <c r="M486" t="s">
        <v>88</v>
      </c>
      <c r="N486" t="str">
        <f>IF(ISNUMBER(SEARCH("Streaming", M486)), "streaming", "cinema")</f>
        <v>streaming</v>
      </c>
      <c r="O486" t="str">
        <f>IF(I486=1, "non-original", "original")</f>
        <v>original</v>
      </c>
      <c r="P486" t="str">
        <f>IF(J486 = 1, "franchise", "non-franchise")</f>
        <v>non-franchise</v>
      </c>
      <c r="Q486" t="str">
        <f>IF(OR(I486 = 1,J486 =1), "old", "new")</f>
        <v>new</v>
      </c>
      <c r="R486">
        <f t="shared" si="14"/>
        <v>0.53579260821997177</v>
      </c>
      <c r="S486">
        <f>IF(Q486="new",1.5,1)*(K486/10)*(1-(MIN(F486,180)/180))</f>
        <v>0.25</v>
      </c>
      <c r="T486" t="str">
        <f t="shared" si="15"/>
        <v>Scenario 1: Strong Commitment</v>
      </c>
    </row>
    <row r="487" spans="1:20" x14ac:dyDescent="0.35">
      <c r="A487" t="s">
        <v>638</v>
      </c>
      <c r="B487" s="1">
        <v>45196</v>
      </c>
      <c r="C487">
        <v>2023</v>
      </c>
      <c r="D487">
        <v>9</v>
      </c>
      <c r="E487" t="s">
        <v>125</v>
      </c>
      <c r="F487">
        <v>98</v>
      </c>
      <c r="G487" t="s">
        <v>411</v>
      </c>
      <c r="H487" t="s">
        <v>24</v>
      </c>
      <c r="I487">
        <v>0</v>
      </c>
      <c r="J487">
        <v>0</v>
      </c>
      <c r="K487">
        <v>4.9000000000000004</v>
      </c>
      <c r="L487">
        <v>978</v>
      </c>
      <c r="M487" t="s">
        <v>17</v>
      </c>
      <c r="N487" t="str">
        <f>IF(ISNUMBER(SEARCH("Streaming", M487)), "streaming", "cinema")</f>
        <v>streaming</v>
      </c>
      <c r="O487" t="str">
        <f>IF(I487=1, "non-original", "original")</f>
        <v>original</v>
      </c>
      <c r="P487" t="str">
        <f>IF(J487 = 1, "franchise", "non-franchise")</f>
        <v>non-franchise</v>
      </c>
      <c r="Q487" t="str">
        <f>IF(OR(I487 = 1,J487 =1), "old", "new")</f>
        <v>new</v>
      </c>
      <c r="R487">
        <f t="shared" si="14"/>
        <v>0.27118705115315961</v>
      </c>
      <c r="S487">
        <f>IF(Q487="new",1.5,1)*(K487/10)*(1-(MIN(F487,180)/180))</f>
        <v>0.33483333333333343</v>
      </c>
      <c r="T487" t="str">
        <f t="shared" si="15"/>
        <v>Scenario 3: Strong Convenience</v>
      </c>
    </row>
    <row r="488" spans="1:20" x14ac:dyDescent="0.35">
      <c r="A488" t="s">
        <v>639</v>
      </c>
      <c r="B488" s="1">
        <v>45196</v>
      </c>
      <c r="C488">
        <v>2023</v>
      </c>
      <c r="D488">
        <v>9</v>
      </c>
      <c r="E488" t="s">
        <v>125</v>
      </c>
      <c r="F488">
        <v>98</v>
      </c>
      <c r="G488" t="s">
        <v>34</v>
      </c>
      <c r="H488" t="s">
        <v>24</v>
      </c>
      <c r="I488">
        <v>0</v>
      </c>
      <c r="J488">
        <v>0</v>
      </c>
      <c r="K488">
        <v>5.3</v>
      </c>
      <c r="L488">
        <v>599</v>
      </c>
      <c r="M488" t="s">
        <v>17</v>
      </c>
      <c r="N488" t="str">
        <f>IF(ISNUMBER(SEARCH("Streaming", M488)), "streaming", "cinema")</f>
        <v>streaming</v>
      </c>
      <c r="O488" t="str">
        <f>IF(I488=1, "non-original", "original")</f>
        <v>original</v>
      </c>
      <c r="P488" t="str">
        <f>IF(J488 = 1, "franchise", "non-franchise")</f>
        <v>non-franchise</v>
      </c>
      <c r="Q488" t="str">
        <f>IF(OR(I488 = 1,J488 =1), "old", "new")</f>
        <v>new</v>
      </c>
      <c r="R488">
        <f t="shared" si="14"/>
        <v>0.25187854164137741</v>
      </c>
      <c r="S488">
        <f>IF(Q488="new",1.5,1)*(K488/10)*(1-(MIN(F488,180)/180))</f>
        <v>0.36216666666666675</v>
      </c>
      <c r="T488" t="str">
        <f t="shared" si="15"/>
        <v>Scenario 3: Strong Convenience</v>
      </c>
    </row>
    <row r="489" spans="1:20" x14ac:dyDescent="0.35">
      <c r="A489" t="s">
        <v>640</v>
      </c>
      <c r="B489" s="1">
        <v>45197</v>
      </c>
      <c r="C489">
        <v>2023</v>
      </c>
      <c r="D489">
        <v>9</v>
      </c>
      <c r="E489" t="s">
        <v>125</v>
      </c>
      <c r="F489">
        <v>88</v>
      </c>
      <c r="G489" t="s">
        <v>29</v>
      </c>
      <c r="H489" t="s">
        <v>27</v>
      </c>
      <c r="I489">
        <v>0</v>
      </c>
      <c r="J489">
        <v>0</v>
      </c>
      <c r="K489">
        <v>5.6</v>
      </c>
      <c r="L489">
        <v>5046</v>
      </c>
      <c r="M489" t="s">
        <v>17</v>
      </c>
      <c r="N489" t="str">
        <f>IF(ISNUMBER(SEARCH("Streaming", M489)), "streaming", "cinema")</f>
        <v>streaming</v>
      </c>
      <c r="O489" t="str">
        <f>IF(I489=1, "non-original", "original")</f>
        <v>original</v>
      </c>
      <c r="P489" t="str">
        <f>IF(J489 = 1, "franchise", "non-franchise")</f>
        <v>non-franchise</v>
      </c>
      <c r="Q489" t="str">
        <f>IF(OR(I489 = 1,J489 =1), "old", "new")</f>
        <v>new</v>
      </c>
      <c r="R489">
        <f t="shared" si="14"/>
        <v>0.30154537112304142</v>
      </c>
      <c r="S489">
        <f>IF(Q489="new",1.5,1)*(K489/10)*(1-(MIN(F489,180)/180))</f>
        <v>0.42933333333333323</v>
      </c>
      <c r="T489" t="str">
        <f t="shared" si="15"/>
        <v>Scenario 3: Strong Convenience</v>
      </c>
    </row>
    <row r="490" spans="1:20" x14ac:dyDescent="0.35">
      <c r="A490" t="s">
        <v>641</v>
      </c>
      <c r="B490" s="1">
        <v>45198</v>
      </c>
      <c r="C490">
        <v>2023</v>
      </c>
      <c r="D490">
        <v>9</v>
      </c>
      <c r="E490" t="s">
        <v>125</v>
      </c>
      <c r="F490">
        <v>114</v>
      </c>
      <c r="G490" t="s">
        <v>642</v>
      </c>
      <c r="H490" t="s">
        <v>24</v>
      </c>
      <c r="I490">
        <v>0</v>
      </c>
      <c r="J490">
        <v>0</v>
      </c>
      <c r="K490">
        <v>6.3</v>
      </c>
      <c r="L490">
        <v>11787</v>
      </c>
      <c r="M490" t="s">
        <v>17</v>
      </c>
      <c r="N490" t="str">
        <f>IF(ISNUMBER(SEARCH("Streaming", M490)), "streaming", "cinema")</f>
        <v>streaming</v>
      </c>
      <c r="O490" t="str">
        <f>IF(I490=1, "non-original", "original")</f>
        <v>original</v>
      </c>
      <c r="P490" t="str">
        <f>IF(J490 = 1, "franchise", "non-franchise")</f>
        <v>non-franchise</v>
      </c>
      <c r="Q490" t="str">
        <f>IF(OR(I490 = 1,J490 =1), "old", "new")</f>
        <v>new</v>
      </c>
      <c r="R490">
        <f t="shared" si="14"/>
        <v>0.429508183571847</v>
      </c>
      <c r="S490">
        <f>IF(Q490="new",1.5,1)*(K490/10)*(1-(MIN(F490,180)/180))</f>
        <v>0.34650000000000003</v>
      </c>
      <c r="T490" t="str">
        <f t="shared" si="15"/>
        <v>Scenario 3: Strong Convenience</v>
      </c>
    </row>
    <row r="491" spans="1:20" x14ac:dyDescent="0.35">
      <c r="A491" t="s">
        <v>643</v>
      </c>
      <c r="B491" s="1">
        <v>45198</v>
      </c>
      <c r="C491">
        <v>2023</v>
      </c>
      <c r="D491">
        <v>9</v>
      </c>
      <c r="E491" t="s">
        <v>125</v>
      </c>
      <c r="F491">
        <v>109</v>
      </c>
      <c r="G491" t="s">
        <v>19</v>
      </c>
      <c r="H491" t="s">
        <v>24</v>
      </c>
      <c r="I491">
        <v>0</v>
      </c>
      <c r="J491">
        <v>0</v>
      </c>
      <c r="K491">
        <v>6.3</v>
      </c>
      <c r="L491">
        <v>48368</v>
      </c>
      <c r="M491" t="s">
        <v>88</v>
      </c>
      <c r="N491" t="str">
        <f>IF(ISNUMBER(SEARCH("Streaming", M491)), "streaming", "cinema")</f>
        <v>streaming</v>
      </c>
      <c r="O491" t="str">
        <f>IF(I491=1, "non-original", "original")</f>
        <v>original</v>
      </c>
      <c r="P491" t="str">
        <f>IF(J491 = 1, "franchise", "non-franchise")</f>
        <v>non-franchise</v>
      </c>
      <c r="Q491" t="str">
        <f>IF(OR(I491 = 1,J491 =1), "old", "new")</f>
        <v>new</v>
      </c>
      <c r="R491">
        <f t="shared" si="14"/>
        <v>0.4725171757008983</v>
      </c>
      <c r="S491">
        <f>IF(Q491="new",1.5,1)*(K491/10)*(1-(MIN(F491,180)/180))</f>
        <v>0.37275000000000008</v>
      </c>
      <c r="T491" t="str">
        <f t="shared" si="15"/>
        <v>Scenario 3: Strong Convenience</v>
      </c>
    </row>
    <row r="492" spans="1:20" x14ac:dyDescent="0.35">
      <c r="A492" t="s">
        <v>644</v>
      </c>
      <c r="B492" s="1">
        <v>45198</v>
      </c>
      <c r="C492">
        <v>2023</v>
      </c>
      <c r="D492">
        <v>9</v>
      </c>
      <c r="E492" t="s">
        <v>125</v>
      </c>
      <c r="F492">
        <v>136</v>
      </c>
      <c r="G492" t="s">
        <v>43</v>
      </c>
      <c r="H492" t="s">
        <v>24</v>
      </c>
      <c r="I492">
        <v>0</v>
      </c>
      <c r="J492">
        <v>0</v>
      </c>
      <c r="K492">
        <v>6.8</v>
      </c>
      <c r="L492">
        <v>108579</v>
      </c>
      <c r="M492" t="s">
        <v>88</v>
      </c>
      <c r="N492" t="str">
        <f>IF(ISNUMBER(SEARCH("Streaming", M492)), "streaming", "cinema")</f>
        <v>streaming</v>
      </c>
      <c r="O492" t="str">
        <f>IF(I492=1, "non-original", "original")</f>
        <v>original</v>
      </c>
      <c r="P492" t="str">
        <f>IF(J492 = 1, "franchise", "non-franchise")</f>
        <v>non-franchise</v>
      </c>
      <c r="Q492" t="str">
        <f>IF(OR(I492 = 1,J492 =1), "old", "new")</f>
        <v>new</v>
      </c>
      <c r="R492">
        <f t="shared" si="14"/>
        <v>0.63376051783567</v>
      </c>
      <c r="S492">
        <f>IF(Q492="new",1.5,1)*(K492/10)*(1-(MIN(F492,180)/180))</f>
        <v>0.24933333333333335</v>
      </c>
      <c r="T492" t="str">
        <f t="shared" si="15"/>
        <v>Scenario 1: Strong Commitment</v>
      </c>
    </row>
    <row r="493" spans="1:20" x14ac:dyDescent="0.35">
      <c r="A493" t="s">
        <v>645</v>
      </c>
      <c r="B493" s="1">
        <v>45203</v>
      </c>
      <c r="C493">
        <v>2023</v>
      </c>
      <c r="D493">
        <v>10</v>
      </c>
      <c r="E493" t="s">
        <v>125</v>
      </c>
      <c r="F493">
        <v>102</v>
      </c>
      <c r="G493" t="s">
        <v>34</v>
      </c>
      <c r="H493" t="s">
        <v>30</v>
      </c>
      <c r="I493">
        <v>0</v>
      </c>
      <c r="J493">
        <v>0</v>
      </c>
      <c r="K493">
        <v>6.5</v>
      </c>
      <c r="L493">
        <v>354</v>
      </c>
      <c r="M493" t="s">
        <v>17</v>
      </c>
      <c r="N493" t="str">
        <f>IF(ISNUMBER(SEARCH("Streaming", M493)), "streaming", "cinema")</f>
        <v>streaming</v>
      </c>
      <c r="O493" t="str">
        <f>IF(I493=1, "non-original", "original")</f>
        <v>original</v>
      </c>
      <c r="P493" t="str">
        <f>IF(J493 = 1, "franchise", "non-franchise")</f>
        <v>non-franchise</v>
      </c>
      <c r="Q493" t="str">
        <f>IF(OR(I493 = 1,J493 =1), "old", "new")</f>
        <v>new</v>
      </c>
      <c r="R493">
        <f t="shared" si="14"/>
        <v>0.24059856465521676</v>
      </c>
      <c r="S493">
        <f>IF(Q493="new",1.5,1)*(K493/10)*(1-(MIN(F493,180)/180))</f>
        <v>0.42250000000000004</v>
      </c>
      <c r="T493" t="str">
        <f t="shared" si="15"/>
        <v>Scenario 3: Strong Convenience</v>
      </c>
    </row>
    <row r="494" spans="1:20" x14ac:dyDescent="0.35">
      <c r="A494" t="s">
        <v>646</v>
      </c>
      <c r="B494" s="1">
        <v>45204</v>
      </c>
      <c r="C494">
        <v>2023</v>
      </c>
      <c r="D494">
        <v>10</v>
      </c>
      <c r="E494" t="s">
        <v>125</v>
      </c>
      <c r="F494">
        <v>157</v>
      </c>
      <c r="G494" t="s">
        <v>431</v>
      </c>
      <c r="H494" t="s">
        <v>24</v>
      </c>
      <c r="I494">
        <v>0</v>
      </c>
      <c r="J494">
        <v>0</v>
      </c>
      <c r="K494">
        <v>6.1</v>
      </c>
      <c r="L494">
        <v>8809</v>
      </c>
      <c r="M494" t="s">
        <v>17</v>
      </c>
      <c r="N494" t="str">
        <f>IF(ISNUMBER(SEARCH("Streaming", M494)), "streaming", "cinema")</f>
        <v>streaming</v>
      </c>
      <c r="O494" t="str">
        <f>IF(I494=1, "non-original", "original")</f>
        <v>original</v>
      </c>
      <c r="P494" t="str">
        <f>IF(J494 = 1, "franchise", "non-franchise")</f>
        <v>non-franchise</v>
      </c>
      <c r="Q494" t="str">
        <f>IF(OR(I494 = 1,J494 =1), "old", "new")</f>
        <v>new</v>
      </c>
      <c r="R494">
        <f t="shared" si="14"/>
        <v>0.57314043594978437</v>
      </c>
      <c r="S494">
        <f>IF(Q494="new",1.5,1)*(K494/10)*(1-(MIN(F494,180)/180))</f>
        <v>0.11691666666666667</v>
      </c>
      <c r="T494" t="str">
        <f t="shared" si="15"/>
        <v>Scenario 1: Strong Commitment</v>
      </c>
    </row>
    <row r="495" spans="1:20" x14ac:dyDescent="0.35">
      <c r="A495" t="s">
        <v>647</v>
      </c>
      <c r="B495" s="1">
        <v>45205</v>
      </c>
      <c r="C495">
        <v>2023</v>
      </c>
      <c r="D495">
        <v>10</v>
      </c>
      <c r="E495" t="s">
        <v>125</v>
      </c>
      <c r="F495">
        <v>115</v>
      </c>
      <c r="G495" t="s">
        <v>397</v>
      </c>
      <c r="H495" t="s">
        <v>24</v>
      </c>
      <c r="I495">
        <v>0</v>
      </c>
      <c r="J495">
        <v>0</v>
      </c>
      <c r="K495">
        <v>6.4</v>
      </c>
      <c r="L495">
        <v>46273</v>
      </c>
      <c r="M495" t="s">
        <v>17</v>
      </c>
      <c r="N495" t="str">
        <f>IF(ISNUMBER(SEARCH("Streaming", M495)), "streaming", "cinema")</f>
        <v>streaming</v>
      </c>
      <c r="O495" t="str">
        <f>IF(I495=1, "non-original", "original")</f>
        <v>original</v>
      </c>
      <c r="P495" t="str">
        <f>IF(J495 = 1, "franchise", "non-franchise")</f>
        <v>non-franchise</v>
      </c>
      <c r="Q495" t="str">
        <f>IF(OR(I495 = 1,J495 =1), "old", "new")</f>
        <v>new</v>
      </c>
      <c r="R495">
        <f t="shared" si="14"/>
        <v>0.49648080240883519</v>
      </c>
      <c r="S495">
        <f>IF(Q495="new",1.5,1)*(K495/10)*(1-(MIN(F495,180)/180))</f>
        <v>0.34666666666666668</v>
      </c>
      <c r="T495" t="str">
        <f t="shared" si="15"/>
        <v>Scenario 4: Hybrid Logic</v>
      </c>
    </row>
    <row r="496" spans="1:20" x14ac:dyDescent="0.35">
      <c r="A496" t="s">
        <v>648</v>
      </c>
      <c r="B496" s="1">
        <v>45205</v>
      </c>
      <c r="C496">
        <v>2023</v>
      </c>
      <c r="D496">
        <v>10</v>
      </c>
      <c r="E496" t="s">
        <v>125</v>
      </c>
      <c r="F496">
        <v>93</v>
      </c>
      <c r="G496" t="s">
        <v>34</v>
      </c>
      <c r="H496" t="s">
        <v>30</v>
      </c>
      <c r="I496">
        <v>0</v>
      </c>
      <c r="J496">
        <v>0</v>
      </c>
      <c r="K496">
        <v>5.0999999999999996</v>
      </c>
      <c r="L496">
        <v>2501</v>
      </c>
      <c r="M496" t="s">
        <v>88</v>
      </c>
      <c r="N496" t="str">
        <f>IF(ISNUMBER(SEARCH("Streaming", M496)), "streaming", "cinema")</f>
        <v>streaming</v>
      </c>
      <c r="O496" t="str">
        <f>IF(I496=1, "non-original", "original")</f>
        <v>original</v>
      </c>
      <c r="P496" t="str">
        <f>IF(J496 = 1, "franchise", "non-franchise")</f>
        <v>non-franchise</v>
      </c>
      <c r="Q496" t="str">
        <f>IF(OR(I496 = 1,J496 =1), "old", "new")</f>
        <v>new</v>
      </c>
      <c r="R496">
        <f t="shared" si="14"/>
        <v>0.29244440893836848</v>
      </c>
      <c r="S496">
        <f>IF(Q496="new",1.5,1)*(K496/10)*(1-(MIN(F496,180)/180))</f>
        <v>0.36974999999999997</v>
      </c>
      <c r="T496" t="str">
        <f t="shared" si="15"/>
        <v>Scenario 3: Strong Convenience</v>
      </c>
    </row>
    <row r="497" spans="1:20" x14ac:dyDescent="0.35">
      <c r="A497" t="s">
        <v>649</v>
      </c>
      <c r="B497" s="1">
        <v>45205</v>
      </c>
      <c r="C497">
        <v>2023</v>
      </c>
      <c r="D497">
        <v>10</v>
      </c>
      <c r="E497" t="s">
        <v>125</v>
      </c>
      <c r="F497">
        <v>93</v>
      </c>
      <c r="G497" t="s">
        <v>19</v>
      </c>
      <c r="H497" t="s">
        <v>24</v>
      </c>
      <c r="I497">
        <v>0</v>
      </c>
      <c r="J497">
        <v>0</v>
      </c>
      <c r="K497">
        <v>6.3</v>
      </c>
      <c r="L497">
        <v>18773</v>
      </c>
      <c r="M497" t="s">
        <v>88</v>
      </c>
      <c r="N497" t="str">
        <f>IF(ISNUMBER(SEARCH("Streaming", M497)), "streaming", "cinema")</f>
        <v>streaming</v>
      </c>
      <c r="O497" t="str">
        <f>IF(I497=1, "non-original", "original")</f>
        <v>original</v>
      </c>
      <c r="P497" t="str">
        <f>IF(J497 = 1, "franchise", "non-franchise")</f>
        <v>non-franchise</v>
      </c>
      <c r="Q497" t="str">
        <f>IF(OR(I497 = 1,J497 =1), "old", "new")</f>
        <v>new</v>
      </c>
      <c r="R497">
        <f t="shared" si="14"/>
        <v>0.36778376021127362</v>
      </c>
      <c r="S497">
        <f>IF(Q497="new",1.5,1)*(K497/10)*(1-(MIN(F497,180)/180))</f>
        <v>0.45674999999999999</v>
      </c>
      <c r="T497" t="str">
        <f t="shared" si="15"/>
        <v>Scenario 3: Strong Convenience</v>
      </c>
    </row>
    <row r="498" spans="1:20" x14ac:dyDescent="0.35">
      <c r="A498" t="s">
        <v>650</v>
      </c>
      <c r="B498" s="1">
        <v>45210</v>
      </c>
      <c r="C498">
        <v>2023</v>
      </c>
      <c r="D498">
        <v>10</v>
      </c>
      <c r="E498" t="s">
        <v>125</v>
      </c>
      <c r="F498">
        <v>138</v>
      </c>
      <c r="G498" t="s">
        <v>34</v>
      </c>
      <c r="H498" t="s">
        <v>30</v>
      </c>
      <c r="I498">
        <v>0</v>
      </c>
      <c r="J498">
        <v>0</v>
      </c>
      <c r="K498">
        <v>7</v>
      </c>
      <c r="L498">
        <v>556</v>
      </c>
      <c r="M498" t="s">
        <v>17</v>
      </c>
      <c r="N498" t="str">
        <f>IF(ISNUMBER(SEARCH("Streaming", M498)), "streaming", "cinema")</f>
        <v>streaming</v>
      </c>
      <c r="O498" t="str">
        <f>IF(I498=1, "non-original", "original")</f>
        <v>original</v>
      </c>
      <c r="P498" t="str">
        <f>IF(J498 = 1, "franchise", "non-franchise")</f>
        <v>non-franchise</v>
      </c>
      <c r="Q498" t="str">
        <f>IF(OR(I498 = 1,J498 =1), "old", "new")</f>
        <v>new</v>
      </c>
      <c r="R498">
        <f t="shared" si="14"/>
        <v>0.35055465393310759</v>
      </c>
      <c r="S498">
        <f>IF(Q498="new",1.5,1)*(K498/10)*(1-(MIN(F498,180)/180))</f>
        <v>0.24499999999999991</v>
      </c>
      <c r="T498" t="str">
        <f t="shared" si="15"/>
        <v>Scenario 2: Weak Commitment/Convenience</v>
      </c>
    </row>
    <row r="499" spans="1:20" x14ac:dyDescent="0.35">
      <c r="A499" t="s">
        <v>651</v>
      </c>
      <c r="B499" s="1">
        <v>45212</v>
      </c>
      <c r="C499">
        <v>2023</v>
      </c>
      <c r="D499">
        <v>10</v>
      </c>
      <c r="E499" t="s">
        <v>125</v>
      </c>
      <c r="F499">
        <v>100</v>
      </c>
      <c r="G499" t="s">
        <v>652</v>
      </c>
      <c r="H499" t="s">
        <v>265</v>
      </c>
      <c r="I499">
        <v>0</v>
      </c>
      <c r="J499">
        <v>0</v>
      </c>
      <c r="K499">
        <v>5.7</v>
      </c>
      <c r="L499">
        <v>15985</v>
      </c>
      <c r="M499" t="s">
        <v>17</v>
      </c>
      <c r="N499" t="str">
        <f>IF(ISNUMBER(SEARCH("Streaming", M499)), "streaming", "cinema")</f>
        <v>streaming</v>
      </c>
      <c r="O499" t="str">
        <f>IF(I499=1, "non-original", "original")</f>
        <v>original</v>
      </c>
      <c r="P499" t="str">
        <f>IF(J499 = 1, "franchise", "non-franchise")</f>
        <v>non-franchise</v>
      </c>
      <c r="Q499" t="str">
        <f>IF(OR(I499 = 1,J499 =1), "old", "new")</f>
        <v>new</v>
      </c>
      <c r="R499">
        <f t="shared" si="14"/>
        <v>0.38900527435944282</v>
      </c>
      <c r="S499">
        <f>IF(Q499="new",1.5,1)*(K499/10)*(1-(MIN(F499,180)/180))</f>
        <v>0.38</v>
      </c>
      <c r="T499" t="str">
        <f t="shared" si="15"/>
        <v>Scenario 3: Strong Convenience</v>
      </c>
    </row>
    <row r="500" spans="1:20" x14ac:dyDescent="0.35">
      <c r="A500" t="s">
        <v>653</v>
      </c>
      <c r="B500" s="1">
        <v>45218</v>
      </c>
      <c r="C500">
        <v>2023</v>
      </c>
      <c r="D500">
        <v>10</v>
      </c>
      <c r="E500" t="s">
        <v>125</v>
      </c>
      <c r="F500">
        <v>103</v>
      </c>
      <c r="G500" t="s">
        <v>34</v>
      </c>
      <c r="H500" t="s">
        <v>30</v>
      </c>
      <c r="I500">
        <v>0</v>
      </c>
      <c r="J500">
        <v>0</v>
      </c>
      <c r="K500">
        <v>5.8</v>
      </c>
      <c r="L500">
        <v>1445</v>
      </c>
      <c r="M500" t="s">
        <v>17</v>
      </c>
      <c r="N500" t="str">
        <f>IF(ISNUMBER(SEARCH("Streaming", M500)), "streaming", "cinema")</f>
        <v>streaming</v>
      </c>
      <c r="O500" t="str">
        <f>IF(I500=1, "non-original", "original")</f>
        <v>original</v>
      </c>
      <c r="P500" t="str">
        <f>IF(J500 = 1, "franchise", "non-franchise")</f>
        <v>non-franchise</v>
      </c>
      <c r="Q500" t="str">
        <f>IF(OR(I500 = 1,J500 =1), "old", "new")</f>
        <v>new</v>
      </c>
      <c r="R500">
        <f t="shared" si="14"/>
        <v>0.30118172311100938</v>
      </c>
      <c r="S500">
        <f>IF(Q500="new",1.5,1)*(K500/10)*(1-(MIN(F500,180)/180))</f>
        <v>0.37216666666666665</v>
      </c>
      <c r="T500" t="str">
        <f t="shared" si="15"/>
        <v>Scenario 3: Strong Convenience</v>
      </c>
    </row>
    <row r="501" spans="1:20" x14ac:dyDescent="0.35">
      <c r="A501" t="s">
        <v>654</v>
      </c>
      <c r="B501" s="1">
        <v>45219</v>
      </c>
      <c r="C501">
        <v>2023</v>
      </c>
      <c r="D501">
        <v>10</v>
      </c>
      <c r="E501" t="s">
        <v>125</v>
      </c>
      <c r="F501">
        <v>93</v>
      </c>
      <c r="G501" t="s">
        <v>21</v>
      </c>
      <c r="H501" t="s">
        <v>27</v>
      </c>
      <c r="I501">
        <v>0</v>
      </c>
      <c r="J501">
        <v>1</v>
      </c>
      <c r="K501">
        <v>4.8</v>
      </c>
      <c r="L501">
        <v>240</v>
      </c>
      <c r="M501" t="s">
        <v>17</v>
      </c>
      <c r="N501" t="str">
        <f>IF(ISNUMBER(SEARCH("Streaming", M501)), "streaming", "cinema")</f>
        <v>streaming</v>
      </c>
      <c r="O501" t="str">
        <f>IF(I501=1, "non-original", "original")</f>
        <v>original</v>
      </c>
      <c r="P501" t="str">
        <f>IF(J501 = 1, "franchise", "non-franchise")</f>
        <v>franchise</v>
      </c>
      <c r="Q501" t="str">
        <f>IF(OR(I501 = 1,J501 =1), "old", "new")</f>
        <v>old</v>
      </c>
      <c r="R501">
        <f t="shared" si="14"/>
        <v>0.30726435290765519</v>
      </c>
      <c r="S501">
        <f>IF(Q501="new",1.5,1)*(K501/10)*(1-(MIN(F501,180)/180))</f>
        <v>0.23199999999999996</v>
      </c>
      <c r="T501" t="str">
        <f t="shared" si="15"/>
        <v>Scenario 2: Weak Commitment/Convenience</v>
      </c>
    </row>
    <row r="502" spans="1:20" x14ac:dyDescent="0.35">
      <c r="A502" t="s">
        <v>655</v>
      </c>
      <c r="B502" s="1">
        <v>45219</v>
      </c>
      <c r="C502">
        <v>2023</v>
      </c>
      <c r="D502">
        <v>10</v>
      </c>
      <c r="E502" t="s">
        <v>125</v>
      </c>
      <c r="F502">
        <v>104</v>
      </c>
      <c r="G502" t="s">
        <v>21</v>
      </c>
      <c r="H502" t="s">
        <v>24</v>
      </c>
      <c r="I502">
        <v>0</v>
      </c>
      <c r="J502">
        <v>0</v>
      </c>
      <c r="K502">
        <v>6.2</v>
      </c>
      <c r="L502">
        <v>46933</v>
      </c>
      <c r="M502" t="s">
        <v>17</v>
      </c>
      <c r="N502" t="str">
        <f>IF(ISNUMBER(SEARCH("Streaming", M502)), "streaming", "cinema")</f>
        <v>streaming</v>
      </c>
      <c r="O502" t="str">
        <f>IF(I502=1, "non-original", "original")</f>
        <v>original</v>
      </c>
      <c r="P502" t="str">
        <f>IF(J502 = 1, "franchise", "non-franchise")</f>
        <v>non-franchise</v>
      </c>
      <c r="Q502" t="str">
        <f>IF(OR(I502 = 1,J502 =1), "old", "new")</f>
        <v>new</v>
      </c>
      <c r="R502">
        <f t="shared" si="14"/>
        <v>0.44958327401345771</v>
      </c>
      <c r="S502">
        <f>IF(Q502="new",1.5,1)*(K502/10)*(1-(MIN(F502,180)/180))</f>
        <v>0.39266666666666666</v>
      </c>
      <c r="T502" t="str">
        <f t="shared" si="15"/>
        <v>Scenario 3: Strong Convenience</v>
      </c>
    </row>
    <row r="503" spans="1:20" x14ac:dyDescent="0.35">
      <c r="A503" t="s">
        <v>656</v>
      </c>
      <c r="B503" s="1">
        <v>45224</v>
      </c>
      <c r="C503">
        <v>2023</v>
      </c>
      <c r="D503">
        <v>10</v>
      </c>
      <c r="E503" t="s">
        <v>125</v>
      </c>
      <c r="F503">
        <v>98</v>
      </c>
      <c r="G503" t="s">
        <v>19</v>
      </c>
      <c r="H503" t="s">
        <v>24</v>
      </c>
      <c r="I503">
        <v>0</v>
      </c>
      <c r="J503">
        <v>0</v>
      </c>
      <c r="K503">
        <v>4.2</v>
      </c>
      <c r="L503">
        <v>4731</v>
      </c>
      <c r="M503" t="s">
        <v>88</v>
      </c>
      <c r="N503" t="str">
        <f>IF(ISNUMBER(SEARCH("Streaming", M503)), "streaming", "cinema")</f>
        <v>streaming</v>
      </c>
      <c r="O503" t="str">
        <f>IF(I503=1, "non-original", "original")</f>
        <v>original</v>
      </c>
      <c r="P503" t="str">
        <f>IF(J503 = 1, "franchise", "non-franchise")</f>
        <v>non-franchise</v>
      </c>
      <c r="Q503" t="str">
        <f>IF(OR(I503 = 1,J503 =1), "old", "new")</f>
        <v>new</v>
      </c>
      <c r="R503">
        <f t="shared" si="14"/>
        <v>0.3332731511388155</v>
      </c>
      <c r="S503">
        <f>IF(Q503="new",1.5,1)*(K503/10)*(1-(MIN(F503,180)/180))</f>
        <v>0.28700000000000009</v>
      </c>
      <c r="T503" t="str">
        <f t="shared" si="15"/>
        <v>Scenario 2: Weak Commitment/Convenience</v>
      </c>
    </row>
    <row r="504" spans="1:20" x14ac:dyDescent="0.35">
      <c r="A504" t="s">
        <v>657</v>
      </c>
      <c r="B504" s="1">
        <v>45226</v>
      </c>
      <c r="C504">
        <v>2023</v>
      </c>
      <c r="D504">
        <v>10</v>
      </c>
      <c r="E504" t="s">
        <v>125</v>
      </c>
      <c r="F504">
        <v>124</v>
      </c>
      <c r="G504" t="s">
        <v>43</v>
      </c>
      <c r="H504" t="s">
        <v>24</v>
      </c>
      <c r="I504">
        <v>0</v>
      </c>
      <c r="J504">
        <v>0</v>
      </c>
      <c r="K504">
        <v>6.6</v>
      </c>
      <c r="L504">
        <v>54648</v>
      </c>
      <c r="M504" t="s">
        <v>88</v>
      </c>
      <c r="N504" t="str">
        <f>IF(ISNUMBER(SEARCH("Streaming", M504)), "streaming", "cinema")</f>
        <v>streaming</v>
      </c>
      <c r="O504" t="str">
        <f>IF(I504=1, "non-original", "original")</f>
        <v>original</v>
      </c>
      <c r="P504" t="str">
        <f>IF(J504 = 1, "franchise", "non-franchise")</f>
        <v>non-franchise</v>
      </c>
      <c r="Q504" t="str">
        <f>IF(OR(I504 = 1,J504 =1), "old", "new")</f>
        <v>new</v>
      </c>
      <c r="R504">
        <f t="shared" si="14"/>
        <v>0.54362595783413692</v>
      </c>
      <c r="S504">
        <f>IF(Q504="new",1.5,1)*(K504/10)*(1-(MIN(F504,180)/180))</f>
        <v>0.30799999999999994</v>
      </c>
      <c r="T504" t="str">
        <f t="shared" si="15"/>
        <v>Scenario 1: Strong Commitment</v>
      </c>
    </row>
    <row r="505" spans="1:20" x14ac:dyDescent="0.35">
      <c r="A505" t="s">
        <v>658</v>
      </c>
      <c r="B505" s="1">
        <v>45226</v>
      </c>
      <c r="C505">
        <v>2023</v>
      </c>
      <c r="D505">
        <v>10</v>
      </c>
      <c r="E505" t="s">
        <v>125</v>
      </c>
      <c r="F505">
        <v>90</v>
      </c>
      <c r="G505" t="s">
        <v>92</v>
      </c>
      <c r="H505" t="s">
        <v>24</v>
      </c>
      <c r="I505">
        <v>0</v>
      </c>
      <c r="J505">
        <v>0</v>
      </c>
      <c r="K505">
        <v>5.8</v>
      </c>
      <c r="L505">
        <v>10705</v>
      </c>
      <c r="M505" t="s">
        <v>17</v>
      </c>
      <c r="N505" t="str">
        <f>IF(ISNUMBER(SEARCH("Streaming", M505)), "streaming", "cinema")</f>
        <v>streaming</v>
      </c>
      <c r="O505" t="str">
        <f>IF(I505=1, "non-original", "original")</f>
        <v>original</v>
      </c>
      <c r="P505" t="str">
        <f>IF(J505 = 1, "franchise", "non-franchise")</f>
        <v>non-franchise</v>
      </c>
      <c r="Q505" t="str">
        <f>IF(OR(I505 = 1,J505 =1), "old", "new")</f>
        <v>new</v>
      </c>
      <c r="R505">
        <f t="shared" si="14"/>
        <v>0.33560272608775082</v>
      </c>
      <c r="S505">
        <f>IF(Q505="new",1.5,1)*(K505/10)*(1-(MIN(F505,180)/180))</f>
        <v>0.43499999999999994</v>
      </c>
      <c r="T505" t="str">
        <f t="shared" si="15"/>
        <v>Scenario 3: Strong Convenience</v>
      </c>
    </row>
    <row r="506" spans="1:20" x14ac:dyDescent="0.35">
      <c r="A506" t="s">
        <v>659</v>
      </c>
      <c r="B506" s="1">
        <v>45231</v>
      </c>
      <c r="C506">
        <v>2023</v>
      </c>
      <c r="D506">
        <v>11</v>
      </c>
      <c r="E506" t="s">
        <v>125</v>
      </c>
      <c r="F506">
        <v>99</v>
      </c>
      <c r="G506" t="s">
        <v>34</v>
      </c>
      <c r="H506" t="s">
        <v>24</v>
      </c>
      <c r="I506">
        <v>0</v>
      </c>
      <c r="J506">
        <v>0</v>
      </c>
      <c r="K506">
        <v>5.9</v>
      </c>
      <c r="L506">
        <v>1033</v>
      </c>
      <c r="M506" t="s">
        <v>17</v>
      </c>
      <c r="N506" t="str">
        <f>IF(ISNUMBER(SEARCH("Streaming", M506)), "streaming", "cinema")</f>
        <v>streaming</v>
      </c>
      <c r="O506" t="str">
        <f>IF(I506=1, "non-original", "original")</f>
        <v>original</v>
      </c>
      <c r="P506" t="str">
        <f>IF(J506 = 1, "franchise", "non-franchise")</f>
        <v>non-franchise</v>
      </c>
      <c r="Q506" t="str">
        <f>IF(OR(I506 = 1,J506 =1), "old", "new")</f>
        <v>new</v>
      </c>
      <c r="R506">
        <f t="shared" si="14"/>
        <v>0.27613112801321782</v>
      </c>
      <c r="S506">
        <f>IF(Q506="new",1.5,1)*(K506/10)*(1-(MIN(F506,180)/180))</f>
        <v>0.39824999999999999</v>
      </c>
      <c r="T506" t="str">
        <f t="shared" si="15"/>
        <v>Scenario 3: Strong Convenience</v>
      </c>
    </row>
    <row r="507" spans="1:20" x14ac:dyDescent="0.35">
      <c r="A507" t="s">
        <v>660</v>
      </c>
      <c r="B507" s="1">
        <v>45231</v>
      </c>
      <c r="C507">
        <v>2023</v>
      </c>
      <c r="D507">
        <v>11</v>
      </c>
      <c r="E507" t="s">
        <v>125</v>
      </c>
      <c r="F507">
        <v>96</v>
      </c>
      <c r="G507" t="s">
        <v>103</v>
      </c>
      <c r="H507" t="s">
        <v>24</v>
      </c>
      <c r="I507">
        <v>0</v>
      </c>
      <c r="J507">
        <v>0</v>
      </c>
      <c r="K507">
        <v>5.0999999999999996</v>
      </c>
      <c r="L507">
        <v>11602</v>
      </c>
      <c r="M507" t="s">
        <v>17</v>
      </c>
      <c r="N507" t="str">
        <f>IF(ISNUMBER(SEARCH("Streaming", M507)), "streaming", "cinema")</f>
        <v>streaming</v>
      </c>
      <c r="O507" t="str">
        <f>IF(I507=1, "non-original", "original")</f>
        <v>original</v>
      </c>
      <c r="P507" t="str">
        <f>IF(J507 = 1, "franchise", "non-franchise")</f>
        <v>non-franchise</v>
      </c>
      <c r="Q507" t="str">
        <f>IF(OR(I507 = 1,J507 =1), "old", "new")</f>
        <v>new</v>
      </c>
      <c r="R507">
        <f t="shared" si="14"/>
        <v>0.36108075449622812</v>
      </c>
      <c r="S507">
        <f>IF(Q507="new",1.5,1)*(K507/10)*(1-(MIN(F507,180)/180))</f>
        <v>0.35700000000000004</v>
      </c>
      <c r="T507" t="str">
        <f t="shared" si="15"/>
        <v>Scenario 3: Strong Convenience</v>
      </c>
    </row>
    <row r="508" spans="1:20" x14ac:dyDescent="0.35">
      <c r="A508" t="s">
        <v>661</v>
      </c>
      <c r="B508" s="1">
        <v>45231</v>
      </c>
      <c r="C508">
        <v>2023</v>
      </c>
      <c r="D508">
        <v>11</v>
      </c>
      <c r="E508" t="s">
        <v>125</v>
      </c>
      <c r="F508">
        <v>112</v>
      </c>
      <c r="G508" t="s">
        <v>269</v>
      </c>
      <c r="H508" t="s">
        <v>24</v>
      </c>
      <c r="I508">
        <v>0</v>
      </c>
      <c r="J508">
        <v>0</v>
      </c>
      <c r="K508">
        <v>7.2</v>
      </c>
      <c r="L508">
        <v>7238</v>
      </c>
      <c r="M508" t="s">
        <v>17</v>
      </c>
      <c r="N508" t="str">
        <f>IF(ISNUMBER(SEARCH("Streaming", M508)), "streaming", "cinema")</f>
        <v>streaming</v>
      </c>
      <c r="O508" t="str">
        <f>IF(I508=1, "non-original", "original")</f>
        <v>original</v>
      </c>
      <c r="P508" t="str">
        <f>IF(J508 = 1, "franchise", "non-franchise")</f>
        <v>non-franchise</v>
      </c>
      <c r="Q508" t="str">
        <f>IF(OR(I508 = 1,J508 =1), "old", "new")</f>
        <v>new</v>
      </c>
      <c r="R508">
        <f t="shared" si="14"/>
        <v>0.40002292402507011</v>
      </c>
      <c r="S508">
        <f>IF(Q508="new",1.5,1)*(K508/10)*(1-(MIN(F508,180)/180))</f>
        <v>0.40800000000000003</v>
      </c>
      <c r="T508" t="str">
        <f t="shared" si="15"/>
        <v>Scenario 3: Strong Convenience</v>
      </c>
    </row>
    <row r="509" spans="1:20" x14ac:dyDescent="0.35">
      <c r="A509" t="s">
        <v>662</v>
      </c>
      <c r="B509" s="1">
        <v>45231</v>
      </c>
      <c r="C509">
        <v>2023</v>
      </c>
      <c r="D509">
        <v>11</v>
      </c>
      <c r="E509" t="s">
        <v>125</v>
      </c>
      <c r="F509">
        <v>115</v>
      </c>
      <c r="G509" t="s">
        <v>663</v>
      </c>
      <c r="H509" t="s">
        <v>24</v>
      </c>
      <c r="I509">
        <v>1</v>
      </c>
      <c r="J509">
        <v>0</v>
      </c>
      <c r="K509">
        <v>5.7</v>
      </c>
      <c r="L509">
        <v>8190</v>
      </c>
      <c r="M509" t="s">
        <v>88</v>
      </c>
      <c r="N509" t="str">
        <f>IF(ISNUMBER(SEARCH("Streaming", M509)), "streaming", "cinema")</f>
        <v>streaming</v>
      </c>
      <c r="O509" t="str">
        <f>IF(I509=1, "non-original", "original")</f>
        <v>non-original</v>
      </c>
      <c r="P509" t="str">
        <f>IF(J509 = 1, "franchise", "non-franchise")</f>
        <v>non-franchise</v>
      </c>
      <c r="Q509" t="str">
        <f>IF(OR(I509 = 1,J509 =1), "old", "new")</f>
        <v>old</v>
      </c>
      <c r="R509">
        <f t="shared" si="14"/>
        <v>0.62467327307911402</v>
      </c>
      <c r="S509">
        <f>IF(Q509="new",1.5,1)*(K509/10)*(1-(MIN(F509,180)/180))</f>
        <v>0.2058333333333334</v>
      </c>
      <c r="T509" t="str">
        <f t="shared" si="15"/>
        <v>Scenario 1: Strong Commitment</v>
      </c>
    </row>
    <row r="510" spans="1:20" x14ac:dyDescent="0.35">
      <c r="A510" t="s">
        <v>664</v>
      </c>
      <c r="B510" s="1">
        <v>45233</v>
      </c>
      <c r="C510">
        <v>2023</v>
      </c>
      <c r="D510">
        <v>11</v>
      </c>
      <c r="E510" t="s">
        <v>125</v>
      </c>
      <c r="F510">
        <v>121</v>
      </c>
      <c r="G510" t="s">
        <v>62</v>
      </c>
      <c r="H510" t="s">
        <v>27</v>
      </c>
      <c r="I510">
        <v>0</v>
      </c>
      <c r="J510">
        <v>0</v>
      </c>
      <c r="K510">
        <v>7.1</v>
      </c>
      <c r="L510">
        <v>44519</v>
      </c>
      <c r="M510" t="s">
        <v>17</v>
      </c>
      <c r="N510" t="str">
        <f>IF(ISNUMBER(SEARCH("Streaming", M510)), "streaming", "cinema")</f>
        <v>streaming</v>
      </c>
      <c r="O510" t="str">
        <f>IF(I510=1, "non-original", "original")</f>
        <v>original</v>
      </c>
      <c r="P510" t="str">
        <f>IF(J510 = 1, "franchise", "non-franchise")</f>
        <v>non-franchise</v>
      </c>
      <c r="Q510" t="str">
        <f>IF(OR(I510 = 1,J510 =1), "old", "new")</f>
        <v>new</v>
      </c>
      <c r="R510">
        <f t="shared" si="14"/>
        <v>0.52050501271902361</v>
      </c>
      <c r="S510">
        <f>IF(Q510="new",1.5,1)*(K510/10)*(1-(MIN(F510,180)/180))</f>
        <v>0.34908333333333325</v>
      </c>
      <c r="T510" t="str">
        <f t="shared" si="15"/>
        <v>Scenario 4: Hybrid Logic</v>
      </c>
    </row>
    <row r="511" spans="1:20" x14ac:dyDescent="0.35">
      <c r="A511" t="s">
        <v>665</v>
      </c>
      <c r="B511" s="1">
        <v>45240</v>
      </c>
      <c r="C511">
        <v>2023</v>
      </c>
      <c r="D511">
        <v>11</v>
      </c>
      <c r="E511" t="s">
        <v>125</v>
      </c>
      <c r="F511">
        <v>119</v>
      </c>
      <c r="G511" t="s">
        <v>666</v>
      </c>
      <c r="H511" t="s">
        <v>24</v>
      </c>
      <c r="I511">
        <v>1</v>
      </c>
      <c r="J511">
        <v>0</v>
      </c>
      <c r="K511">
        <v>6.7</v>
      </c>
      <c r="L511">
        <v>221332</v>
      </c>
      <c r="M511" t="s">
        <v>88</v>
      </c>
      <c r="N511" t="str">
        <f>IF(ISNUMBER(SEARCH("Streaming", M511)), "streaming", "cinema")</f>
        <v>streaming</v>
      </c>
      <c r="O511" t="str">
        <f>IF(I511=1, "non-original", "original")</f>
        <v>non-original</v>
      </c>
      <c r="P511" t="str">
        <f>IF(J511 = 1, "franchise", "non-franchise")</f>
        <v>non-franchise</v>
      </c>
      <c r="Q511" t="str">
        <f>IF(OR(I511 = 1,J511 =1), "old", "new")</f>
        <v>old</v>
      </c>
      <c r="R511">
        <f t="shared" si="14"/>
        <v>0.88290096427518239</v>
      </c>
      <c r="S511">
        <f>IF(Q511="new",1.5,1)*(K511/10)*(1-(MIN(F511,180)/180))</f>
        <v>0.22705555555555559</v>
      </c>
      <c r="T511" t="str">
        <f t="shared" si="15"/>
        <v>Scenario 1: Strong Commitment</v>
      </c>
    </row>
    <row r="512" spans="1:20" x14ac:dyDescent="0.35">
      <c r="A512" t="s">
        <v>667</v>
      </c>
      <c r="B512" s="1">
        <v>45246</v>
      </c>
      <c r="C512">
        <v>2023</v>
      </c>
      <c r="D512">
        <v>11</v>
      </c>
      <c r="E512" t="s">
        <v>125</v>
      </c>
      <c r="F512">
        <v>81</v>
      </c>
      <c r="G512" t="s">
        <v>29</v>
      </c>
      <c r="H512" t="s">
        <v>56</v>
      </c>
      <c r="I512">
        <v>0</v>
      </c>
      <c r="J512">
        <v>0</v>
      </c>
      <c r="K512">
        <v>4.5</v>
      </c>
      <c r="L512">
        <v>12181</v>
      </c>
      <c r="M512" t="s">
        <v>17</v>
      </c>
      <c r="N512" t="str">
        <f>IF(ISNUMBER(SEARCH("Streaming", M512)), "streaming", "cinema")</f>
        <v>streaming</v>
      </c>
      <c r="O512" t="str">
        <f>IF(I512=1, "non-original", "original")</f>
        <v>original</v>
      </c>
      <c r="P512" t="str">
        <f>IF(J512 = 1, "franchise", "non-franchise")</f>
        <v>non-franchise</v>
      </c>
      <c r="Q512" t="str">
        <f>IF(OR(I512 = 1,J512 =1), "old", "new")</f>
        <v>new</v>
      </c>
      <c r="R512">
        <f t="shared" si="14"/>
        <v>0.30624721611965755</v>
      </c>
      <c r="S512">
        <f>IF(Q512="new",1.5,1)*(K512/10)*(1-(MIN(F512,180)/180))</f>
        <v>0.37125000000000008</v>
      </c>
      <c r="T512" t="str">
        <f t="shared" si="15"/>
        <v>Scenario 3: Strong Convenience</v>
      </c>
    </row>
    <row r="513" spans="1:20" x14ac:dyDescent="0.35">
      <c r="A513" t="s">
        <v>668</v>
      </c>
      <c r="B513" s="1">
        <v>45246</v>
      </c>
      <c r="C513">
        <v>2023</v>
      </c>
      <c r="D513">
        <v>11</v>
      </c>
      <c r="E513" t="s">
        <v>125</v>
      </c>
      <c r="F513">
        <v>127</v>
      </c>
      <c r="G513" t="s">
        <v>669</v>
      </c>
      <c r="H513" t="s">
        <v>27</v>
      </c>
      <c r="I513">
        <v>0</v>
      </c>
      <c r="J513">
        <v>0</v>
      </c>
      <c r="K513">
        <v>5.2</v>
      </c>
      <c r="L513">
        <v>1017</v>
      </c>
      <c r="M513" t="s">
        <v>17</v>
      </c>
      <c r="N513" t="str">
        <f>IF(ISNUMBER(SEARCH("Streaming", M513)), "streaming", "cinema")</f>
        <v>streaming</v>
      </c>
      <c r="O513" t="str">
        <f>IF(I513=1, "non-original", "original")</f>
        <v>original</v>
      </c>
      <c r="P513" t="str">
        <f>IF(J513 = 1, "franchise", "non-franchise")</f>
        <v>non-franchise</v>
      </c>
      <c r="Q513" t="str">
        <f>IF(OR(I513 = 1,J513 =1), "old", "new")</f>
        <v>new</v>
      </c>
      <c r="R513">
        <f t="shared" si="14"/>
        <v>0.35343208295656853</v>
      </c>
      <c r="S513">
        <f>IF(Q513="new",1.5,1)*(K513/10)*(1-(MIN(F513,180)/180))</f>
        <v>0.22966666666666663</v>
      </c>
      <c r="T513" t="str">
        <f t="shared" si="15"/>
        <v>Scenario 2: Weak Commitment/Convenience</v>
      </c>
    </row>
    <row r="514" spans="1:20" x14ac:dyDescent="0.35">
      <c r="A514" t="s">
        <v>670</v>
      </c>
      <c r="B514" s="1">
        <v>45247</v>
      </c>
      <c r="C514">
        <v>2023</v>
      </c>
      <c r="D514">
        <v>11</v>
      </c>
      <c r="E514" t="s">
        <v>125</v>
      </c>
      <c r="F514">
        <v>116</v>
      </c>
      <c r="G514" t="s">
        <v>671</v>
      </c>
      <c r="H514" t="s">
        <v>24</v>
      </c>
      <c r="I514">
        <v>0</v>
      </c>
      <c r="J514">
        <v>1</v>
      </c>
      <c r="K514">
        <v>5.6</v>
      </c>
      <c r="L514">
        <v>2236</v>
      </c>
      <c r="M514" t="s">
        <v>17</v>
      </c>
      <c r="N514" t="str">
        <f>IF(ISNUMBER(SEARCH("Streaming", M514)), "streaming", "cinema")</f>
        <v>streaming</v>
      </c>
      <c r="O514" t="str">
        <f>IF(I514=1, "non-original", "original")</f>
        <v>original</v>
      </c>
      <c r="P514" t="str">
        <f>IF(J514 = 1, "franchise", "non-franchise")</f>
        <v>franchise</v>
      </c>
      <c r="Q514" t="str">
        <f>IF(OR(I514 = 1,J514 =1), "old", "new")</f>
        <v>old</v>
      </c>
      <c r="R514">
        <f t="shared" si="14"/>
        <v>0.539321884067268</v>
      </c>
      <c r="S514">
        <f>IF(Q514="new",1.5,1)*(K514/10)*(1-(MIN(F514,180)/180))</f>
        <v>0.19911111111111107</v>
      </c>
      <c r="T514" t="str">
        <f t="shared" si="15"/>
        <v>Scenario 1: Strong Commitment</v>
      </c>
    </row>
    <row r="515" spans="1:20" x14ac:dyDescent="0.35">
      <c r="A515" t="s">
        <v>672</v>
      </c>
      <c r="B515" s="1">
        <v>45247</v>
      </c>
      <c r="C515">
        <v>2023</v>
      </c>
      <c r="D515">
        <v>11</v>
      </c>
      <c r="E515" t="s">
        <v>125</v>
      </c>
      <c r="F515">
        <v>108</v>
      </c>
      <c r="G515" t="s">
        <v>111</v>
      </c>
      <c r="H515" t="s">
        <v>27</v>
      </c>
      <c r="I515">
        <v>0</v>
      </c>
      <c r="J515">
        <v>0</v>
      </c>
      <c r="K515">
        <v>6.5</v>
      </c>
      <c r="L515">
        <v>14598</v>
      </c>
      <c r="M515" t="s">
        <v>17</v>
      </c>
      <c r="N515" t="str">
        <f>IF(ISNUMBER(SEARCH("Streaming", M515)), "streaming", "cinema")</f>
        <v>streaming</v>
      </c>
      <c r="O515" t="str">
        <f>IF(I515=1, "non-original", "original")</f>
        <v>original</v>
      </c>
      <c r="P515" t="str">
        <f>IF(J515 = 1, "franchise", "non-franchise")</f>
        <v>non-franchise</v>
      </c>
      <c r="Q515" t="str">
        <f>IF(OR(I515 = 1,J515 =1), "old", "new")</f>
        <v>new</v>
      </c>
      <c r="R515">
        <f t="shared" ref="R515:R578" si="16">IF(Q515="old",1.5,1)*(LOG10(L515)/LOG10(MAX($L$2:$L$1078)))*(MIN(F515,180)/180)</f>
        <v>0.41618607093007082</v>
      </c>
      <c r="S515">
        <f>IF(Q515="new",1.5,1)*(K515/10)*(1-(MIN(F515,180)/180))</f>
        <v>0.39000000000000007</v>
      </c>
      <c r="T515" t="str">
        <f t="shared" ref="T515:T578" si="17">IF(AND(R515&gt;=AVERAGE($R$2:$R$1078),S515&gt;=AVERAGE($S$2:$S$1078)),"Scenario 4: Hybrid Logic",
 IF(AND(R515&gt;=AVERAGE($R$2:$R$1078),S515&lt;AVERAGE($S$2:$S$1078)),"Scenario 1: Strong Commitment",
  IF(AND(R515&lt;AVERAGE($R$2:$R$1078),S515&gt;=AVERAGE($S$2:$S$1078)),"Scenario 3: Strong Convenience",
   "Scenario 2: Weak Commitment/Convenience")))</f>
        <v>Scenario 3: Strong Convenience</v>
      </c>
    </row>
    <row r="516" spans="1:20" x14ac:dyDescent="0.35">
      <c r="A516" t="s">
        <v>673</v>
      </c>
      <c r="B516" s="1">
        <v>45247</v>
      </c>
      <c r="C516">
        <v>2023</v>
      </c>
      <c r="D516">
        <v>11</v>
      </c>
      <c r="E516" t="s">
        <v>125</v>
      </c>
      <c r="F516">
        <v>103</v>
      </c>
      <c r="G516" t="s">
        <v>21</v>
      </c>
      <c r="H516" t="s">
        <v>30</v>
      </c>
      <c r="I516">
        <v>0</v>
      </c>
      <c r="J516">
        <v>0</v>
      </c>
      <c r="K516">
        <v>5.8</v>
      </c>
      <c r="L516">
        <v>2312</v>
      </c>
      <c r="M516" t="s">
        <v>17</v>
      </c>
      <c r="N516" t="str">
        <f>IF(ISNUMBER(SEARCH("Streaming", M516)), "streaming", "cinema")</f>
        <v>streaming</v>
      </c>
      <c r="O516" t="str">
        <f>IF(I516=1, "non-original", "original")</f>
        <v>original</v>
      </c>
      <c r="P516" t="str">
        <f>IF(J516 = 1, "franchise", "non-franchise")</f>
        <v>non-franchise</v>
      </c>
      <c r="Q516" t="str">
        <f>IF(OR(I516 = 1,J516 =1), "old", "new")</f>
        <v>new</v>
      </c>
      <c r="R516">
        <f t="shared" si="16"/>
        <v>0.32063734944496086</v>
      </c>
      <c r="S516">
        <f>IF(Q516="new",1.5,1)*(K516/10)*(1-(MIN(F516,180)/180))</f>
        <v>0.37216666666666665</v>
      </c>
      <c r="T516" t="str">
        <f t="shared" si="17"/>
        <v>Scenario 3: Strong Convenience</v>
      </c>
    </row>
    <row r="517" spans="1:20" x14ac:dyDescent="0.35">
      <c r="A517" t="s">
        <v>674</v>
      </c>
      <c r="B517" s="1">
        <v>45247</v>
      </c>
      <c r="C517">
        <v>2023</v>
      </c>
      <c r="D517">
        <v>11</v>
      </c>
      <c r="E517" t="s">
        <v>125</v>
      </c>
      <c r="F517">
        <v>137</v>
      </c>
      <c r="G517" t="s">
        <v>34</v>
      </c>
      <c r="H517" t="s">
        <v>30</v>
      </c>
      <c r="I517">
        <v>0</v>
      </c>
      <c r="J517">
        <v>0</v>
      </c>
      <c r="K517">
        <v>4.7</v>
      </c>
      <c r="L517">
        <v>228</v>
      </c>
      <c r="M517" t="s">
        <v>17</v>
      </c>
      <c r="N517" t="str">
        <f>IF(ISNUMBER(SEARCH("Streaming", M517)), "streaming", "cinema")</f>
        <v>streaming</v>
      </c>
      <c r="O517" t="str">
        <f>IF(I517=1, "non-original", "original")</f>
        <v>original</v>
      </c>
      <c r="P517" t="str">
        <f>IF(J517 = 1, "franchise", "non-franchise")</f>
        <v>non-franchise</v>
      </c>
      <c r="Q517" t="str">
        <f>IF(OR(I517 = 1,J517 =1), "old", "new")</f>
        <v>new</v>
      </c>
      <c r="R517">
        <f t="shared" si="16"/>
        <v>0.29893367210911592</v>
      </c>
      <c r="S517">
        <f>IF(Q517="new",1.5,1)*(K517/10)*(1-(MIN(F517,180)/180))</f>
        <v>0.16841666666666671</v>
      </c>
      <c r="T517" t="str">
        <f t="shared" si="17"/>
        <v>Scenario 2: Weak Commitment/Convenience</v>
      </c>
    </row>
    <row r="518" spans="1:20" x14ac:dyDescent="0.35">
      <c r="A518" t="s">
        <v>675</v>
      </c>
      <c r="B518" s="1">
        <v>45251</v>
      </c>
      <c r="C518">
        <v>2023</v>
      </c>
      <c r="D518">
        <v>11</v>
      </c>
      <c r="E518" t="s">
        <v>125</v>
      </c>
      <c r="F518">
        <v>106</v>
      </c>
      <c r="G518" t="s">
        <v>676</v>
      </c>
      <c r="H518" t="s">
        <v>56</v>
      </c>
      <c r="I518">
        <v>0</v>
      </c>
      <c r="J518">
        <v>0</v>
      </c>
      <c r="K518">
        <v>7</v>
      </c>
      <c r="L518">
        <v>45393</v>
      </c>
      <c r="M518" t="s">
        <v>88</v>
      </c>
      <c r="N518" t="str">
        <f>IF(ISNUMBER(SEARCH("Streaming", M518)), "streaming", "cinema")</f>
        <v>streaming</v>
      </c>
      <c r="O518" t="str">
        <f>IF(I518=1, "non-original", "original")</f>
        <v>original</v>
      </c>
      <c r="P518" t="str">
        <f>IF(J518 = 1, "franchise", "non-franchise")</f>
        <v>non-franchise</v>
      </c>
      <c r="Q518" t="str">
        <f>IF(OR(I518 = 1,J518 =1), "old", "new")</f>
        <v>new</v>
      </c>
      <c r="R518">
        <f t="shared" si="16"/>
        <v>0.45680782627492916</v>
      </c>
      <c r="S518">
        <f>IF(Q518="new",1.5,1)*(K518/10)*(1-(MIN(F518,180)/180))</f>
        <v>0.43166666666666659</v>
      </c>
      <c r="T518" t="str">
        <f t="shared" si="17"/>
        <v>Scenario 3: Strong Convenience</v>
      </c>
    </row>
    <row r="519" spans="1:20" x14ac:dyDescent="0.35">
      <c r="A519" t="s">
        <v>677</v>
      </c>
      <c r="B519" s="1">
        <v>45252</v>
      </c>
      <c r="C519">
        <v>2023</v>
      </c>
      <c r="D519">
        <v>11</v>
      </c>
      <c r="E519" t="s">
        <v>125</v>
      </c>
      <c r="F519">
        <v>117</v>
      </c>
      <c r="G519" t="s">
        <v>678</v>
      </c>
      <c r="H519" t="s">
        <v>24</v>
      </c>
      <c r="I519">
        <v>0</v>
      </c>
      <c r="J519">
        <v>0</v>
      </c>
      <c r="K519">
        <v>5.7</v>
      </c>
      <c r="L519">
        <v>767</v>
      </c>
      <c r="M519" t="s">
        <v>17</v>
      </c>
      <c r="N519" t="str">
        <f>IF(ISNUMBER(SEARCH("Streaming", M519)), "streaming", "cinema")</f>
        <v>streaming</v>
      </c>
      <c r="O519" t="str">
        <f>IF(I519=1, "non-original", "original")</f>
        <v>original</v>
      </c>
      <c r="P519" t="str">
        <f>IF(J519 = 1, "franchise", "non-franchise")</f>
        <v>non-franchise</v>
      </c>
      <c r="Q519" t="str">
        <f>IF(OR(I519 = 1,J519 =1), "old", "new")</f>
        <v>new</v>
      </c>
      <c r="R519">
        <f t="shared" si="16"/>
        <v>0.31233693363922765</v>
      </c>
      <c r="S519">
        <f>IF(Q519="new",1.5,1)*(K519/10)*(1-(MIN(F519,180)/180))</f>
        <v>0.29925000000000002</v>
      </c>
      <c r="T519" t="str">
        <f t="shared" si="17"/>
        <v>Scenario 2: Weak Commitment/Convenience</v>
      </c>
    </row>
    <row r="520" spans="1:20" x14ac:dyDescent="0.35">
      <c r="A520" t="s">
        <v>679</v>
      </c>
      <c r="B520" s="1">
        <v>45254</v>
      </c>
      <c r="C520">
        <v>2023</v>
      </c>
      <c r="D520">
        <v>11</v>
      </c>
      <c r="E520" t="s">
        <v>125</v>
      </c>
      <c r="F520">
        <v>99</v>
      </c>
      <c r="G520" t="s">
        <v>34</v>
      </c>
      <c r="H520" t="s">
        <v>30</v>
      </c>
      <c r="I520">
        <v>0</v>
      </c>
      <c r="J520">
        <v>0</v>
      </c>
      <c r="K520">
        <v>5.5</v>
      </c>
      <c r="L520">
        <v>856</v>
      </c>
      <c r="M520" t="s">
        <v>17</v>
      </c>
      <c r="N520" t="str">
        <f>IF(ISNUMBER(SEARCH("Streaming", M520)), "streaming", "cinema")</f>
        <v>streaming</v>
      </c>
      <c r="O520" t="str">
        <f>IF(I520=1, "non-original", "original")</f>
        <v>original</v>
      </c>
      <c r="P520" t="str">
        <f>IF(J520 = 1, "franchise", "non-franchise")</f>
        <v>non-franchise</v>
      </c>
      <c r="Q520" t="str">
        <f>IF(OR(I520 = 1,J520 =1), "old", "new")</f>
        <v>new</v>
      </c>
      <c r="R520">
        <f t="shared" si="16"/>
        <v>0.26865306464027017</v>
      </c>
      <c r="S520">
        <f>IF(Q520="new",1.5,1)*(K520/10)*(1-(MIN(F520,180)/180))</f>
        <v>0.37124999999999997</v>
      </c>
      <c r="T520" t="str">
        <f t="shared" si="17"/>
        <v>Scenario 3: Strong Convenience</v>
      </c>
    </row>
    <row r="521" spans="1:20" x14ac:dyDescent="0.35">
      <c r="A521" t="s">
        <v>680</v>
      </c>
      <c r="B521" s="1">
        <v>45254</v>
      </c>
      <c r="C521">
        <v>2023</v>
      </c>
      <c r="D521">
        <v>11</v>
      </c>
      <c r="E521" t="s">
        <v>125</v>
      </c>
      <c r="F521">
        <v>100</v>
      </c>
      <c r="G521" t="s">
        <v>34</v>
      </c>
      <c r="H521" t="s">
        <v>30</v>
      </c>
      <c r="I521">
        <v>0</v>
      </c>
      <c r="J521">
        <v>0</v>
      </c>
      <c r="K521">
        <v>5.5</v>
      </c>
      <c r="L521">
        <v>830</v>
      </c>
      <c r="M521" t="s">
        <v>17</v>
      </c>
      <c r="N521" t="str">
        <f>IF(ISNUMBER(SEARCH("Streaming", M521)), "streaming", "cinema")</f>
        <v>streaming</v>
      </c>
      <c r="O521" t="str">
        <f>IF(I521=1, "non-original", "original")</f>
        <v>original</v>
      </c>
      <c r="P521" t="str">
        <f>IF(J521 = 1, "franchise", "non-franchise")</f>
        <v>non-franchise</v>
      </c>
      <c r="Q521" t="str">
        <f>IF(OR(I521 = 1,J521 =1), "old", "new")</f>
        <v>new</v>
      </c>
      <c r="R521">
        <f t="shared" si="16"/>
        <v>0.27012711649986509</v>
      </c>
      <c r="S521">
        <f>IF(Q521="new",1.5,1)*(K521/10)*(1-(MIN(F521,180)/180))</f>
        <v>0.3666666666666667</v>
      </c>
      <c r="T521" t="str">
        <f t="shared" si="17"/>
        <v>Scenario 3: Strong Convenience</v>
      </c>
    </row>
    <row r="522" spans="1:20" x14ac:dyDescent="0.35">
      <c r="A522" t="s">
        <v>681</v>
      </c>
      <c r="B522" s="1">
        <v>45254</v>
      </c>
      <c r="C522">
        <v>2023</v>
      </c>
      <c r="D522">
        <v>11</v>
      </c>
      <c r="E522" t="s">
        <v>125</v>
      </c>
      <c r="F522">
        <v>91</v>
      </c>
      <c r="G522" t="s">
        <v>34</v>
      </c>
      <c r="H522" t="s">
        <v>24</v>
      </c>
      <c r="I522">
        <v>0</v>
      </c>
      <c r="J522">
        <v>0</v>
      </c>
      <c r="K522">
        <v>5.3</v>
      </c>
      <c r="L522">
        <v>10568</v>
      </c>
      <c r="M522" t="s">
        <v>17</v>
      </c>
      <c r="N522" t="str">
        <f>IF(ISNUMBER(SEARCH("Streaming", M522)), "streaming", "cinema")</f>
        <v>streaming</v>
      </c>
      <c r="O522" t="str">
        <f>IF(I522=1, "non-original", "original")</f>
        <v>original</v>
      </c>
      <c r="P522" t="str">
        <f>IF(J522 = 1, "franchise", "non-franchise")</f>
        <v>non-franchise</v>
      </c>
      <c r="Q522" t="str">
        <f>IF(OR(I522 = 1,J522 =1), "old", "new")</f>
        <v>new</v>
      </c>
      <c r="R522">
        <f t="shared" si="16"/>
        <v>0.33886058551389547</v>
      </c>
      <c r="S522">
        <f>IF(Q522="new",1.5,1)*(K522/10)*(1-(MIN(F522,180)/180))</f>
        <v>0.3930833333333334</v>
      </c>
      <c r="T522" t="str">
        <f t="shared" si="17"/>
        <v>Scenario 3: Strong Convenience</v>
      </c>
    </row>
    <row r="523" spans="1:20" x14ac:dyDescent="0.35">
      <c r="A523" t="s">
        <v>682</v>
      </c>
      <c r="B523" s="1">
        <v>45254</v>
      </c>
      <c r="C523">
        <v>2023</v>
      </c>
      <c r="D523">
        <v>11</v>
      </c>
      <c r="E523" t="s">
        <v>125</v>
      </c>
      <c r="F523">
        <v>79</v>
      </c>
      <c r="G523" t="s">
        <v>21</v>
      </c>
      <c r="H523" t="s">
        <v>30</v>
      </c>
      <c r="I523">
        <v>0</v>
      </c>
      <c r="J523">
        <v>0</v>
      </c>
      <c r="K523">
        <v>4.2</v>
      </c>
      <c r="L523">
        <v>167</v>
      </c>
      <c r="M523" t="s">
        <v>17</v>
      </c>
      <c r="N523" t="str">
        <f>IF(ISNUMBER(SEARCH("Streaming", M523)), "streaming", "cinema")</f>
        <v>streaming</v>
      </c>
      <c r="O523" t="str">
        <f>IF(I523=1, "non-original", "original")</f>
        <v>original</v>
      </c>
      <c r="P523" t="str">
        <f>IF(J523 = 1, "franchise", "non-franchise")</f>
        <v>non-franchise</v>
      </c>
      <c r="Q523" t="str">
        <f>IF(OR(I523 = 1,J523 =1), "old", "new")</f>
        <v>new</v>
      </c>
      <c r="R523">
        <f t="shared" si="16"/>
        <v>0.16249261513271432</v>
      </c>
      <c r="S523">
        <f>IF(Q523="new",1.5,1)*(K523/10)*(1-(MIN(F523,180)/180))</f>
        <v>0.35350000000000009</v>
      </c>
      <c r="T523" t="str">
        <f t="shared" si="17"/>
        <v>Scenario 3: Strong Convenience</v>
      </c>
    </row>
    <row r="524" spans="1:20" x14ac:dyDescent="0.35">
      <c r="A524" t="s">
        <v>683</v>
      </c>
      <c r="B524" s="1">
        <v>45260</v>
      </c>
      <c r="C524">
        <v>2023</v>
      </c>
      <c r="D524">
        <v>11</v>
      </c>
      <c r="E524" t="s">
        <v>125</v>
      </c>
      <c r="F524">
        <v>105</v>
      </c>
      <c r="G524" t="s">
        <v>21</v>
      </c>
      <c r="H524" t="s">
        <v>56</v>
      </c>
      <c r="I524">
        <v>0</v>
      </c>
      <c r="J524">
        <v>0</v>
      </c>
      <c r="K524">
        <v>5.7</v>
      </c>
      <c r="L524">
        <v>33088</v>
      </c>
      <c r="M524" t="s">
        <v>88</v>
      </c>
      <c r="N524" t="str">
        <f>IF(ISNUMBER(SEARCH("Streaming", M524)), "streaming", "cinema")</f>
        <v>streaming</v>
      </c>
      <c r="O524" t="str">
        <f>IF(I524=1, "non-original", "original")</f>
        <v>original</v>
      </c>
      <c r="P524" t="str">
        <f>IF(J524 = 1, "franchise", "non-franchise")</f>
        <v>non-franchise</v>
      </c>
      <c r="Q524" t="str">
        <f>IF(OR(I524 = 1,J524 =1), "old", "new")</f>
        <v>new</v>
      </c>
      <c r="R524">
        <f t="shared" si="16"/>
        <v>0.43915572038691381</v>
      </c>
      <c r="S524">
        <f>IF(Q524="new",1.5,1)*(K524/10)*(1-(MIN(F524,180)/180))</f>
        <v>0.35625000000000001</v>
      </c>
      <c r="T524" t="str">
        <f t="shared" si="17"/>
        <v>Scenario 3: Strong Convenience</v>
      </c>
    </row>
    <row r="525" spans="1:20" x14ac:dyDescent="0.35">
      <c r="A525" t="s">
        <v>684</v>
      </c>
      <c r="B525" s="1">
        <v>45266</v>
      </c>
      <c r="C525">
        <v>2023</v>
      </c>
      <c r="D525">
        <v>12</v>
      </c>
      <c r="E525" t="s">
        <v>14</v>
      </c>
      <c r="F525">
        <v>89</v>
      </c>
      <c r="G525" t="s">
        <v>29</v>
      </c>
      <c r="H525" t="s">
        <v>27</v>
      </c>
      <c r="I525">
        <v>0</v>
      </c>
      <c r="J525">
        <v>0</v>
      </c>
      <c r="K525">
        <v>5.5</v>
      </c>
      <c r="L525">
        <v>6718</v>
      </c>
      <c r="M525" t="s">
        <v>17</v>
      </c>
      <c r="N525" t="str">
        <f>IF(ISNUMBER(SEARCH("Streaming", M525)), "streaming", "cinema")</f>
        <v>streaming</v>
      </c>
      <c r="O525" t="str">
        <f>IF(I525=1, "non-original", "original")</f>
        <v>original</v>
      </c>
      <c r="P525" t="str">
        <f>IF(J525 = 1, "franchise", "non-franchise")</f>
        <v>non-franchise</v>
      </c>
      <c r="Q525" t="str">
        <f>IF(OR(I525 = 1,J525 =1), "old", "new")</f>
        <v>new</v>
      </c>
      <c r="R525">
        <f t="shared" si="16"/>
        <v>0.31520868319638251</v>
      </c>
      <c r="S525">
        <f>IF(Q525="new",1.5,1)*(K525/10)*(1-(MIN(F525,180)/180))</f>
        <v>0.41708333333333336</v>
      </c>
      <c r="T525" t="str">
        <f t="shared" si="17"/>
        <v>Scenario 3: Strong Convenience</v>
      </c>
    </row>
    <row r="526" spans="1:20" x14ac:dyDescent="0.35">
      <c r="A526" t="s">
        <v>685</v>
      </c>
      <c r="B526" s="1">
        <v>45267</v>
      </c>
      <c r="C526">
        <v>2023</v>
      </c>
      <c r="D526">
        <v>12</v>
      </c>
      <c r="E526" t="s">
        <v>14</v>
      </c>
      <c r="F526">
        <v>113</v>
      </c>
      <c r="G526" t="s">
        <v>19</v>
      </c>
      <c r="H526" t="s">
        <v>24</v>
      </c>
      <c r="I526">
        <v>0</v>
      </c>
      <c r="J526">
        <v>0</v>
      </c>
      <c r="K526">
        <v>5.9</v>
      </c>
      <c r="L526">
        <v>20333</v>
      </c>
      <c r="M526" t="s">
        <v>17</v>
      </c>
      <c r="N526" t="str">
        <f>IF(ISNUMBER(SEARCH("Streaming", M526)), "streaming", "cinema")</f>
        <v>streaming</v>
      </c>
      <c r="O526" t="str">
        <f>IF(I526=1, "non-original", "original")</f>
        <v>original</v>
      </c>
      <c r="P526" t="str">
        <f>IF(J526 = 1, "franchise", "non-franchise")</f>
        <v>non-franchise</v>
      </c>
      <c r="Q526" t="str">
        <f>IF(OR(I526 = 1,J526 =1), "old", "new")</f>
        <v>new</v>
      </c>
      <c r="R526">
        <f t="shared" si="16"/>
        <v>0.45050220006904962</v>
      </c>
      <c r="S526">
        <f>IF(Q526="new",1.5,1)*(K526/10)*(1-(MIN(F526,180)/180))</f>
        <v>0.32941666666666675</v>
      </c>
      <c r="T526" t="str">
        <f t="shared" si="17"/>
        <v>Scenario 3: Strong Convenience</v>
      </c>
    </row>
    <row r="527" spans="1:20" x14ac:dyDescent="0.35">
      <c r="A527" t="s">
        <v>686</v>
      </c>
      <c r="B527" s="1">
        <v>45267</v>
      </c>
      <c r="C527">
        <v>2023</v>
      </c>
      <c r="D527">
        <v>12</v>
      </c>
      <c r="E527" t="s">
        <v>14</v>
      </c>
      <c r="F527">
        <v>143</v>
      </c>
      <c r="G527" t="s">
        <v>188</v>
      </c>
      <c r="H527" t="s">
        <v>27</v>
      </c>
      <c r="I527">
        <v>0</v>
      </c>
      <c r="J527">
        <v>0</v>
      </c>
      <c r="K527">
        <v>4.2</v>
      </c>
      <c r="L527">
        <v>53518</v>
      </c>
      <c r="M527" t="s">
        <v>17</v>
      </c>
      <c r="N527" t="str">
        <f>IF(ISNUMBER(SEARCH("Streaming", M527)), "streaming", "cinema")</f>
        <v>streaming</v>
      </c>
      <c r="O527" t="str">
        <f>IF(I527=1, "non-original", "original")</f>
        <v>original</v>
      </c>
      <c r="P527" t="str">
        <f>IF(J527 = 1, "franchise", "non-franchise")</f>
        <v>non-franchise</v>
      </c>
      <c r="Q527" t="str">
        <f>IF(OR(I527 = 1,J527 =1), "old", "new")</f>
        <v>new</v>
      </c>
      <c r="R527">
        <f t="shared" si="16"/>
        <v>0.62572266812496169</v>
      </c>
      <c r="S527">
        <f>IF(Q527="new",1.5,1)*(K527/10)*(1-(MIN(F527,180)/180))</f>
        <v>0.12950000000000006</v>
      </c>
      <c r="T527" t="str">
        <f t="shared" si="17"/>
        <v>Scenario 1: Strong Commitment</v>
      </c>
    </row>
    <row r="528" spans="1:20" x14ac:dyDescent="0.35">
      <c r="A528" t="s">
        <v>687</v>
      </c>
      <c r="B528" s="1">
        <v>45268</v>
      </c>
      <c r="C528">
        <v>2023</v>
      </c>
      <c r="D528">
        <v>12</v>
      </c>
      <c r="E528" t="s">
        <v>14</v>
      </c>
      <c r="F528">
        <v>119</v>
      </c>
      <c r="G528" t="s">
        <v>19</v>
      </c>
      <c r="H528" t="s">
        <v>30</v>
      </c>
      <c r="I528">
        <v>0</v>
      </c>
      <c r="J528">
        <v>0</v>
      </c>
      <c r="K528">
        <v>4.4000000000000004</v>
      </c>
      <c r="L528">
        <v>496</v>
      </c>
      <c r="M528" t="s">
        <v>17</v>
      </c>
      <c r="N528" t="str">
        <f>IF(ISNUMBER(SEARCH("Streaming", M528)), "streaming", "cinema")</f>
        <v>streaming</v>
      </c>
      <c r="O528" t="str">
        <f>IF(I528=1, "non-original", "original")</f>
        <v>original</v>
      </c>
      <c r="P528" t="str">
        <f>IF(J528 = 1, "franchise", "non-franchise")</f>
        <v>non-franchise</v>
      </c>
      <c r="Q528" t="str">
        <f>IF(OR(I528 = 1,J528 =1), "old", "new")</f>
        <v>new</v>
      </c>
      <c r="R528">
        <f t="shared" si="16"/>
        <v>0.29682864831630834</v>
      </c>
      <c r="S528">
        <f>IF(Q528="new",1.5,1)*(K528/10)*(1-(MIN(F528,180)/180))</f>
        <v>0.22366666666666674</v>
      </c>
      <c r="T528" t="str">
        <f t="shared" si="17"/>
        <v>Scenario 2: Weak Commitment/Convenience</v>
      </c>
    </row>
    <row r="529" spans="1:20" x14ac:dyDescent="0.35">
      <c r="A529" t="s">
        <v>688</v>
      </c>
      <c r="B529" s="1">
        <v>45268</v>
      </c>
      <c r="C529">
        <v>2023</v>
      </c>
      <c r="D529">
        <v>12</v>
      </c>
      <c r="E529" t="s">
        <v>14</v>
      </c>
      <c r="F529">
        <v>141</v>
      </c>
      <c r="G529" t="s">
        <v>34</v>
      </c>
      <c r="H529" t="s">
        <v>24</v>
      </c>
      <c r="I529">
        <v>0</v>
      </c>
      <c r="J529">
        <v>0</v>
      </c>
      <c r="K529">
        <v>6.4</v>
      </c>
      <c r="L529">
        <v>240002</v>
      </c>
      <c r="M529" t="s">
        <v>88</v>
      </c>
      <c r="N529" t="str">
        <f>IF(ISNUMBER(SEARCH("Streaming", M529)), "streaming", "cinema")</f>
        <v>streaming</v>
      </c>
      <c r="O529" t="str">
        <f>IF(I529=1, "non-original", "original")</f>
        <v>original</v>
      </c>
      <c r="P529" t="str">
        <f>IF(J529 = 1, "franchise", "non-franchise")</f>
        <v>non-franchise</v>
      </c>
      <c r="Q529" t="str">
        <f>IF(OR(I529 = 1,J529 =1), "old", "new")</f>
        <v>new</v>
      </c>
      <c r="R529">
        <f t="shared" si="16"/>
        <v>0.70200661014183041</v>
      </c>
      <c r="S529">
        <f>IF(Q529="new",1.5,1)*(K529/10)*(1-(MIN(F529,180)/180))</f>
        <v>0.20799999999999999</v>
      </c>
      <c r="T529" t="str">
        <f t="shared" si="17"/>
        <v>Scenario 1: Strong Commitment</v>
      </c>
    </row>
    <row r="530" spans="1:20" x14ac:dyDescent="0.35">
      <c r="A530" t="s">
        <v>689</v>
      </c>
      <c r="B530" s="1">
        <v>45275</v>
      </c>
      <c r="C530">
        <v>2023</v>
      </c>
      <c r="D530">
        <v>12</v>
      </c>
      <c r="E530" t="s">
        <v>14</v>
      </c>
      <c r="F530">
        <v>101</v>
      </c>
      <c r="G530" t="s">
        <v>690</v>
      </c>
      <c r="H530" t="s">
        <v>56</v>
      </c>
      <c r="I530">
        <v>1</v>
      </c>
      <c r="J530">
        <v>1</v>
      </c>
      <c r="K530">
        <v>6.3</v>
      </c>
      <c r="L530">
        <v>28766</v>
      </c>
      <c r="M530" t="s">
        <v>88</v>
      </c>
      <c r="N530" t="str">
        <f>IF(ISNUMBER(SEARCH("Streaming", M530)), "streaming", "cinema")</f>
        <v>streaming</v>
      </c>
      <c r="O530" t="str">
        <f>IF(I530=1, "non-original", "original")</f>
        <v>non-original</v>
      </c>
      <c r="P530" t="str">
        <f>IF(J530 = 1, "franchise", "non-franchise")</f>
        <v>franchise</v>
      </c>
      <c r="Q530" t="str">
        <f>IF(OR(I530 = 1,J530 =1), "old", "new")</f>
        <v>old</v>
      </c>
      <c r="R530">
        <f t="shared" si="16"/>
        <v>0.62511631742817131</v>
      </c>
      <c r="S530">
        <f>IF(Q530="new",1.5,1)*(K530/10)*(1-(MIN(F530,180)/180))</f>
        <v>0.27650000000000002</v>
      </c>
      <c r="T530" t="str">
        <f t="shared" si="17"/>
        <v>Scenario 1: Strong Commitment</v>
      </c>
    </row>
    <row r="531" spans="1:20" x14ac:dyDescent="0.35">
      <c r="A531" t="s">
        <v>691</v>
      </c>
      <c r="B531" s="1">
        <v>45275</v>
      </c>
      <c r="C531">
        <v>2023</v>
      </c>
      <c r="D531">
        <v>12</v>
      </c>
      <c r="E531" t="s">
        <v>14</v>
      </c>
      <c r="F531">
        <v>105</v>
      </c>
      <c r="G531" t="s">
        <v>34</v>
      </c>
      <c r="H531" t="s">
        <v>24</v>
      </c>
      <c r="I531">
        <v>0</v>
      </c>
      <c r="J531">
        <v>0</v>
      </c>
      <c r="K531">
        <v>6.6</v>
      </c>
      <c r="L531">
        <v>1126</v>
      </c>
      <c r="M531" t="s">
        <v>17</v>
      </c>
      <c r="N531" t="str">
        <f>IF(ISNUMBER(SEARCH("Streaming", M531)), "streaming", "cinema")</f>
        <v>streaming</v>
      </c>
      <c r="O531" t="str">
        <f>IF(I531=1, "non-original", "original")</f>
        <v>original</v>
      </c>
      <c r="P531" t="str">
        <f>IF(J531 = 1, "franchise", "non-franchise")</f>
        <v>non-franchise</v>
      </c>
      <c r="Q531" t="str">
        <f>IF(OR(I531 = 1,J531 =1), "old", "new")</f>
        <v>new</v>
      </c>
      <c r="R531">
        <f t="shared" si="16"/>
        <v>0.29650403389172653</v>
      </c>
      <c r="S531">
        <f>IF(Q531="new",1.5,1)*(K531/10)*(1-(MIN(F531,180)/180))</f>
        <v>0.41249999999999992</v>
      </c>
      <c r="T531" t="str">
        <f t="shared" si="17"/>
        <v>Scenario 3: Strong Convenience</v>
      </c>
    </row>
    <row r="532" spans="1:20" x14ac:dyDescent="0.35">
      <c r="A532" t="s">
        <v>692</v>
      </c>
      <c r="B532" s="1">
        <v>45280</v>
      </c>
      <c r="C532">
        <v>2023</v>
      </c>
      <c r="D532">
        <v>12</v>
      </c>
      <c r="E532" t="s">
        <v>14</v>
      </c>
      <c r="F532">
        <v>131</v>
      </c>
      <c r="G532" t="s">
        <v>111</v>
      </c>
      <c r="H532" t="s">
        <v>24</v>
      </c>
      <c r="I532">
        <v>0</v>
      </c>
      <c r="J532">
        <v>0</v>
      </c>
      <c r="K532">
        <v>6.5</v>
      </c>
      <c r="L532">
        <v>69070</v>
      </c>
      <c r="M532" t="s">
        <v>17</v>
      </c>
      <c r="N532" t="str">
        <f>IF(ISNUMBER(SEARCH("Streaming", M532)), "streaming", "cinema")</f>
        <v>streaming</v>
      </c>
      <c r="O532" t="str">
        <f>IF(I532=1, "non-original", "original")</f>
        <v>original</v>
      </c>
      <c r="P532" t="str">
        <f>IF(J532 = 1, "franchise", "non-franchise")</f>
        <v>non-franchise</v>
      </c>
      <c r="Q532" t="str">
        <f>IF(OR(I532 = 1,J532 =1), "old", "new")</f>
        <v>new</v>
      </c>
      <c r="R532">
        <f t="shared" si="16"/>
        <v>0.58664498774322371</v>
      </c>
      <c r="S532">
        <f>IF(Q532="new",1.5,1)*(K532/10)*(1-(MIN(F532,180)/180))</f>
        <v>0.26541666666666675</v>
      </c>
      <c r="T532" t="str">
        <f t="shared" si="17"/>
        <v>Scenario 1: Strong Commitment</v>
      </c>
    </row>
    <row r="533" spans="1:20" x14ac:dyDescent="0.35">
      <c r="A533" t="s">
        <v>693</v>
      </c>
      <c r="B533" s="1">
        <v>45280</v>
      </c>
      <c r="C533">
        <v>2023</v>
      </c>
      <c r="D533">
        <v>12</v>
      </c>
      <c r="E533" t="s">
        <v>14</v>
      </c>
      <c r="F533">
        <v>100</v>
      </c>
      <c r="G533" t="s">
        <v>21</v>
      </c>
      <c r="H533" t="s">
        <v>24</v>
      </c>
      <c r="I533">
        <v>0</v>
      </c>
      <c r="J533">
        <v>0</v>
      </c>
      <c r="K533">
        <v>4.3</v>
      </c>
      <c r="L533">
        <v>334</v>
      </c>
      <c r="M533" t="s">
        <v>17</v>
      </c>
      <c r="N533" t="str">
        <f>IF(ISNUMBER(SEARCH("Streaming", M533)), "streaming", "cinema")</f>
        <v>streaming</v>
      </c>
      <c r="O533" t="str">
        <f>IF(I533=1, "non-original", "original")</f>
        <v>original</v>
      </c>
      <c r="P533" t="str">
        <f>IF(J533 = 1, "franchise", "non-franchise")</f>
        <v>non-franchise</v>
      </c>
      <c r="Q533" t="str">
        <f>IF(OR(I533 = 1,J533 =1), "old", "new")</f>
        <v>new</v>
      </c>
      <c r="R533">
        <f t="shared" si="16"/>
        <v>0.2335437197233779</v>
      </c>
      <c r="S533">
        <f>IF(Q533="new",1.5,1)*(K533/10)*(1-(MIN(F533,180)/180))</f>
        <v>0.28666666666666668</v>
      </c>
      <c r="T533" t="str">
        <f t="shared" si="17"/>
        <v>Scenario 2: Weak Commitment/Convenience</v>
      </c>
    </row>
    <row r="534" spans="1:20" x14ac:dyDescent="0.35">
      <c r="A534" t="s">
        <v>694</v>
      </c>
      <c r="B534" s="1">
        <v>45284</v>
      </c>
      <c r="C534">
        <v>2023</v>
      </c>
      <c r="D534">
        <v>12</v>
      </c>
      <c r="E534" t="s">
        <v>14</v>
      </c>
      <c r="F534">
        <v>89</v>
      </c>
      <c r="G534" t="s">
        <v>21</v>
      </c>
      <c r="H534" t="s">
        <v>24</v>
      </c>
      <c r="I534">
        <v>0</v>
      </c>
      <c r="J534">
        <v>0</v>
      </c>
      <c r="K534">
        <v>4.7</v>
      </c>
      <c r="L534">
        <v>1664</v>
      </c>
      <c r="M534" t="s">
        <v>17</v>
      </c>
      <c r="N534" t="str">
        <f>IF(ISNUMBER(SEARCH("Streaming", M534)), "streaming", "cinema")</f>
        <v>streaming</v>
      </c>
      <c r="O534" t="str">
        <f>IF(I534=1, "non-original", "original")</f>
        <v>original</v>
      </c>
      <c r="P534" t="str">
        <f>IF(J534 = 1, "franchise", "non-franchise")</f>
        <v>non-franchise</v>
      </c>
      <c r="Q534" t="str">
        <f>IF(OR(I534 = 1,J534 =1), "old", "new")</f>
        <v>new</v>
      </c>
      <c r="R534">
        <f t="shared" si="16"/>
        <v>0.26529182834579074</v>
      </c>
      <c r="S534">
        <f>IF(Q534="new",1.5,1)*(K534/10)*(1-(MIN(F534,180)/180))</f>
        <v>0.35641666666666671</v>
      </c>
      <c r="T534" t="str">
        <f t="shared" si="17"/>
        <v>Scenario 3: Strong Convenience</v>
      </c>
    </row>
    <row r="535" spans="1:20" x14ac:dyDescent="0.35">
      <c r="A535" t="s">
        <v>695</v>
      </c>
      <c r="B535" s="1">
        <v>45286</v>
      </c>
      <c r="C535">
        <v>2023</v>
      </c>
      <c r="D535">
        <v>12</v>
      </c>
      <c r="E535" t="s">
        <v>14</v>
      </c>
      <c r="F535">
        <v>134</v>
      </c>
      <c r="G535" t="s">
        <v>116</v>
      </c>
      <c r="H535" t="s">
        <v>27</v>
      </c>
      <c r="I535">
        <v>0</v>
      </c>
      <c r="J535">
        <v>0</v>
      </c>
      <c r="K535">
        <v>7.3</v>
      </c>
      <c r="L535">
        <v>31643</v>
      </c>
      <c r="M535" t="s">
        <v>17</v>
      </c>
      <c r="N535" t="str">
        <f>IF(ISNUMBER(SEARCH("Streaming", M535)), "streaming", "cinema")</f>
        <v>streaming</v>
      </c>
      <c r="O535" t="str">
        <f>IF(I535=1, "non-original", "original")</f>
        <v>original</v>
      </c>
      <c r="P535" t="str">
        <f>IF(J535 = 1, "franchise", "non-franchise")</f>
        <v>non-franchise</v>
      </c>
      <c r="Q535" t="str">
        <f>IF(OR(I535 = 1,J535 =1), "old", "new")</f>
        <v>new</v>
      </c>
      <c r="R535">
        <f t="shared" si="16"/>
        <v>0.55804160164832073</v>
      </c>
      <c r="S535">
        <f>IF(Q535="new",1.5,1)*(K535/10)*(1-(MIN(F535,180)/180))</f>
        <v>0.27983333333333332</v>
      </c>
      <c r="T535" t="str">
        <f t="shared" si="17"/>
        <v>Scenario 1: Strong Commitment</v>
      </c>
    </row>
    <row r="536" spans="1:20" x14ac:dyDescent="0.35">
      <c r="A536" t="s">
        <v>696</v>
      </c>
      <c r="B536" s="1">
        <v>45286</v>
      </c>
      <c r="C536">
        <v>2023</v>
      </c>
      <c r="D536">
        <v>12</v>
      </c>
      <c r="E536" t="s">
        <v>14</v>
      </c>
      <c r="F536">
        <v>91</v>
      </c>
      <c r="G536" t="s">
        <v>116</v>
      </c>
      <c r="H536" t="s">
        <v>27</v>
      </c>
      <c r="I536">
        <v>0</v>
      </c>
      <c r="J536">
        <v>0</v>
      </c>
      <c r="K536">
        <v>6</v>
      </c>
      <c r="L536">
        <v>1487</v>
      </c>
      <c r="M536" t="s">
        <v>17</v>
      </c>
      <c r="N536" t="str">
        <f>IF(ISNUMBER(SEARCH("Streaming", M536)), "streaming", "cinema")</f>
        <v>streaming</v>
      </c>
      <c r="O536" t="str">
        <f>IF(I536=1, "non-original", "original")</f>
        <v>original</v>
      </c>
      <c r="P536" t="str">
        <f>IF(J536 = 1, "franchise", "non-franchise")</f>
        <v>non-franchise</v>
      </c>
      <c r="Q536" t="str">
        <f>IF(OR(I536 = 1,J536 =1), "old", "new")</f>
        <v>new</v>
      </c>
      <c r="R536">
        <f t="shared" si="16"/>
        <v>0.26714042604522742</v>
      </c>
      <c r="S536">
        <f>IF(Q536="new",1.5,1)*(K536/10)*(1-(MIN(F536,180)/180))</f>
        <v>0.44499999999999995</v>
      </c>
      <c r="T536" t="str">
        <f t="shared" si="17"/>
        <v>Scenario 3: Strong Convenience</v>
      </c>
    </row>
    <row r="537" spans="1:20" x14ac:dyDescent="0.35">
      <c r="A537" t="s">
        <v>697</v>
      </c>
      <c r="B537" s="1">
        <v>45303</v>
      </c>
      <c r="C537">
        <v>2024</v>
      </c>
      <c r="D537">
        <v>1</v>
      </c>
      <c r="E537" t="s">
        <v>14</v>
      </c>
      <c r="F537">
        <v>106</v>
      </c>
      <c r="G537" t="s">
        <v>698</v>
      </c>
      <c r="H537" t="s">
        <v>27</v>
      </c>
      <c r="I537">
        <v>0</v>
      </c>
      <c r="J537">
        <v>0</v>
      </c>
      <c r="K537">
        <v>5.6</v>
      </c>
      <c r="L537">
        <v>52117</v>
      </c>
      <c r="M537" t="s">
        <v>88</v>
      </c>
      <c r="N537" t="str">
        <f>IF(ISNUMBER(SEARCH("Streaming", M537)), "streaming", "cinema")</f>
        <v>streaming</v>
      </c>
      <c r="O537" t="str">
        <f>IF(I537=1, "non-original", "original")</f>
        <v>original</v>
      </c>
      <c r="P537" t="str">
        <f>IF(J537 = 1, "franchise", "non-franchise")</f>
        <v>non-franchise</v>
      </c>
      <c r="Q537" t="str">
        <f>IF(OR(I537 = 1,J537 =1), "old", "new")</f>
        <v>new</v>
      </c>
      <c r="R537">
        <f t="shared" si="16"/>
        <v>0.46269234540992266</v>
      </c>
      <c r="S537">
        <f>IF(Q537="new",1.5,1)*(K537/10)*(1-(MIN(F537,180)/180))</f>
        <v>0.34533333333333327</v>
      </c>
      <c r="T537" t="str">
        <f t="shared" si="17"/>
        <v>Scenario 3: Strong Convenience</v>
      </c>
    </row>
    <row r="538" spans="1:20" x14ac:dyDescent="0.35">
      <c r="A538" t="s">
        <v>699</v>
      </c>
      <c r="B538" s="1">
        <v>45309</v>
      </c>
      <c r="C538">
        <v>2024</v>
      </c>
      <c r="D538">
        <v>1</v>
      </c>
      <c r="E538" t="s">
        <v>14</v>
      </c>
      <c r="F538">
        <v>92</v>
      </c>
      <c r="G538" t="s">
        <v>34</v>
      </c>
      <c r="H538" t="s">
        <v>27</v>
      </c>
      <c r="I538">
        <v>0</v>
      </c>
      <c r="J538">
        <v>0</v>
      </c>
      <c r="K538">
        <v>5</v>
      </c>
      <c r="L538">
        <v>1391</v>
      </c>
      <c r="M538" t="s">
        <v>17</v>
      </c>
      <c r="N538" t="str">
        <f>IF(ISNUMBER(SEARCH("Streaming", M538)), "streaming", "cinema")</f>
        <v>streaming</v>
      </c>
      <c r="O538" t="str">
        <f>IF(I538=1, "non-original", "original")</f>
        <v>original</v>
      </c>
      <c r="P538" t="str">
        <f>IF(J538 = 1, "franchise", "non-franchise")</f>
        <v>non-franchise</v>
      </c>
      <c r="Q538" t="str">
        <f>IF(OR(I538 = 1,J538 =1), "old", "new")</f>
        <v>new</v>
      </c>
      <c r="R538">
        <f t="shared" si="16"/>
        <v>0.26760848377901619</v>
      </c>
      <c r="S538">
        <f>IF(Q538="new",1.5,1)*(K538/10)*(1-(MIN(F538,180)/180))</f>
        <v>0.3666666666666667</v>
      </c>
      <c r="T538" t="str">
        <f t="shared" si="17"/>
        <v>Scenario 3: Strong Convenience</v>
      </c>
    </row>
    <row r="539" spans="1:20" x14ac:dyDescent="0.35">
      <c r="A539" t="s">
        <v>700</v>
      </c>
      <c r="B539" s="1">
        <v>45310</v>
      </c>
      <c r="C539">
        <v>2024</v>
      </c>
      <c r="D539">
        <v>1</v>
      </c>
      <c r="E539" t="s">
        <v>14</v>
      </c>
      <c r="F539">
        <v>89</v>
      </c>
      <c r="G539" t="s">
        <v>58</v>
      </c>
      <c r="H539" t="s">
        <v>24</v>
      </c>
      <c r="I539">
        <v>0</v>
      </c>
      <c r="J539">
        <v>0</v>
      </c>
      <c r="K539">
        <v>5.7</v>
      </c>
      <c r="L539">
        <v>5602</v>
      </c>
      <c r="M539" t="s">
        <v>88</v>
      </c>
      <c r="N539" t="str">
        <f>IF(ISNUMBER(SEARCH("Streaming", M539)), "streaming", "cinema")</f>
        <v>streaming</v>
      </c>
      <c r="O539" t="str">
        <f>IF(I539=1, "non-original", "original")</f>
        <v>original</v>
      </c>
      <c r="P539" t="str">
        <f>IF(J539 = 1, "franchise", "non-franchise")</f>
        <v>non-franchise</v>
      </c>
      <c r="Q539" t="str">
        <f>IF(OR(I539 = 1,J539 =1), "old", "new")</f>
        <v>new</v>
      </c>
      <c r="R539">
        <f t="shared" si="16"/>
        <v>0.30871079270868129</v>
      </c>
      <c r="S539">
        <f>IF(Q539="new",1.5,1)*(K539/10)*(1-(MIN(F539,180)/180))</f>
        <v>0.43225000000000002</v>
      </c>
      <c r="T539" t="str">
        <f t="shared" si="17"/>
        <v>Scenario 3: Strong Convenience</v>
      </c>
    </row>
    <row r="540" spans="1:20" x14ac:dyDescent="0.35">
      <c r="A540" t="s">
        <v>701</v>
      </c>
      <c r="B540" s="1">
        <v>45317</v>
      </c>
      <c r="C540">
        <v>2024</v>
      </c>
      <c r="D540">
        <v>1</v>
      </c>
      <c r="E540" t="s">
        <v>14</v>
      </c>
      <c r="F540">
        <v>107</v>
      </c>
      <c r="G540" t="s">
        <v>702</v>
      </c>
      <c r="H540" t="s">
        <v>24</v>
      </c>
      <c r="I540">
        <v>0</v>
      </c>
      <c r="J540">
        <v>0</v>
      </c>
      <c r="K540">
        <v>6</v>
      </c>
      <c r="L540">
        <v>13414</v>
      </c>
      <c r="M540" t="s">
        <v>88</v>
      </c>
      <c r="N540" t="str">
        <f>IF(ISNUMBER(SEARCH("Streaming", M540)), "streaming", "cinema")</f>
        <v>streaming</v>
      </c>
      <c r="O540" t="str">
        <f>IF(I540=1, "non-original", "original")</f>
        <v>original</v>
      </c>
      <c r="P540" t="str">
        <f>IF(J540 = 1, "franchise", "non-franchise")</f>
        <v>non-franchise</v>
      </c>
      <c r="Q540" t="str">
        <f>IF(OR(I540 = 1,J540 =1), "old", "new")</f>
        <v>new</v>
      </c>
      <c r="R540">
        <f t="shared" si="16"/>
        <v>0.40869513048754791</v>
      </c>
      <c r="S540">
        <f>IF(Q540="new",1.5,1)*(K540/10)*(1-(MIN(F540,180)/180))</f>
        <v>0.36499999999999999</v>
      </c>
      <c r="T540" t="str">
        <f t="shared" si="17"/>
        <v>Scenario 3: Strong Convenience</v>
      </c>
    </row>
    <row r="541" spans="1:20" x14ac:dyDescent="0.35">
      <c r="A541" t="s">
        <v>703</v>
      </c>
      <c r="B541" s="1">
        <v>45324</v>
      </c>
      <c r="C541">
        <v>2024</v>
      </c>
      <c r="D541">
        <v>2</v>
      </c>
      <c r="E541" t="s">
        <v>14</v>
      </c>
      <c r="F541">
        <v>92</v>
      </c>
      <c r="G541" t="s">
        <v>704</v>
      </c>
      <c r="H541" t="s">
        <v>56</v>
      </c>
      <c r="I541">
        <v>0</v>
      </c>
      <c r="J541">
        <v>0</v>
      </c>
      <c r="K541">
        <v>6.3</v>
      </c>
      <c r="L541">
        <v>18970</v>
      </c>
      <c r="M541" t="s">
        <v>88</v>
      </c>
      <c r="N541" t="str">
        <f>IF(ISNUMBER(SEARCH("Streaming", M541)), "streaming", "cinema")</f>
        <v>streaming</v>
      </c>
      <c r="O541" t="str">
        <f>IF(I541=1, "non-original", "original")</f>
        <v>original</v>
      </c>
      <c r="P541" t="str">
        <f>IF(J541 = 1, "franchise", "non-franchise")</f>
        <v>non-franchise</v>
      </c>
      <c r="Q541" t="str">
        <f>IF(OR(I541 = 1,J541 =1), "old", "new")</f>
        <v>new</v>
      </c>
      <c r="R541">
        <f t="shared" si="16"/>
        <v>0.3642150703947109</v>
      </c>
      <c r="S541">
        <f>IF(Q541="new",1.5,1)*(K541/10)*(1-(MIN(F541,180)/180))</f>
        <v>0.46200000000000008</v>
      </c>
      <c r="T541" t="str">
        <f t="shared" si="17"/>
        <v>Scenario 3: Strong Convenience</v>
      </c>
    </row>
    <row r="542" spans="1:20" x14ac:dyDescent="0.35">
      <c r="A542" t="s">
        <v>705</v>
      </c>
      <c r="B542" s="1">
        <v>45331</v>
      </c>
      <c r="C542">
        <v>2024</v>
      </c>
      <c r="D542">
        <v>2</v>
      </c>
      <c r="E542" t="s">
        <v>14</v>
      </c>
      <c r="F542">
        <v>100</v>
      </c>
      <c r="G542" t="s">
        <v>34</v>
      </c>
      <c r="H542" t="s">
        <v>30</v>
      </c>
      <c r="I542">
        <v>0</v>
      </c>
      <c r="J542">
        <v>0</v>
      </c>
      <c r="K542">
        <v>4.3</v>
      </c>
      <c r="L542">
        <v>2811</v>
      </c>
      <c r="M542" t="s">
        <v>17</v>
      </c>
      <c r="N542" t="str">
        <f>IF(ISNUMBER(SEARCH("Streaming", M542)), "streaming", "cinema")</f>
        <v>streaming</v>
      </c>
      <c r="O542" t="str">
        <f>IF(I542=1, "non-original", "original")</f>
        <v>original</v>
      </c>
      <c r="P542" t="str">
        <f>IF(J542 = 1, "franchise", "non-franchise")</f>
        <v>non-franchise</v>
      </c>
      <c r="Q542" t="str">
        <f>IF(OR(I542 = 1,J542 =1), "old", "new")</f>
        <v>new</v>
      </c>
      <c r="R542">
        <f t="shared" si="16"/>
        <v>0.31915241934308602</v>
      </c>
      <c r="S542">
        <f>IF(Q542="new",1.5,1)*(K542/10)*(1-(MIN(F542,180)/180))</f>
        <v>0.28666666666666668</v>
      </c>
      <c r="T542" t="str">
        <f t="shared" si="17"/>
        <v>Scenario 2: Weak Commitment/Convenience</v>
      </c>
    </row>
    <row r="543" spans="1:20" x14ac:dyDescent="0.35">
      <c r="A543" t="s">
        <v>706</v>
      </c>
      <c r="B543" s="1">
        <v>45331</v>
      </c>
      <c r="C543">
        <v>2024</v>
      </c>
      <c r="D543">
        <v>2</v>
      </c>
      <c r="E543" t="s">
        <v>14</v>
      </c>
      <c r="F543">
        <v>134</v>
      </c>
      <c r="G543" t="s">
        <v>43</v>
      </c>
      <c r="H543" t="s">
        <v>24</v>
      </c>
      <c r="I543">
        <v>0</v>
      </c>
      <c r="J543">
        <v>0</v>
      </c>
      <c r="K543">
        <v>7.2</v>
      </c>
      <c r="L543">
        <v>7533</v>
      </c>
      <c r="M543" t="s">
        <v>17</v>
      </c>
      <c r="N543" t="str">
        <f>IF(ISNUMBER(SEARCH("Streaming", M543)), "streaming", "cinema")</f>
        <v>streaming</v>
      </c>
      <c r="O543" t="str">
        <f>IF(I543=1, "non-original", "original")</f>
        <v>original</v>
      </c>
      <c r="P543" t="str">
        <f>IF(J543 = 1, "franchise", "non-franchise")</f>
        <v>non-franchise</v>
      </c>
      <c r="Q543" t="str">
        <f>IF(OR(I543 = 1,J543 =1), "old", "new")</f>
        <v>new</v>
      </c>
      <c r="R543">
        <f t="shared" si="16"/>
        <v>0.48075020737669866</v>
      </c>
      <c r="S543">
        <f>IF(Q543="new",1.5,1)*(K543/10)*(1-(MIN(F543,180)/180))</f>
        <v>0.27600000000000002</v>
      </c>
      <c r="T543" t="str">
        <f t="shared" si="17"/>
        <v>Scenario 1: Strong Commitment</v>
      </c>
    </row>
    <row r="544" spans="1:20" x14ac:dyDescent="0.35">
      <c r="A544" t="s">
        <v>707</v>
      </c>
      <c r="B544" s="1">
        <v>45335</v>
      </c>
      <c r="C544">
        <v>2024</v>
      </c>
      <c r="D544">
        <v>2</v>
      </c>
      <c r="E544" t="s">
        <v>14</v>
      </c>
      <c r="F544">
        <v>94</v>
      </c>
      <c r="G544" t="s">
        <v>21</v>
      </c>
      <c r="H544" t="s">
        <v>30</v>
      </c>
      <c r="I544">
        <v>1</v>
      </c>
      <c r="J544">
        <v>1</v>
      </c>
      <c r="K544">
        <v>4.5999999999999996</v>
      </c>
      <c r="L544">
        <v>1454</v>
      </c>
      <c r="M544" t="s">
        <v>17</v>
      </c>
      <c r="N544" t="str">
        <f>IF(ISNUMBER(SEARCH("Streaming", M544)), "streaming", "cinema")</f>
        <v>streaming</v>
      </c>
      <c r="O544" t="str">
        <f>IF(I544=1, "non-original", "original")</f>
        <v>non-original</v>
      </c>
      <c r="P544" t="str">
        <f>IF(J544 = 1, "franchise", "non-franchise")</f>
        <v>franchise</v>
      </c>
      <c r="Q544" t="str">
        <f>IF(OR(I544 = 1,J544 =1), "old", "new")</f>
        <v>old</v>
      </c>
      <c r="R544">
        <f t="shared" si="16"/>
        <v>0.41264915543562769</v>
      </c>
      <c r="S544">
        <f>IF(Q544="new",1.5,1)*(K544/10)*(1-(MIN(F544,180)/180))</f>
        <v>0.21977777777777774</v>
      </c>
      <c r="T544" t="str">
        <f t="shared" si="17"/>
        <v>Scenario 2: Weak Commitment/Convenience</v>
      </c>
    </row>
    <row r="545" spans="1:20" x14ac:dyDescent="0.35">
      <c r="A545" t="s">
        <v>708</v>
      </c>
      <c r="B545" s="1">
        <v>45336</v>
      </c>
      <c r="C545">
        <v>2024</v>
      </c>
      <c r="D545">
        <v>2</v>
      </c>
      <c r="E545" t="s">
        <v>14</v>
      </c>
      <c r="F545">
        <v>105</v>
      </c>
      <c r="G545" t="s">
        <v>29</v>
      </c>
      <c r="H545" t="s">
        <v>24</v>
      </c>
      <c r="I545">
        <v>0</v>
      </c>
      <c r="J545">
        <v>0</v>
      </c>
      <c r="K545">
        <v>5.7</v>
      </c>
      <c r="L545">
        <v>12838</v>
      </c>
      <c r="M545" t="s">
        <v>17</v>
      </c>
      <c r="N545" t="str">
        <f>IF(ISNUMBER(SEARCH("Streaming", M545)), "streaming", "cinema")</f>
        <v>streaming</v>
      </c>
      <c r="O545" t="str">
        <f>IF(I545=1, "non-original", "original")</f>
        <v>original</v>
      </c>
      <c r="P545" t="str">
        <f>IF(J545 = 1, "franchise", "non-franchise")</f>
        <v>non-franchise</v>
      </c>
      <c r="Q545" t="str">
        <f>IF(OR(I545 = 1,J545 =1), "old", "new")</f>
        <v>new</v>
      </c>
      <c r="R545">
        <f t="shared" si="16"/>
        <v>0.39920390568397635</v>
      </c>
      <c r="S545">
        <f>IF(Q545="new",1.5,1)*(K545/10)*(1-(MIN(F545,180)/180))</f>
        <v>0.35625000000000001</v>
      </c>
      <c r="T545" t="str">
        <f t="shared" si="17"/>
        <v>Scenario 3: Strong Convenience</v>
      </c>
    </row>
    <row r="546" spans="1:20" x14ac:dyDescent="0.35">
      <c r="A546" t="s">
        <v>709</v>
      </c>
      <c r="B546" s="1">
        <v>45336</v>
      </c>
      <c r="C546">
        <v>2024</v>
      </c>
      <c r="D546">
        <v>2</v>
      </c>
      <c r="E546" t="s">
        <v>14</v>
      </c>
      <c r="F546">
        <v>96</v>
      </c>
      <c r="G546" t="s">
        <v>29</v>
      </c>
      <c r="H546" t="s">
        <v>27</v>
      </c>
      <c r="I546">
        <v>0</v>
      </c>
      <c r="J546">
        <v>0</v>
      </c>
      <c r="K546">
        <v>5.4</v>
      </c>
      <c r="L546">
        <v>787</v>
      </c>
      <c r="M546" t="s">
        <v>17</v>
      </c>
      <c r="N546" t="str">
        <f>IF(ISNUMBER(SEARCH("Streaming", M546)), "streaming", "cinema")</f>
        <v>streaming</v>
      </c>
      <c r="O546" t="str">
        <f>IF(I546=1, "non-original", "original")</f>
        <v>original</v>
      </c>
      <c r="P546" t="str">
        <f>IF(J546 = 1, "franchise", "non-franchise")</f>
        <v>non-franchise</v>
      </c>
      <c r="Q546" t="str">
        <f>IF(OR(I546 = 1,J546 =1), "old", "new")</f>
        <v>new</v>
      </c>
      <c r="R546">
        <f t="shared" si="16"/>
        <v>0.25726959950598177</v>
      </c>
      <c r="S546">
        <f>IF(Q546="new",1.5,1)*(K546/10)*(1-(MIN(F546,180)/180))</f>
        <v>0.37800000000000006</v>
      </c>
      <c r="T546" t="str">
        <f t="shared" si="17"/>
        <v>Scenario 3: Strong Convenience</v>
      </c>
    </row>
    <row r="547" spans="1:20" x14ac:dyDescent="0.35">
      <c r="A547" t="s">
        <v>710</v>
      </c>
      <c r="B547" s="1">
        <v>45350</v>
      </c>
      <c r="C547">
        <v>2024</v>
      </c>
      <c r="D547">
        <v>2</v>
      </c>
      <c r="E547" t="s">
        <v>14</v>
      </c>
      <c r="F547">
        <v>100</v>
      </c>
      <c r="G547" t="s">
        <v>192</v>
      </c>
      <c r="H547" t="s">
        <v>24</v>
      </c>
      <c r="I547">
        <v>0</v>
      </c>
      <c r="J547">
        <v>1</v>
      </c>
      <c r="K547">
        <v>5.7</v>
      </c>
      <c r="L547">
        <v>16953</v>
      </c>
      <c r="M547" t="s">
        <v>17</v>
      </c>
      <c r="N547" t="str">
        <f>IF(ISNUMBER(SEARCH("Streaming", M547)), "streaming", "cinema")</f>
        <v>streaming</v>
      </c>
      <c r="O547" t="str">
        <f>IF(I547=1, "non-original", "original")</f>
        <v>original</v>
      </c>
      <c r="P547" t="str">
        <f>IF(J547 = 1, "franchise", "non-franchise")</f>
        <v>franchise</v>
      </c>
      <c r="Q547" t="str">
        <f>IF(OR(I547 = 1,J547 =1), "old", "new")</f>
        <v>old</v>
      </c>
      <c r="R547">
        <f t="shared" si="16"/>
        <v>0.58705221782959494</v>
      </c>
      <c r="S547">
        <f>IF(Q547="new",1.5,1)*(K547/10)*(1-(MIN(F547,180)/180))</f>
        <v>0.25333333333333335</v>
      </c>
      <c r="T547" t="str">
        <f t="shared" si="17"/>
        <v>Scenario 1: Strong Commitment</v>
      </c>
    </row>
    <row r="548" spans="1:20" x14ac:dyDescent="0.35">
      <c r="A548" t="s">
        <v>711</v>
      </c>
      <c r="B548" s="1">
        <v>45351</v>
      </c>
      <c r="C548">
        <v>2024</v>
      </c>
      <c r="D548">
        <v>2</v>
      </c>
      <c r="E548" t="s">
        <v>14</v>
      </c>
      <c r="F548">
        <v>132</v>
      </c>
      <c r="G548" t="s">
        <v>34</v>
      </c>
      <c r="H548" t="s">
        <v>27</v>
      </c>
      <c r="I548">
        <v>0</v>
      </c>
      <c r="J548">
        <v>0</v>
      </c>
      <c r="K548">
        <v>6.6</v>
      </c>
      <c r="L548">
        <v>1055</v>
      </c>
      <c r="M548" t="s">
        <v>17</v>
      </c>
      <c r="N548" t="str">
        <f>IF(ISNUMBER(SEARCH("Streaming", M548)), "streaming", "cinema")</f>
        <v>streaming</v>
      </c>
      <c r="O548" t="str">
        <f>IF(I548=1, "non-original", "original")</f>
        <v>original</v>
      </c>
      <c r="P548" t="str">
        <f>IF(J548 = 1, "franchise", "non-franchise")</f>
        <v>non-franchise</v>
      </c>
      <c r="Q548" t="str">
        <f>IF(OR(I548 = 1,J548 =1), "old", "new")</f>
        <v>new</v>
      </c>
      <c r="R548">
        <f t="shared" si="16"/>
        <v>0.36929277856131132</v>
      </c>
      <c r="S548">
        <f>IF(Q548="new",1.5,1)*(K548/10)*(1-(MIN(F548,180)/180))</f>
        <v>0.26400000000000001</v>
      </c>
      <c r="T548" t="str">
        <f t="shared" si="17"/>
        <v>Scenario 2: Weak Commitment/Convenience</v>
      </c>
    </row>
    <row r="549" spans="1:20" x14ac:dyDescent="0.35">
      <c r="A549" t="s">
        <v>712</v>
      </c>
      <c r="B549" s="1">
        <v>45352</v>
      </c>
      <c r="C549">
        <v>2024</v>
      </c>
      <c r="D549">
        <v>3</v>
      </c>
      <c r="E549" t="s">
        <v>38</v>
      </c>
      <c r="F549">
        <v>133</v>
      </c>
      <c r="G549" t="s">
        <v>34</v>
      </c>
      <c r="H549" t="s">
        <v>24</v>
      </c>
      <c r="I549">
        <v>0</v>
      </c>
      <c r="J549">
        <v>0</v>
      </c>
      <c r="K549">
        <v>6.7</v>
      </c>
      <c r="L549">
        <v>4833</v>
      </c>
      <c r="M549" t="s">
        <v>17</v>
      </c>
      <c r="N549" t="str">
        <f>IF(ISNUMBER(SEARCH("Streaming", M549)), "streaming", "cinema")</f>
        <v>streaming</v>
      </c>
      <c r="O549" t="str">
        <f>IF(I549=1, "non-original", "original")</f>
        <v>original</v>
      </c>
      <c r="P549" t="str">
        <f>IF(J549 = 1, "franchise", "non-franchise")</f>
        <v>non-franchise</v>
      </c>
      <c r="Q549" t="str">
        <f>IF(OR(I549 = 1,J549 =1), "old", "new")</f>
        <v>new</v>
      </c>
      <c r="R549">
        <f t="shared" si="16"/>
        <v>0.45343943572477141</v>
      </c>
      <c r="S549">
        <f>IF(Q549="new",1.5,1)*(K549/10)*(1-(MIN(F549,180)/180))</f>
        <v>0.26241666666666663</v>
      </c>
      <c r="T549" t="str">
        <f t="shared" si="17"/>
        <v>Scenario 2: Weak Commitment/Convenience</v>
      </c>
    </row>
    <row r="550" spans="1:20" x14ac:dyDescent="0.35">
      <c r="A550" t="s">
        <v>713</v>
      </c>
      <c r="B550" s="1">
        <v>45352</v>
      </c>
      <c r="C550">
        <v>2024</v>
      </c>
      <c r="D550">
        <v>3</v>
      </c>
      <c r="E550" t="s">
        <v>38</v>
      </c>
      <c r="F550">
        <v>107</v>
      </c>
      <c r="G550" t="s">
        <v>714</v>
      </c>
      <c r="H550" t="s">
        <v>24</v>
      </c>
      <c r="I550">
        <v>0</v>
      </c>
      <c r="J550">
        <v>0</v>
      </c>
      <c r="K550">
        <v>5.7</v>
      </c>
      <c r="L550">
        <v>46640</v>
      </c>
      <c r="M550" t="s">
        <v>17</v>
      </c>
      <c r="N550" t="str">
        <f>IF(ISNUMBER(SEARCH("Streaming", M550)), "streaming", "cinema")</f>
        <v>streaming</v>
      </c>
      <c r="O550" t="str">
        <f>IF(I550=1, "non-original", "original")</f>
        <v>original</v>
      </c>
      <c r="P550" t="str">
        <f>IF(J550 = 1, "franchise", "non-franchise")</f>
        <v>non-franchise</v>
      </c>
      <c r="Q550" t="str">
        <f>IF(OR(I550 = 1,J550 =1), "old", "new")</f>
        <v>new</v>
      </c>
      <c r="R550">
        <f t="shared" si="16"/>
        <v>0.46228272063632747</v>
      </c>
      <c r="S550">
        <f>IF(Q550="new",1.5,1)*(K550/10)*(1-(MIN(F550,180)/180))</f>
        <v>0.34675000000000006</v>
      </c>
      <c r="T550" t="str">
        <f t="shared" si="17"/>
        <v>Scenario 3: Strong Convenience</v>
      </c>
    </row>
    <row r="551" spans="1:20" x14ac:dyDescent="0.35">
      <c r="A551" t="s">
        <v>715</v>
      </c>
      <c r="B551" s="1">
        <v>45359</v>
      </c>
      <c r="C551">
        <v>2024</v>
      </c>
      <c r="D551">
        <v>3</v>
      </c>
      <c r="E551" t="s">
        <v>38</v>
      </c>
      <c r="F551">
        <v>110</v>
      </c>
      <c r="G551" t="s">
        <v>716</v>
      </c>
      <c r="H551" t="s">
        <v>27</v>
      </c>
      <c r="I551">
        <v>0</v>
      </c>
      <c r="J551">
        <v>0</v>
      </c>
      <c r="K551">
        <v>6.1</v>
      </c>
      <c r="L551">
        <v>118120</v>
      </c>
      <c r="M551" t="s">
        <v>88</v>
      </c>
      <c r="N551" t="str">
        <f>IF(ISNUMBER(SEARCH("Streaming", M551)), "streaming", "cinema")</f>
        <v>streaming</v>
      </c>
      <c r="O551" t="str">
        <f>IF(I551=1, "non-original", "original")</f>
        <v>original</v>
      </c>
      <c r="P551" t="str">
        <f>IF(J551 = 1, "franchise", "non-franchise")</f>
        <v>non-franchise</v>
      </c>
      <c r="Q551" t="str">
        <f>IF(OR(I551 = 1,J551 =1), "old", "new")</f>
        <v>new</v>
      </c>
      <c r="R551">
        <f t="shared" si="16"/>
        <v>0.5163237388925197</v>
      </c>
      <c r="S551">
        <f>IF(Q551="new",1.5,1)*(K551/10)*(1-(MIN(F551,180)/180))</f>
        <v>0.35583333333333328</v>
      </c>
      <c r="T551" t="str">
        <f t="shared" si="17"/>
        <v>Scenario 4: Hybrid Logic</v>
      </c>
    </row>
    <row r="552" spans="1:20" x14ac:dyDescent="0.35">
      <c r="A552" t="s">
        <v>717</v>
      </c>
      <c r="B552" s="1">
        <v>45365</v>
      </c>
      <c r="C552">
        <v>2024</v>
      </c>
      <c r="D552">
        <v>3</v>
      </c>
      <c r="E552" t="s">
        <v>38</v>
      </c>
      <c r="F552">
        <v>99</v>
      </c>
      <c r="G552" t="s">
        <v>269</v>
      </c>
      <c r="H552" t="s">
        <v>27</v>
      </c>
      <c r="I552">
        <v>0</v>
      </c>
      <c r="J552">
        <v>0</v>
      </c>
      <c r="K552">
        <v>4.5999999999999996</v>
      </c>
      <c r="L552">
        <v>2643</v>
      </c>
      <c r="M552" t="s">
        <v>17</v>
      </c>
      <c r="N552" t="str">
        <f>IF(ISNUMBER(SEARCH("Streaming", M552)), "streaming", "cinema")</f>
        <v>streaming</v>
      </c>
      <c r="O552" t="str">
        <f>IF(I552=1, "non-original", "original")</f>
        <v>original</v>
      </c>
      <c r="P552" t="str">
        <f>IF(J552 = 1, "franchise", "non-franchise")</f>
        <v>non-franchise</v>
      </c>
      <c r="Q552" t="str">
        <f>IF(OR(I552 = 1,J552 =1), "old", "new")</f>
        <v>new</v>
      </c>
      <c r="R552">
        <f t="shared" si="16"/>
        <v>0.31350899075249661</v>
      </c>
      <c r="S552">
        <f>IF(Q552="new",1.5,1)*(K552/10)*(1-(MIN(F552,180)/180))</f>
        <v>0.31049999999999994</v>
      </c>
      <c r="T552" t="str">
        <f t="shared" si="17"/>
        <v>Scenario 2: Weak Commitment/Convenience</v>
      </c>
    </row>
    <row r="553" spans="1:20" x14ac:dyDescent="0.35">
      <c r="A553" t="s">
        <v>718</v>
      </c>
      <c r="B553" s="1">
        <v>45366</v>
      </c>
      <c r="C553">
        <v>2024</v>
      </c>
      <c r="D553">
        <v>3</v>
      </c>
      <c r="E553" t="s">
        <v>38</v>
      </c>
      <c r="F553">
        <v>93</v>
      </c>
      <c r="G553" t="s">
        <v>29</v>
      </c>
      <c r="H553" t="s">
        <v>56</v>
      </c>
      <c r="I553">
        <v>0</v>
      </c>
      <c r="J553">
        <v>0</v>
      </c>
      <c r="K553">
        <v>5.3</v>
      </c>
      <c r="L553">
        <v>23039</v>
      </c>
      <c r="M553" t="s">
        <v>17</v>
      </c>
      <c r="N553" t="str">
        <f>IF(ISNUMBER(SEARCH("Streaming", M553)), "streaming", "cinema")</f>
        <v>streaming</v>
      </c>
      <c r="O553" t="str">
        <f>IF(I553=1, "non-original", "original")</f>
        <v>original</v>
      </c>
      <c r="P553" t="str">
        <f>IF(J553 = 1, "franchise", "non-franchise")</f>
        <v>non-franchise</v>
      </c>
      <c r="Q553" t="str">
        <f>IF(OR(I553 = 1,J553 =1), "old", "new")</f>
        <v>new</v>
      </c>
      <c r="R553">
        <f t="shared" si="16"/>
        <v>0.37543714307185982</v>
      </c>
      <c r="S553">
        <f>IF(Q553="new",1.5,1)*(K553/10)*(1-(MIN(F553,180)/180))</f>
        <v>0.38424999999999998</v>
      </c>
      <c r="T553" t="str">
        <f t="shared" si="17"/>
        <v>Scenario 3: Strong Convenience</v>
      </c>
    </row>
    <row r="554" spans="1:20" x14ac:dyDescent="0.35">
      <c r="A554" t="s">
        <v>719</v>
      </c>
      <c r="B554" s="1">
        <v>45366</v>
      </c>
      <c r="C554">
        <v>2024</v>
      </c>
      <c r="D554">
        <v>3</v>
      </c>
      <c r="E554" t="s">
        <v>38</v>
      </c>
      <c r="F554">
        <v>141</v>
      </c>
      <c r="G554" t="s">
        <v>642</v>
      </c>
      <c r="H554" t="s">
        <v>30</v>
      </c>
      <c r="I554">
        <v>0</v>
      </c>
      <c r="J554">
        <v>0</v>
      </c>
      <c r="K554">
        <v>5.8</v>
      </c>
      <c r="L554">
        <v>51451</v>
      </c>
      <c r="M554" t="s">
        <v>17</v>
      </c>
      <c r="N554" t="str">
        <f>IF(ISNUMBER(SEARCH("Streaming", M554)), "streaming", "cinema")</f>
        <v>streaming</v>
      </c>
      <c r="O554" t="str">
        <f>IF(I554=1, "non-original", "original")</f>
        <v>original</v>
      </c>
      <c r="P554" t="str">
        <f>IF(J554 = 1, "franchise", "non-franchise")</f>
        <v>non-franchise</v>
      </c>
      <c r="Q554" t="str">
        <f>IF(OR(I554 = 1,J554 =1), "old", "new")</f>
        <v>new</v>
      </c>
      <c r="R554">
        <f t="shared" si="16"/>
        <v>0.6147393162285687</v>
      </c>
      <c r="S554">
        <f>IF(Q554="new",1.5,1)*(K554/10)*(1-(MIN(F554,180)/180))</f>
        <v>0.18849999999999997</v>
      </c>
      <c r="T554" t="str">
        <f t="shared" si="17"/>
        <v>Scenario 1: Strong Commitment</v>
      </c>
    </row>
    <row r="555" spans="1:20" x14ac:dyDescent="0.35">
      <c r="A555" t="s">
        <v>720</v>
      </c>
      <c r="B555" s="1">
        <v>45366</v>
      </c>
      <c r="C555">
        <v>2024</v>
      </c>
      <c r="D555">
        <v>3</v>
      </c>
      <c r="E555" t="s">
        <v>38</v>
      </c>
      <c r="F555">
        <v>88</v>
      </c>
      <c r="G555" t="s">
        <v>721</v>
      </c>
      <c r="H555" t="s">
        <v>56</v>
      </c>
      <c r="I555">
        <v>1</v>
      </c>
      <c r="J555">
        <v>0</v>
      </c>
      <c r="K555">
        <v>7.1</v>
      </c>
      <c r="L555">
        <v>11933</v>
      </c>
      <c r="M555" t="s">
        <v>17</v>
      </c>
      <c r="N555" t="str">
        <f>IF(ISNUMBER(SEARCH("Streaming", M555)), "streaming", "cinema")</f>
        <v>streaming</v>
      </c>
      <c r="O555" t="str">
        <f>IF(I555=1, "non-original", "original")</f>
        <v>non-original</v>
      </c>
      <c r="P555" t="str">
        <f>IF(J555 = 1, "franchise", "non-franchise")</f>
        <v>non-franchise</v>
      </c>
      <c r="Q555" t="str">
        <f>IF(OR(I555 = 1,J555 =1), "old", "new")</f>
        <v>old</v>
      </c>
      <c r="R555">
        <f t="shared" si="16"/>
        <v>0.49797832711174522</v>
      </c>
      <c r="S555">
        <f>IF(Q555="new",1.5,1)*(K555/10)*(1-(MIN(F555,180)/180))</f>
        <v>0.36288888888888882</v>
      </c>
      <c r="T555" t="str">
        <f t="shared" si="17"/>
        <v>Scenario 4: Hybrid Logic</v>
      </c>
    </row>
    <row r="556" spans="1:20" x14ac:dyDescent="0.35">
      <c r="A556" t="s">
        <v>722</v>
      </c>
      <c r="B556" s="1">
        <v>45373</v>
      </c>
      <c r="C556">
        <v>2024</v>
      </c>
      <c r="D556">
        <v>3</v>
      </c>
      <c r="E556" t="s">
        <v>38</v>
      </c>
      <c r="F556">
        <v>118</v>
      </c>
      <c r="G556" t="s">
        <v>111</v>
      </c>
      <c r="H556" t="s">
        <v>27</v>
      </c>
      <c r="I556">
        <v>0</v>
      </c>
      <c r="J556">
        <v>0</v>
      </c>
      <c r="K556">
        <v>6.2</v>
      </c>
      <c r="L556">
        <v>3623</v>
      </c>
      <c r="M556" t="s">
        <v>17</v>
      </c>
      <c r="N556" t="str">
        <f>IF(ISNUMBER(SEARCH("Streaming", M556)), "streaming", "cinema")</f>
        <v>streaming</v>
      </c>
      <c r="O556" t="str">
        <f>IF(I556=1, "non-original", "original")</f>
        <v>original</v>
      </c>
      <c r="P556" t="str">
        <f>IF(J556 = 1, "franchise", "non-franchise")</f>
        <v>non-franchise</v>
      </c>
      <c r="Q556" t="str">
        <f>IF(OR(I556 = 1,J556 =1), "old", "new")</f>
        <v>new</v>
      </c>
      <c r="R556">
        <f t="shared" si="16"/>
        <v>0.38863400928923969</v>
      </c>
      <c r="S556">
        <f>IF(Q556="new",1.5,1)*(K556/10)*(1-(MIN(F556,180)/180))</f>
        <v>0.3203333333333333</v>
      </c>
      <c r="T556" t="str">
        <f t="shared" si="17"/>
        <v>Scenario 3: Strong Convenience</v>
      </c>
    </row>
    <row r="557" spans="1:20" x14ac:dyDescent="0.35">
      <c r="A557" t="s">
        <v>723</v>
      </c>
      <c r="B557" s="1">
        <v>45373</v>
      </c>
      <c r="C557">
        <v>2024</v>
      </c>
      <c r="D557">
        <v>3</v>
      </c>
      <c r="E557" t="s">
        <v>38</v>
      </c>
      <c r="F557">
        <v>85</v>
      </c>
      <c r="G557" t="s">
        <v>64</v>
      </c>
      <c r="H557" t="s">
        <v>56</v>
      </c>
      <c r="I557">
        <v>0</v>
      </c>
      <c r="J557">
        <v>0</v>
      </c>
      <c r="K557">
        <v>5.6</v>
      </c>
      <c r="L557">
        <v>765</v>
      </c>
      <c r="M557" t="s">
        <v>17</v>
      </c>
      <c r="N557" t="str">
        <f>IF(ISNUMBER(SEARCH("Streaming", M557)), "streaming", "cinema")</f>
        <v>streaming</v>
      </c>
      <c r="O557" t="str">
        <f>IF(I557=1, "non-original", "original")</f>
        <v>original</v>
      </c>
      <c r="P557" t="str">
        <f>IF(J557 = 1, "franchise", "non-franchise")</f>
        <v>non-franchise</v>
      </c>
      <c r="Q557" t="str">
        <f>IF(OR(I557 = 1,J557 =1), "old", "new")</f>
        <v>new</v>
      </c>
      <c r="R557">
        <f t="shared" si="16"/>
        <v>0.22682225525353333</v>
      </c>
      <c r="S557">
        <f>IF(Q557="new",1.5,1)*(K557/10)*(1-(MIN(F557,180)/180))</f>
        <v>0.44333333333333325</v>
      </c>
      <c r="T557" t="str">
        <f t="shared" si="17"/>
        <v>Scenario 3: Strong Convenience</v>
      </c>
    </row>
    <row r="558" spans="1:20" x14ac:dyDescent="0.35">
      <c r="A558" t="s">
        <v>724</v>
      </c>
      <c r="B558" s="1">
        <v>45378</v>
      </c>
      <c r="C558">
        <v>2024</v>
      </c>
      <c r="D558">
        <v>3</v>
      </c>
      <c r="E558" t="s">
        <v>38</v>
      </c>
      <c r="F558">
        <v>107</v>
      </c>
      <c r="G558" t="s">
        <v>34</v>
      </c>
      <c r="H558" t="s">
        <v>30</v>
      </c>
      <c r="I558">
        <v>0</v>
      </c>
      <c r="J558">
        <v>0</v>
      </c>
      <c r="K558">
        <v>5.8</v>
      </c>
      <c r="L558">
        <v>2512</v>
      </c>
      <c r="M558" t="s">
        <v>17</v>
      </c>
      <c r="N558" t="str">
        <f>IF(ISNUMBER(SEARCH("Streaming", M558)), "streaming", "cinema")</f>
        <v>streaming</v>
      </c>
      <c r="O558" t="str">
        <f>IF(I558=1, "non-original", "original")</f>
        <v>original</v>
      </c>
      <c r="P558" t="str">
        <f>IF(J558 = 1, "franchise", "non-franchise")</f>
        <v>non-franchise</v>
      </c>
      <c r="Q558" t="str">
        <f>IF(OR(I558 = 1,J558 =1), "old", "new")</f>
        <v>new</v>
      </c>
      <c r="R558">
        <f t="shared" si="16"/>
        <v>0.33665701771875794</v>
      </c>
      <c r="S558">
        <f>IF(Q558="new",1.5,1)*(K558/10)*(1-(MIN(F558,180)/180))</f>
        <v>0.35283333333333328</v>
      </c>
      <c r="T558" t="str">
        <f t="shared" si="17"/>
        <v>Scenario 3: Strong Convenience</v>
      </c>
    </row>
    <row r="559" spans="1:20" x14ac:dyDescent="0.35">
      <c r="A559" t="s">
        <v>725</v>
      </c>
      <c r="B559" s="1">
        <v>45378</v>
      </c>
      <c r="C559">
        <v>2024</v>
      </c>
      <c r="D559">
        <v>3</v>
      </c>
      <c r="E559" t="s">
        <v>38</v>
      </c>
      <c r="F559">
        <v>112</v>
      </c>
      <c r="G559" t="s">
        <v>29</v>
      </c>
      <c r="H559" t="s">
        <v>30</v>
      </c>
      <c r="I559">
        <v>0</v>
      </c>
      <c r="J559">
        <v>0</v>
      </c>
      <c r="K559">
        <v>5.2</v>
      </c>
      <c r="L559">
        <v>1201</v>
      </c>
      <c r="M559" t="s">
        <v>88</v>
      </c>
      <c r="N559" t="str">
        <f>IF(ISNUMBER(SEARCH("Streaming", M559)), "streaming", "cinema")</f>
        <v>streaming</v>
      </c>
      <c r="O559" t="str">
        <f>IF(I559=1, "non-original", "original")</f>
        <v>original</v>
      </c>
      <c r="P559" t="str">
        <f>IF(J559 = 1, "franchise", "non-franchise")</f>
        <v>non-franchise</v>
      </c>
      <c r="Q559" t="str">
        <f>IF(OR(I559 = 1,J559 =1), "old", "new")</f>
        <v>new</v>
      </c>
      <c r="R559">
        <f t="shared" si="16"/>
        <v>0.31917345544392012</v>
      </c>
      <c r="S559">
        <f>IF(Q559="new",1.5,1)*(K559/10)*(1-(MIN(F559,180)/180))</f>
        <v>0.29466666666666669</v>
      </c>
      <c r="T559" t="str">
        <f t="shared" si="17"/>
        <v>Scenario 2: Weak Commitment/Convenience</v>
      </c>
    </row>
    <row r="560" spans="1:20" x14ac:dyDescent="0.35">
      <c r="A560" t="s">
        <v>726</v>
      </c>
      <c r="B560" s="1">
        <v>45380</v>
      </c>
      <c r="C560">
        <v>2024</v>
      </c>
      <c r="D560">
        <v>3</v>
      </c>
      <c r="E560" t="s">
        <v>38</v>
      </c>
      <c r="F560">
        <v>107</v>
      </c>
      <c r="G560" t="s">
        <v>431</v>
      </c>
      <c r="H560" t="s">
        <v>24</v>
      </c>
      <c r="I560">
        <v>0</v>
      </c>
      <c r="J560">
        <v>0</v>
      </c>
      <c r="K560">
        <v>4.7</v>
      </c>
      <c r="L560">
        <v>2335</v>
      </c>
      <c r="M560" t="s">
        <v>17</v>
      </c>
      <c r="N560" t="str">
        <f>IF(ISNUMBER(SEARCH("Streaming", M560)), "streaming", "cinema")</f>
        <v>streaming</v>
      </c>
      <c r="O560" t="str">
        <f>IF(I560=1, "non-original", "original")</f>
        <v>original</v>
      </c>
      <c r="P560" t="str">
        <f>IF(J560 = 1, "franchise", "non-franchise")</f>
        <v>non-franchise</v>
      </c>
      <c r="Q560" t="str">
        <f>IF(OR(I560 = 1,J560 =1), "old", "new")</f>
        <v>new</v>
      </c>
      <c r="R560">
        <f t="shared" si="16"/>
        <v>0.33351496144245807</v>
      </c>
      <c r="S560">
        <f>IF(Q560="new",1.5,1)*(K560/10)*(1-(MIN(F560,180)/180))</f>
        <v>0.28591666666666671</v>
      </c>
      <c r="T560" t="str">
        <f t="shared" si="17"/>
        <v>Scenario 2: Weak Commitment/Convenience</v>
      </c>
    </row>
    <row r="561" spans="1:20" x14ac:dyDescent="0.35">
      <c r="A561" t="s">
        <v>727</v>
      </c>
      <c r="B561" s="1">
        <v>45380</v>
      </c>
      <c r="C561">
        <v>2024</v>
      </c>
      <c r="D561">
        <v>3</v>
      </c>
      <c r="E561" t="s">
        <v>38</v>
      </c>
      <c r="F561">
        <v>125</v>
      </c>
      <c r="G561" t="s">
        <v>34</v>
      </c>
      <c r="H561" t="s">
        <v>27</v>
      </c>
      <c r="I561">
        <v>0</v>
      </c>
      <c r="J561">
        <v>0</v>
      </c>
      <c r="K561">
        <v>6.3</v>
      </c>
      <c r="L561">
        <v>8791</v>
      </c>
      <c r="M561" t="s">
        <v>17</v>
      </c>
      <c r="N561" t="str">
        <f>IF(ISNUMBER(SEARCH("Streaming", M561)), "streaming", "cinema")</f>
        <v>streaming</v>
      </c>
      <c r="O561" t="str">
        <f>IF(I561=1, "non-original", "original")</f>
        <v>original</v>
      </c>
      <c r="P561" t="str">
        <f>IF(J561 = 1, "franchise", "non-franchise")</f>
        <v>non-franchise</v>
      </c>
      <c r="Q561" t="str">
        <f>IF(OR(I561 = 1,J561 =1), "old", "new")</f>
        <v>new</v>
      </c>
      <c r="R561">
        <f t="shared" si="16"/>
        <v>0.45621924724227692</v>
      </c>
      <c r="S561">
        <f>IF(Q561="new",1.5,1)*(K561/10)*(1-(MIN(F561,180)/180))</f>
        <v>0.28875000000000006</v>
      </c>
      <c r="T561" t="str">
        <f t="shared" si="17"/>
        <v>Scenario 2: Weak Commitment/Convenience</v>
      </c>
    </row>
    <row r="562" spans="1:20" x14ac:dyDescent="0.35">
      <c r="A562" t="s">
        <v>728</v>
      </c>
      <c r="B562" s="1">
        <v>45380</v>
      </c>
      <c r="C562">
        <v>2024</v>
      </c>
      <c r="D562">
        <v>3</v>
      </c>
      <c r="E562" t="s">
        <v>38</v>
      </c>
      <c r="F562">
        <v>106</v>
      </c>
      <c r="G562" t="s">
        <v>19</v>
      </c>
      <c r="H562" t="s">
        <v>24</v>
      </c>
      <c r="I562">
        <v>1</v>
      </c>
      <c r="J562">
        <v>1</v>
      </c>
      <c r="K562">
        <v>4.5999999999999996</v>
      </c>
      <c r="L562">
        <v>4476</v>
      </c>
      <c r="M562" t="s">
        <v>88</v>
      </c>
      <c r="N562" t="str">
        <f>IF(ISNUMBER(SEARCH("Streaming", M562)), "streaming", "cinema")</f>
        <v>streaming</v>
      </c>
      <c r="O562" t="str">
        <f>IF(I562=1, "non-original", "original")</f>
        <v>non-original</v>
      </c>
      <c r="P562" t="str">
        <f>IF(J562 = 1, "franchise", "non-franchise")</f>
        <v>franchise</v>
      </c>
      <c r="Q562" t="str">
        <f>IF(OR(I562 = 1,J562 =1), "old", "new")</f>
        <v>old</v>
      </c>
      <c r="R562">
        <f t="shared" si="16"/>
        <v>0.53717816423766929</v>
      </c>
      <c r="S562">
        <f>IF(Q562="new",1.5,1)*(K562/10)*(1-(MIN(F562,180)/180))</f>
        <v>0.18911111111111109</v>
      </c>
      <c r="T562" t="str">
        <f t="shared" si="17"/>
        <v>Scenario 1: Strong Commitment</v>
      </c>
    </row>
    <row r="563" spans="1:20" x14ac:dyDescent="0.35">
      <c r="A563" t="s">
        <v>729</v>
      </c>
      <c r="B563" s="1">
        <v>45386</v>
      </c>
      <c r="C563">
        <v>2024</v>
      </c>
      <c r="D563">
        <v>4</v>
      </c>
      <c r="E563" t="s">
        <v>38</v>
      </c>
      <c r="F563">
        <v>105</v>
      </c>
      <c r="G563" t="s">
        <v>545</v>
      </c>
      <c r="H563" t="s">
        <v>24</v>
      </c>
      <c r="I563">
        <v>0</v>
      </c>
      <c r="J563">
        <v>0</v>
      </c>
      <c r="K563">
        <v>5.2</v>
      </c>
      <c r="L563">
        <v>14440</v>
      </c>
      <c r="M563" t="s">
        <v>88</v>
      </c>
      <c r="N563" t="str">
        <f>IF(ISNUMBER(SEARCH("Streaming", M563)), "streaming", "cinema")</f>
        <v>streaming</v>
      </c>
      <c r="O563" t="str">
        <f>IF(I563=1, "non-original", "original")</f>
        <v>original</v>
      </c>
      <c r="P563" t="str">
        <f>IF(J563 = 1, "franchise", "non-franchise")</f>
        <v>non-franchise</v>
      </c>
      <c r="Q563" t="str">
        <f>IF(OR(I563 = 1,J563 =1), "old", "new")</f>
        <v>new</v>
      </c>
      <c r="R563">
        <f t="shared" si="16"/>
        <v>0.40416612678734065</v>
      </c>
      <c r="S563">
        <f>IF(Q563="new",1.5,1)*(K563/10)*(1-(MIN(F563,180)/180))</f>
        <v>0.32499999999999996</v>
      </c>
      <c r="T563" t="str">
        <f t="shared" si="17"/>
        <v>Scenario 3: Strong Convenience</v>
      </c>
    </row>
    <row r="564" spans="1:20" x14ac:dyDescent="0.35">
      <c r="A564" t="s">
        <v>730</v>
      </c>
      <c r="B564" s="1">
        <v>45387</v>
      </c>
      <c r="C564">
        <v>2024</v>
      </c>
      <c r="D564">
        <v>4</v>
      </c>
      <c r="E564" t="s">
        <v>38</v>
      </c>
      <c r="F564">
        <v>102</v>
      </c>
      <c r="G564" t="s">
        <v>111</v>
      </c>
      <c r="H564" t="s">
        <v>30</v>
      </c>
      <c r="I564">
        <v>0</v>
      </c>
      <c r="J564">
        <v>0</v>
      </c>
      <c r="K564">
        <v>6.5</v>
      </c>
      <c r="L564">
        <v>21872</v>
      </c>
      <c r="M564" t="s">
        <v>17</v>
      </c>
      <c r="N564" t="str">
        <f>IF(ISNUMBER(SEARCH("Streaming", M564)), "streaming", "cinema")</f>
        <v>streaming</v>
      </c>
      <c r="O564" t="str">
        <f>IF(I564=1, "non-original", "original")</f>
        <v>original</v>
      </c>
      <c r="P564" t="str">
        <f>IF(J564 = 1, "franchise", "non-franchise")</f>
        <v>non-franchise</v>
      </c>
      <c r="Q564" t="str">
        <f>IF(OR(I564 = 1,J564 =1), "old", "new")</f>
        <v>new</v>
      </c>
      <c r="R564">
        <f t="shared" si="16"/>
        <v>0.4096389199462529</v>
      </c>
      <c r="S564">
        <f>IF(Q564="new",1.5,1)*(K564/10)*(1-(MIN(F564,180)/180))</f>
        <v>0.42250000000000004</v>
      </c>
      <c r="T564" t="str">
        <f t="shared" si="17"/>
        <v>Scenario 3: Strong Convenience</v>
      </c>
    </row>
    <row r="565" spans="1:20" x14ac:dyDescent="0.35">
      <c r="A565" t="s">
        <v>731</v>
      </c>
      <c r="B565" s="1">
        <v>45394</v>
      </c>
      <c r="C565">
        <v>2024</v>
      </c>
      <c r="D565">
        <v>4</v>
      </c>
      <c r="E565" t="s">
        <v>38</v>
      </c>
      <c r="F565">
        <v>115</v>
      </c>
      <c r="G565" t="s">
        <v>34</v>
      </c>
      <c r="H565" t="s">
        <v>30</v>
      </c>
      <c r="I565">
        <v>0</v>
      </c>
      <c r="J565">
        <v>0</v>
      </c>
      <c r="K565">
        <v>5.7</v>
      </c>
      <c r="L565">
        <v>352</v>
      </c>
      <c r="M565" t="s">
        <v>17</v>
      </c>
      <c r="N565" t="str">
        <f>IF(ISNUMBER(SEARCH("Streaming", M565)), "streaming", "cinema")</f>
        <v>streaming</v>
      </c>
      <c r="O565" t="str">
        <f>IF(I565=1, "non-original", "original")</f>
        <v>original</v>
      </c>
      <c r="P565" t="str">
        <f>IF(J565 = 1, "franchise", "non-franchise")</f>
        <v>non-franchise</v>
      </c>
      <c r="Q565" t="str">
        <f>IF(OR(I565 = 1,J565 =1), "old", "new")</f>
        <v>new</v>
      </c>
      <c r="R565">
        <f t="shared" si="16"/>
        <v>0.27100123247977237</v>
      </c>
      <c r="S565">
        <f>IF(Q565="new",1.5,1)*(K565/10)*(1-(MIN(F565,180)/180))</f>
        <v>0.30875000000000008</v>
      </c>
      <c r="T565" t="str">
        <f t="shared" si="17"/>
        <v>Scenario 2: Weak Commitment/Convenience</v>
      </c>
    </row>
    <row r="566" spans="1:20" x14ac:dyDescent="0.35">
      <c r="A566" t="s">
        <v>732</v>
      </c>
      <c r="B566" s="1">
        <v>45394</v>
      </c>
      <c r="C566">
        <v>2024</v>
      </c>
      <c r="D566">
        <v>4</v>
      </c>
      <c r="E566" t="s">
        <v>38</v>
      </c>
      <c r="F566">
        <v>145</v>
      </c>
      <c r="G566" t="s">
        <v>733</v>
      </c>
      <c r="H566" t="s">
        <v>30</v>
      </c>
      <c r="I566">
        <v>0</v>
      </c>
      <c r="J566">
        <v>0</v>
      </c>
      <c r="K566">
        <v>7.8</v>
      </c>
      <c r="L566">
        <v>17241</v>
      </c>
      <c r="M566" t="s">
        <v>17</v>
      </c>
      <c r="N566" t="str">
        <f>IF(ISNUMBER(SEARCH("Streaming", M566)), "streaming", "cinema")</f>
        <v>streaming</v>
      </c>
      <c r="O566" t="str">
        <f>IF(I566=1, "non-original", "original")</f>
        <v>original</v>
      </c>
      <c r="P566" t="str">
        <f>IF(J566 = 1, "franchise", "non-franchise")</f>
        <v>non-franchise</v>
      </c>
      <c r="Q566" t="str">
        <f>IF(OR(I566 = 1,J566 =1), "old", "new")</f>
        <v>new</v>
      </c>
      <c r="R566">
        <f t="shared" si="16"/>
        <v>0.5684654627330874</v>
      </c>
      <c r="S566">
        <f>IF(Q566="new",1.5,1)*(K566/10)*(1-(MIN(F566,180)/180))</f>
        <v>0.22749999999999995</v>
      </c>
      <c r="T566" t="str">
        <f t="shared" si="17"/>
        <v>Scenario 1: Strong Commitment</v>
      </c>
    </row>
    <row r="567" spans="1:20" x14ac:dyDescent="0.35">
      <c r="A567" t="s">
        <v>734</v>
      </c>
      <c r="B567" s="1">
        <v>45394</v>
      </c>
      <c r="C567">
        <v>2024</v>
      </c>
      <c r="D567">
        <v>4</v>
      </c>
      <c r="E567" t="s">
        <v>38</v>
      </c>
      <c r="F567">
        <v>98</v>
      </c>
      <c r="G567" t="s">
        <v>29</v>
      </c>
      <c r="H567" t="s">
        <v>27</v>
      </c>
      <c r="I567">
        <v>1</v>
      </c>
      <c r="J567">
        <v>1</v>
      </c>
      <c r="K567">
        <v>6</v>
      </c>
      <c r="L567">
        <v>5117</v>
      </c>
      <c r="M567" t="s">
        <v>88</v>
      </c>
      <c r="N567" t="str">
        <f>IF(ISNUMBER(SEARCH("Streaming", M567)), "streaming", "cinema")</f>
        <v>streaming</v>
      </c>
      <c r="O567" t="str">
        <f>IF(I567=1, "non-original", "original")</f>
        <v>non-original</v>
      </c>
      <c r="P567" t="str">
        <f>IF(J567 = 1, "franchise", "non-franchise")</f>
        <v>franchise</v>
      </c>
      <c r="Q567" t="str">
        <f>IF(OR(I567 = 1,J567 =1), "old", "new")</f>
        <v>old</v>
      </c>
      <c r="R567">
        <f t="shared" si="16"/>
        <v>0.50454329883045201</v>
      </c>
      <c r="S567">
        <f>IF(Q567="new",1.5,1)*(K567/10)*(1-(MIN(F567,180)/180))</f>
        <v>0.27333333333333337</v>
      </c>
      <c r="T567" t="str">
        <f t="shared" si="17"/>
        <v>Scenario 1: Strong Commitment</v>
      </c>
    </row>
    <row r="568" spans="1:20" x14ac:dyDescent="0.35">
      <c r="A568" t="s">
        <v>735</v>
      </c>
      <c r="B568" s="1">
        <v>45394</v>
      </c>
      <c r="C568">
        <v>2024</v>
      </c>
      <c r="D568">
        <v>4</v>
      </c>
      <c r="E568" t="s">
        <v>38</v>
      </c>
      <c r="F568">
        <v>107</v>
      </c>
      <c r="G568" t="s">
        <v>34</v>
      </c>
      <c r="H568" t="s">
        <v>30</v>
      </c>
      <c r="I568">
        <v>0</v>
      </c>
      <c r="J568">
        <v>0</v>
      </c>
      <c r="K568">
        <v>5.8</v>
      </c>
      <c r="L568">
        <v>2421</v>
      </c>
      <c r="M568" t="s">
        <v>17</v>
      </c>
      <c r="N568" t="str">
        <f>IF(ISNUMBER(SEARCH("Streaming", M568)), "streaming", "cinema")</f>
        <v>streaming</v>
      </c>
      <c r="O568" t="str">
        <f>IF(I568=1, "non-original", "original")</f>
        <v>original</v>
      </c>
      <c r="P568" t="str">
        <f>IF(J568 = 1, "franchise", "non-franchise")</f>
        <v>non-franchise</v>
      </c>
      <c r="Q568" t="str">
        <f>IF(OR(I568 = 1,J568 =1), "old", "new")</f>
        <v>new</v>
      </c>
      <c r="R568">
        <f t="shared" si="16"/>
        <v>0.33507029843003755</v>
      </c>
      <c r="S568">
        <f>IF(Q568="new",1.5,1)*(K568/10)*(1-(MIN(F568,180)/180))</f>
        <v>0.35283333333333328</v>
      </c>
      <c r="T568" t="str">
        <f t="shared" si="17"/>
        <v>Scenario 3: Strong Convenience</v>
      </c>
    </row>
    <row r="569" spans="1:20" x14ac:dyDescent="0.35">
      <c r="A569" t="s">
        <v>736</v>
      </c>
      <c r="B569" s="1">
        <v>45394</v>
      </c>
      <c r="C569">
        <v>2024</v>
      </c>
      <c r="D569">
        <v>4</v>
      </c>
      <c r="E569" t="s">
        <v>38</v>
      </c>
      <c r="F569">
        <v>100</v>
      </c>
      <c r="G569" t="s">
        <v>737</v>
      </c>
      <c r="H569" t="s">
        <v>56</v>
      </c>
      <c r="I569">
        <v>0</v>
      </c>
      <c r="J569">
        <v>0</v>
      </c>
      <c r="K569">
        <v>4.5</v>
      </c>
      <c r="L569">
        <v>2922</v>
      </c>
      <c r="M569" t="s">
        <v>88</v>
      </c>
      <c r="N569" t="str">
        <f>IF(ISNUMBER(SEARCH("Streaming", M569)), "streaming", "cinema")</f>
        <v>streaming</v>
      </c>
      <c r="O569" t="str">
        <f>IF(I569=1, "non-original", "original")</f>
        <v>original</v>
      </c>
      <c r="P569" t="str">
        <f>IF(J569 = 1, "franchise", "non-franchise")</f>
        <v>non-franchise</v>
      </c>
      <c r="Q569" t="str">
        <f>IF(OR(I569 = 1,J569 =1), "old", "new")</f>
        <v>new</v>
      </c>
      <c r="R569">
        <f t="shared" si="16"/>
        <v>0.32070885829150847</v>
      </c>
      <c r="S569">
        <f>IF(Q569="new",1.5,1)*(K569/10)*(1-(MIN(F569,180)/180))</f>
        <v>0.3</v>
      </c>
      <c r="T569" t="str">
        <f t="shared" si="17"/>
        <v>Scenario 2: Weak Commitment/Convenience</v>
      </c>
    </row>
    <row r="570" spans="1:20" x14ac:dyDescent="0.35">
      <c r="A570" t="s">
        <v>738</v>
      </c>
      <c r="B570" s="1">
        <v>45407</v>
      </c>
      <c r="C570">
        <v>2024</v>
      </c>
      <c r="D570">
        <v>4</v>
      </c>
      <c r="E570" t="s">
        <v>38</v>
      </c>
      <c r="F570">
        <v>104</v>
      </c>
      <c r="G570" t="s">
        <v>41</v>
      </c>
      <c r="H570" t="s">
        <v>24</v>
      </c>
      <c r="I570">
        <v>1</v>
      </c>
      <c r="J570">
        <v>1</v>
      </c>
      <c r="K570">
        <v>6.3</v>
      </c>
      <c r="L570">
        <v>6100</v>
      </c>
      <c r="M570" t="s">
        <v>17</v>
      </c>
      <c r="N570" t="str">
        <f>IF(ISNUMBER(SEARCH("Streaming", M570)), "streaming", "cinema")</f>
        <v>streaming</v>
      </c>
      <c r="O570" t="str">
        <f>IF(I570=1, "non-original", "original")</f>
        <v>non-original</v>
      </c>
      <c r="P570" t="str">
        <f>IF(J570 = 1, "franchise", "non-franchise")</f>
        <v>franchise</v>
      </c>
      <c r="Q570" t="str">
        <f>IF(OR(I570 = 1,J570 =1), "old", "new")</f>
        <v>old</v>
      </c>
      <c r="R570">
        <f t="shared" si="16"/>
        <v>0.54645045919278168</v>
      </c>
      <c r="S570">
        <f>IF(Q570="new",1.5,1)*(K570/10)*(1-(MIN(F570,180)/180))</f>
        <v>0.26600000000000001</v>
      </c>
      <c r="T570" t="str">
        <f t="shared" si="17"/>
        <v>Scenario 1: Strong Commitment</v>
      </c>
    </row>
    <row r="571" spans="1:20" x14ac:dyDescent="0.35">
      <c r="A571" t="s">
        <v>739</v>
      </c>
      <c r="B571" s="1">
        <v>45411</v>
      </c>
      <c r="C571">
        <v>2024</v>
      </c>
      <c r="D571">
        <v>4</v>
      </c>
      <c r="E571" t="s">
        <v>38</v>
      </c>
      <c r="F571">
        <v>100</v>
      </c>
      <c r="G571" t="s">
        <v>29</v>
      </c>
      <c r="H571" t="s">
        <v>30</v>
      </c>
      <c r="I571">
        <v>0</v>
      </c>
      <c r="J571">
        <v>0</v>
      </c>
      <c r="K571">
        <v>5.3</v>
      </c>
      <c r="L571">
        <v>1704</v>
      </c>
      <c r="M571" t="s">
        <v>17</v>
      </c>
      <c r="N571" t="str">
        <f>IF(ISNUMBER(SEARCH("Streaming", M571)), "streaming", "cinema")</f>
        <v>streaming</v>
      </c>
      <c r="O571" t="str">
        <f>IF(I571=1, "non-original", "original")</f>
        <v>original</v>
      </c>
      <c r="P571" t="str">
        <f>IF(J571 = 1, "franchise", "non-franchise")</f>
        <v>non-franchise</v>
      </c>
      <c r="Q571" t="str">
        <f>IF(OR(I571 = 1,J571 =1), "old", "new")</f>
        <v>new</v>
      </c>
      <c r="R571">
        <f t="shared" si="16"/>
        <v>0.29903535804672837</v>
      </c>
      <c r="S571">
        <f>IF(Q571="new",1.5,1)*(K571/10)*(1-(MIN(F571,180)/180))</f>
        <v>0.35333333333333333</v>
      </c>
      <c r="T571" t="str">
        <f t="shared" si="17"/>
        <v>Scenario 3: Strong Convenience</v>
      </c>
    </row>
    <row r="572" spans="1:20" x14ac:dyDescent="0.35">
      <c r="A572" t="s">
        <v>740</v>
      </c>
      <c r="B572" s="1">
        <v>45413</v>
      </c>
      <c r="C572">
        <v>2024</v>
      </c>
      <c r="D572">
        <v>5</v>
      </c>
      <c r="E572" t="s">
        <v>38</v>
      </c>
      <c r="F572">
        <v>102</v>
      </c>
      <c r="G572" t="s">
        <v>741</v>
      </c>
      <c r="H572" t="s">
        <v>24</v>
      </c>
      <c r="I572">
        <v>0</v>
      </c>
      <c r="J572">
        <v>0</v>
      </c>
      <c r="K572">
        <v>5.6</v>
      </c>
      <c r="L572">
        <v>611</v>
      </c>
      <c r="M572" t="s">
        <v>17</v>
      </c>
      <c r="N572" t="str">
        <f>IF(ISNUMBER(SEARCH("Streaming", M572)), "streaming", "cinema")</f>
        <v>streaming</v>
      </c>
      <c r="O572" t="str">
        <f>IF(I572=1, "non-original", "original")</f>
        <v>original</v>
      </c>
      <c r="P572" t="str">
        <f>IF(J572 = 1, "franchise", "non-franchise")</f>
        <v>non-franchise</v>
      </c>
      <c r="Q572" t="str">
        <f>IF(OR(I572 = 1,J572 =1), "old", "new")</f>
        <v>new</v>
      </c>
      <c r="R572">
        <f t="shared" si="16"/>
        <v>0.2629724042494615</v>
      </c>
      <c r="S572">
        <f>IF(Q572="new",1.5,1)*(K572/10)*(1-(MIN(F572,180)/180))</f>
        <v>0.36399999999999993</v>
      </c>
      <c r="T572" t="str">
        <f t="shared" si="17"/>
        <v>Scenario 3: Strong Convenience</v>
      </c>
    </row>
    <row r="573" spans="1:20" x14ac:dyDescent="0.35">
      <c r="A573" t="s">
        <v>742</v>
      </c>
      <c r="B573" s="1">
        <v>45414</v>
      </c>
      <c r="C573">
        <v>2024</v>
      </c>
      <c r="D573">
        <v>5</v>
      </c>
      <c r="E573" t="s">
        <v>38</v>
      </c>
      <c r="F573">
        <v>113</v>
      </c>
      <c r="G573" t="s">
        <v>111</v>
      </c>
      <c r="H573" t="s">
        <v>30</v>
      </c>
      <c r="I573">
        <v>0</v>
      </c>
      <c r="J573">
        <v>0</v>
      </c>
      <c r="K573">
        <v>6.2</v>
      </c>
      <c r="L573">
        <v>1129</v>
      </c>
      <c r="M573" t="s">
        <v>17</v>
      </c>
      <c r="N573" t="str">
        <f>IF(ISNUMBER(SEARCH("Streaming", M573)), "streaming", "cinema")</f>
        <v>streaming</v>
      </c>
      <c r="O573" t="str">
        <f>IF(I573=1, "non-original", "original")</f>
        <v>original</v>
      </c>
      <c r="P573" t="str">
        <f>IF(J573 = 1, "franchise", "non-franchise")</f>
        <v>non-franchise</v>
      </c>
      <c r="Q573" t="str">
        <f>IF(OR(I573 = 1,J573 =1), "old", "new")</f>
        <v>new</v>
      </c>
      <c r="R573">
        <f t="shared" si="16"/>
        <v>0.31921565171347027</v>
      </c>
      <c r="S573">
        <f>IF(Q573="new",1.5,1)*(K573/10)*(1-(MIN(F573,180)/180))</f>
        <v>0.34616666666666668</v>
      </c>
      <c r="T573" t="str">
        <f t="shared" si="17"/>
        <v>Scenario 3: Strong Convenience</v>
      </c>
    </row>
    <row r="574" spans="1:20" x14ac:dyDescent="0.35">
      <c r="A574" t="s">
        <v>743</v>
      </c>
      <c r="B574" s="1">
        <v>45415</v>
      </c>
      <c r="C574">
        <v>2024</v>
      </c>
      <c r="D574">
        <v>5</v>
      </c>
      <c r="E574" t="s">
        <v>38</v>
      </c>
      <c r="F574">
        <v>96</v>
      </c>
      <c r="G574" t="s">
        <v>21</v>
      </c>
      <c r="H574" t="s">
        <v>27</v>
      </c>
      <c r="I574">
        <v>0</v>
      </c>
      <c r="J574">
        <v>0</v>
      </c>
      <c r="K574">
        <v>5.5</v>
      </c>
      <c r="L574">
        <v>36581</v>
      </c>
      <c r="M574" t="s">
        <v>17</v>
      </c>
      <c r="N574" t="str">
        <f>IF(ISNUMBER(SEARCH("Streaming", M574)), "streaming", "cinema")</f>
        <v>streaming</v>
      </c>
      <c r="O574" t="str">
        <f>IF(I574=1, "non-original", "original")</f>
        <v>original</v>
      </c>
      <c r="P574" t="str">
        <f>IF(J574 = 1, "franchise", "non-franchise")</f>
        <v>non-franchise</v>
      </c>
      <c r="Q574" t="str">
        <f>IF(OR(I574 = 1,J574 =1), "old", "new")</f>
        <v>new</v>
      </c>
      <c r="R574">
        <f t="shared" si="16"/>
        <v>0.40538576552592892</v>
      </c>
      <c r="S574">
        <f>IF(Q574="new",1.5,1)*(K574/10)*(1-(MIN(F574,180)/180))</f>
        <v>0.38500000000000006</v>
      </c>
      <c r="T574" t="str">
        <f t="shared" si="17"/>
        <v>Scenario 3: Strong Convenience</v>
      </c>
    </row>
    <row r="575" spans="1:20" x14ac:dyDescent="0.35">
      <c r="A575" t="s">
        <v>744</v>
      </c>
      <c r="B575" s="1">
        <v>45421</v>
      </c>
      <c r="C575">
        <v>2024</v>
      </c>
      <c r="D575">
        <v>5</v>
      </c>
      <c r="E575" t="s">
        <v>38</v>
      </c>
      <c r="F575">
        <v>90</v>
      </c>
      <c r="G575" t="s">
        <v>29</v>
      </c>
      <c r="H575" t="s">
        <v>56</v>
      </c>
      <c r="I575">
        <v>0</v>
      </c>
      <c r="J575">
        <v>0</v>
      </c>
      <c r="K575">
        <v>4.9000000000000004</v>
      </c>
      <c r="L575">
        <v>17997</v>
      </c>
      <c r="M575" t="s">
        <v>88</v>
      </c>
      <c r="N575" t="str">
        <f>IF(ISNUMBER(SEARCH("Streaming", M575)), "streaming", "cinema")</f>
        <v>streaming</v>
      </c>
      <c r="O575" t="str">
        <f>IF(I575=1, "non-original", "original")</f>
        <v>original</v>
      </c>
      <c r="P575" t="str">
        <f>IF(J575 = 1, "franchise", "non-franchise")</f>
        <v>non-franchise</v>
      </c>
      <c r="Q575" t="str">
        <f>IF(OR(I575 = 1,J575 =1), "old", "new")</f>
        <v>new</v>
      </c>
      <c r="R575">
        <f t="shared" si="16"/>
        <v>0.35439286347977256</v>
      </c>
      <c r="S575">
        <f>IF(Q575="new",1.5,1)*(K575/10)*(1-(MIN(F575,180)/180))</f>
        <v>0.36750000000000005</v>
      </c>
      <c r="T575" t="str">
        <f t="shared" si="17"/>
        <v>Scenario 3: Strong Convenience</v>
      </c>
    </row>
    <row r="576" spans="1:20" x14ac:dyDescent="0.35">
      <c r="A576" t="s">
        <v>522</v>
      </c>
      <c r="B576" s="1">
        <v>45428</v>
      </c>
      <c r="C576">
        <v>2024</v>
      </c>
      <c r="D576">
        <v>5</v>
      </c>
      <c r="E576" t="s">
        <v>38</v>
      </c>
      <c r="F576">
        <v>84</v>
      </c>
      <c r="G576" t="s">
        <v>19</v>
      </c>
      <c r="H576" t="s">
        <v>16</v>
      </c>
      <c r="I576">
        <v>0</v>
      </c>
      <c r="J576">
        <v>0</v>
      </c>
      <c r="K576">
        <v>9.6999999999999993</v>
      </c>
      <c r="L576">
        <v>134</v>
      </c>
      <c r="M576" t="s">
        <v>17</v>
      </c>
      <c r="N576" t="str">
        <f>IF(ISNUMBER(SEARCH("Streaming", M576)), "streaming", "cinema")</f>
        <v>streaming</v>
      </c>
      <c r="O576" t="str">
        <f>IF(I576=1, "non-original", "original")</f>
        <v>original</v>
      </c>
      <c r="P576" t="str">
        <f>IF(J576 = 1, "franchise", "non-franchise")</f>
        <v>non-franchise</v>
      </c>
      <c r="Q576" t="str">
        <f>IF(OR(I576 = 1,J576 =1), "old", "new")</f>
        <v>new</v>
      </c>
      <c r="R576">
        <f t="shared" si="16"/>
        <v>0.1653448385734658</v>
      </c>
      <c r="S576">
        <f>IF(Q576="new",1.5,1)*(K576/10)*(1-(MIN(F576,180)/180))</f>
        <v>0.77600000000000002</v>
      </c>
      <c r="T576" t="str">
        <f t="shared" si="17"/>
        <v>Scenario 3: Strong Convenience</v>
      </c>
    </row>
    <row r="577" spans="1:20" x14ac:dyDescent="0.35">
      <c r="A577" t="s">
        <v>745</v>
      </c>
      <c r="B577" s="1">
        <v>45429</v>
      </c>
      <c r="C577">
        <v>2024</v>
      </c>
      <c r="D577">
        <v>5</v>
      </c>
      <c r="E577" t="s">
        <v>38</v>
      </c>
      <c r="F577">
        <v>98</v>
      </c>
      <c r="G577" t="s">
        <v>746</v>
      </c>
      <c r="H577" t="s">
        <v>56</v>
      </c>
      <c r="I577">
        <v>0</v>
      </c>
      <c r="J577">
        <v>0</v>
      </c>
      <c r="K577">
        <v>5.8</v>
      </c>
      <c r="L577">
        <v>3360</v>
      </c>
      <c r="M577" t="s">
        <v>17</v>
      </c>
      <c r="N577" t="str">
        <f>IF(ISNUMBER(SEARCH("Streaming", M577)), "streaming", "cinema")</f>
        <v>streaming</v>
      </c>
      <c r="O577" t="str">
        <f>IF(I577=1, "non-original", "original")</f>
        <v>original</v>
      </c>
      <c r="P577" t="str">
        <f>IF(J577 = 1, "franchise", "non-franchise")</f>
        <v>non-franchise</v>
      </c>
      <c r="Q577" t="str">
        <f>IF(OR(I577 = 1,J577 =1), "old", "new")</f>
        <v>new</v>
      </c>
      <c r="R577">
        <f t="shared" si="16"/>
        <v>0.31979571427828685</v>
      </c>
      <c r="S577">
        <f>IF(Q577="new",1.5,1)*(K577/10)*(1-(MIN(F577,180)/180))</f>
        <v>0.39633333333333332</v>
      </c>
      <c r="T577" t="str">
        <f t="shared" si="17"/>
        <v>Scenario 3: Strong Convenience</v>
      </c>
    </row>
    <row r="578" spans="1:20" x14ac:dyDescent="0.35">
      <c r="A578" t="s">
        <v>747</v>
      </c>
      <c r="B578" s="1">
        <v>45435</v>
      </c>
      <c r="C578">
        <v>2024</v>
      </c>
      <c r="D578">
        <v>5</v>
      </c>
      <c r="E578" t="s">
        <v>38</v>
      </c>
      <c r="F578">
        <v>99</v>
      </c>
      <c r="G578" t="s">
        <v>29</v>
      </c>
      <c r="H578" t="s">
        <v>27</v>
      </c>
      <c r="I578">
        <v>0</v>
      </c>
      <c r="J578">
        <v>0</v>
      </c>
      <c r="K578">
        <v>5.3</v>
      </c>
      <c r="L578">
        <v>1144</v>
      </c>
      <c r="M578" t="s">
        <v>17</v>
      </c>
      <c r="N578" t="str">
        <f>IF(ISNUMBER(SEARCH("Streaming", M578)), "streaming", "cinema")</f>
        <v>streaming</v>
      </c>
      <c r="O578" t="str">
        <f>IF(I578=1, "non-original", "original")</f>
        <v>original</v>
      </c>
      <c r="P578" t="str">
        <f>IF(J578 = 1, "franchise", "non-franchise")</f>
        <v>non-franchise</v>
      </c>
      <c r="Q578" t="str">
        <f>IF(OR(I578 = 1,J578 =1), "old", "new")</f>
        <v>new</v>
      </c>
      <c r="R578">
        <f t="shared" si="16"/>
        <v>0.28019194386088275</v>
      </c>
      <c r="S578">
        <f>IF(Q578="new",1.5,1)*(K578/10)*(1-(MIN(F578,180)/180))</f>
        <v>0.35774999999999996</v>
      </c>
      <c r="T578" t="str">
        <f t="shared" si="17"/>
        <v>Scenario 3: Strong Convenience</v>
      </c>
    </row>
    <row r="579" spans="1:20" x14ac:dyDescent="0.35">
      <c r="A579" t="s">
        <v>748</v>
      </c>
      <c r="B579" s="1">
        <v>45436</v>
      </c>
      <c r="C579">
        <v>2024</v>
      </c>
      <c r="D579">
        <v>5</v>
      </c>
      <c r="E579" t="s">
        <v>38</v>
      </c>
      <c r="F579">
        <v>120</v>
      </c>
      <c r="G579" t="s">
        <v>238</v>
      </c>
      <c r="H579" t="s">
        <v>27</v>
      </c>
      <c r="I579">
        <v>0</v>
      </c>
      <c r="J579">
        <v>0</v>
      </c>
      <c r="K579">
        <v>5.6</v>
      </c>
      <c r="L579">
        <v>59215</v>
      </c>
      <c r="M579" t="s">
        <v>88</v>
      </c>
      <c r="N579" t="str">
        <f>IF(ISNUMBER(SEARCH("Streaming", M579)), "streaming", "cinema")</f>
        <v>streaming</v>
      </c>
      <c r="O579" t="str">
        <f>IF(I579=1, "non-original", "original")</f>
        <v>original</v>
      </c>
      <c r="P579" t="str">
        <f>IF(J579 = 1, "franchise", "non-franchise")</f>
        <v>non-franchise</v>
      </c>
      <c r="Q579" t="str">
        <f>IF(OR(I579 = 1,J579 =1), "old", "new")</f>
        <v>new</v>
      </c>
      <c r="R579">
        <f t="shared" ref="R579:R642" si="18">IF(Q579="old",1.5,1)*(LOG10(L579)/LOG10(MAX($L$2:$L$1078)))*(MIN(F579,180)/180)</f>
        <v>0.52996042535254617</v>
      </c>
      <c r="S579">
        <f>IF(Q579="new",1.5,1)*(K579/10)*(1-(MIN(F579,180)/180))</f>
        <v>0.27999999999999997</v>
      </c>
      <c r="T579" t="str">
        <f t="shared" ref="T579:T642" si="19">IF(AND(R579&gt;=AVERAGE($R$2:$R$1078),S579&gt;=AVERAGE($S$2:$S$1078)),"Scenario 4: Hybrid Logic",
 IF(AND(R579&gt;=AVERAGE($R$2:$R$1078),S579&lt;AVERAGE($S$2:$S$1078)),"Scenario 1: Strong Commitment",
  IF(AND(R579&lt;AVERAGE($R$2:$R$1078),S579&gt;=AVERAGE($S$2:$S$1078)),"Scenario 3: Strong Convenience",
   "Scenario 2: Weak Commitment/Convenience")))</f>
        <v>Scenario 1: Strong Commitment</v>
      </c>
    </row>
    <row r="580" spans="1:20" x14ac:dyDescent="0.35">
      <c r="A580" t="s">
        <v>749</v>
      </c>
      <c r="B580" s="1">
        <v>45436</v>
      </c>
      <c r="C580">
        <v>2024</v>
      </c>
      <c r="D580">
        <v>5</v>
      </c>
      <c r="E580" t="s">
        <v>38</v>
      </c>
      <c r="F580">
        <v>112</v>
      </c>
      <c r="G580" t="s">
        <v>83</v>
      </c>
      <c r="H580" t="s">
        <v>56</v>
      </c>
      <c r="I580">
        <v>0</v>
      </c>
      <c r="J580">
        <v>0</v>
      </c>
      <c r="K580">
        <v>6</v>
      </c>
      <c r="L580">
        <v>2198</v>
      </c>
      <c r="M580" t="s">
        <v>17</v>
      </c>
      <c r="N580" t="str">
        <f>IF(ISNUMBER(SEARCH("Streaming", M580)), "streaming", "cinema")</f>
        <v>streaming</v>
      </c>
      <c r="O580" t="str">
        <f>IF(I580=1, "non-original", "original")</f>
        <v>original</v>
      </c>
      <c r="P580" t="str">
        <f>IF(J580 = 1, "franchise", "non-franchise")</f>
        <v>non-franchise</v>
      </c>
      <c r="Q580" t="str">
        <f>IF(OR(I580 = 1,J580 =1), "old", "new")</f>
        <v>new</v>
      </c>
      <c r="R580">
        <f t="shared" si="18"/>
        <v>0.34637818755313005</v>
      </c>
      <c r="S580">
        <f>IF(Q580="new",1.5,1)*(K580/10)*(1-(MIN(F580,180)/180))</f>
        <v>0.33999999999999997</v>
      </c>
      <c r="T580" t="str">
        <f t="shared" si="19"/>
        <v>Scenario 3: Strong Convenience</v>
      </c>
    </row>
    <row r="581" spans="1:20" x14ac:dyDescent="0.35">
      <c r="A581" t="s">
        <v>750</v>
      </c>
      <c r="B581" s="1">
        <v>45441</v>
      </c>
      <c r="C581">
        <v>2024</v>
      </c>
      <c r="D581">
        <v>5</v>
      </c>
      <c r="E581" t="s">
        <v>38</v>
      </c>
      <c r="F581">
        <v>110</v>
      </c>
      <c r="G581" t="s">
        <v>192</v>
      </c>
      <c r="H581" t="s">
        <v>24</v>
      </c>
      <c r="I581">
        <v>0</v>
      </c>
      <c r="J581">
        <v>0</v>
      </c>
      <c r="K581">
        <v>4.3</v>
      </c>
      <c r="L581">
        <v>1849</v>
      </c>
      <c r="M581" t="s">
        <v>17</v>
      </c>
      <c r="N581" t="str">
        <f>IF(ISNUMBER(SEARCH("Streaming", M581)), "streaming", "cinema")</f>
        <v>streaming</v>
      </c>
      <c r="O581" t="str">
        <f>IF(I581=1, "non-original", "original")</f>
        <v>original</v>
      </c>
      <c r="P581" t="str">
        <f>IF(J581 = 1, "franchise", "non-franchise")</f>
        <v>non-franchise</v>
      </c>
      <c r="Q581" t="str">
        <f>IF(OR(I581 = 1,J581 =1), "old", "new")</f>
        <v>new</v>
      </c>
      <c r="R581">
        <f t="shared" si="18"/>
        <v>0.33254919588947418</v>
      </c>
      <c r="S581">
        <f>IF(Q581="new",1.5,1)*(K581/10)*(1-(MIN(F581,180)/180))</f>
        <v>0.2508333333333333</v>
      </c>
      <c r="T581" t="str">
        <f t="shared" si="19"/>
        <v>Scenario 2: Weak Commitment/Convenience</v>
      </c>
    </row>
    <row r="582" spans="1:20" x14ac:dyDescent="0.35">
      <c r="A582" t="s">
        <v>751</v>
      </c>
      <c r="B582" s="1">
        <v>45441</v>
      </c>
      <c r="C582">
        <v>2024</v>
      </c>
      <c r="D582">
        <v>5</v>
      </c>
      <c r="E582" t="s">
        <v>38</v>
      </c>
      <c r="F582">
        <v>112</v>
      </c>
      <c r="G582" t="s">
        <v>76</v>
      </c>
      <c r="H582" t="s">
        <v>30</v>
      </c>
      <c r="I582">
        <v>0</v>
      </c>
      <c r="J582">
        <v>0</v>
      </c>
      <c r="K582">
        <v>6.4</v>
      </c>
      <c r="L582">
        <v>9395</v>
      </c>
      <c r="M582" t="s">
        <v>88</v>
      </c>
      <c r="N582" t="str">
        <f>IF(ISNUMBER(SEARCH("Streaming", M582)), "streaming", "cinema")</f>
        <v>streaming</v>
      </c>
      <c r="O582" t="str">
        <f>IF(I582=1, "non-original", "original")</f>
        <v>original</v>
      </c>
      <c r="P582" t="str">
        <f>IF(J582 = 1, "franchise", "non-franchise")</f>
        <v>non-franchise</v>
      </c>
      <c r="Q582" t="str">
        <f>IF(OR(I582 = 1,J582 =1), "old", "new")</f>
        <v>new</v>
      </c>
      <c r="R582">
        <f t="shared" si="18"/>
        <v>0.41176343105532376</v>
      </c>
      <c r="S582">
        <f>IF(Q582="new",1.5,1)*(K582/10)*(1-(MIN(F582,180)/180))</f>
        <v>0.36266666666666664</v>
      </c>
      <c r="T582" t="str">
        <f t="shared" si="19"/>
        <v>Scenario 3: Strong Convenience</v>
      </c>
    </row>
    <row r="583" spans="1:20" x14ac:dyDescent="0.35">
      <c r="A583" t="s">
        <v>752</v>
      </c>
      <c r="B583" s="1">
        <v>45443</v>
      </c>
      <c r="C583">
        <v>2024</v>
      </c>
      <c r="D583">
        <v>5</v>
      </c>
      <c r="E583" t="s">
        <v>38</v>
      </c>
      <c r="F583">
        <v>100</v>
      </c>
      <c r="G583" t="s">
        <v>753</v>
      </c>
      <c r="H583" t="s">
        <v>30</v>
      </c>
      <c r="I583">
        <v>0</v>
      </c>
      <c r="J583">
        <v>0</v>
      </c>
      <c r="K583">
        <v>5.8</v>
      </c>
      <c r="L583">
        <v>3194</v>
      </c>
      <c r="M583" t="s">
        <v>17</v>
      </c>
      <c r="N583" t="str">
        <f>IF(ISNUMBER(SEARCH("Streaming", M583)), "streaming", "cinema")</f>
        <v>streaming</v>
      </c>
      <c r="O583" t="str">
        <f>IF(I583=1, "non-original", "original")</f>
        <v>original</v>
      </c>
      <c r="P583" t="str">
        <f>IF(J583 = 1, "franchise", "non-franchise")</f>
        <v>non-franchise</v>
      </c>
      <c r="Q583" t="str">
        <f>IF(OR(I583 = 1,J583 =1), "old", "new")</f>
        <v>new</v>
      </c>
      <c r="R583">
        <f t="shared" si="18"/>
        <v>0.32428590637822968</v>
      </c>
      <c r="S583">
        <f>IF(Q583="new",1.5,1)*(K583/10)*(1-(MIN(F583,180)/180))</f>
        <v>0.3866666666666666</v>
      </c>
      <c r="T583" t="str">
        <f t="shared" si="19"/>
        <v>Scenario 3: Strong Convenience</v>
      </c>
    </row>
    <row r="584" spans="1:20" x14ac:dyDescent="0.35">
      <c r="A584" t="s">
        <v>754</v>
      </c>
      <c r="B584" s="1">
        <v>45447</v>
      </c>
      <c r="C584">
        <v>2024</v>
      </c>
      <c r="D584">
        <v>6</v>
      </c>
      <c r="E584" t="s">
        <v>78</v>
      </c>
      <c r="F584">
        <v>90</v>
      </c>
      <c r="G584" t="s">
        <v>21</v>
      </c>
      <c r="H584" t="s">
        <v>30</v>
      </c>
      <c r="I584">
        <v>0</v>
      </c>
      <c r="J584">
        <v>0</v>
      </c>
      <c r="K584">
        <v>5.4</v>
      </c>
      <c r="L584">
        <v>1360</v>
      </c>
      <c r="M584" t="s">
        <v>17</v>
      </c>
      <c r="N584" t="str">
        <f>IF(ISNUMBER(SEARCH("Streaming", M584)), "streaming", "cinema")</f>
        <v>streaming</v>
      </c>
      <c r="O584" t="str">
        <f>IF(I584=1, "non-original", "original")</f>
        <v>original</v>
      </c>
      <c r="P584" t="str">
        <f>IF(J584 = 1, "franchise", "non-franchise")</f>
        <v>non-franchise</v>
      </c>
      <c r="Q584" t="str">
        <f>IF(OR(I584 = 1,J584 =1), "old", "new")</f>
        <v>new</v>
      </c>
      <c r="R584">
        <f t="shared" si="18"/>
        <v>0.26097569940729681</v>
      </c>
      <c r="S584">
        <f>IF(Q584="new",1.5,1)*(K584/10)*(1-(MIN(F584,180)/180))</f>
        <v>0.40500000000000003</v>
      </c>
      <c r="T584" t="str">
        <f t="shared" si="19"/>
        <v>Scenario 3: Strong Convenience</v>
      </c>
    </row>
    <row r="585" spans="1:20" x14ac:dyDescent="0.35">
      <c r="A585" t="s">
        <v>755</v>
      </c>
      <c r="B585" s="1">
        <v>45448</v>
      </c>
      <c r="C585">
        <v>2024</v>
      </c>
      <c r="D585">
        <v>6</v>
      </c>
      <c r="E585" t="s">
        <v>78</v>
      </c>
      <c r="F585">
        <v>103</v>
      </c>
      <c r="G585" t="s">
        <v>19</v>
      </c>
      <c r="H585" t="s">
        <v>24</v>
      </c>
      <c r="I585">
        <v>0</v>
      </c>
      <c r="J585">
        <v>0</v>
      </c>
      <c r="K585">
        <v>5.2</v>
      </c>
      <c r="L585">
        <v>39190</v>
      </c>
      <c r="M585" t="s">
        <v>88</v>
      </c>
      <c r="N585" t="str">
        <f>IF(ISNUMBER(SEARCH("Streaming", M585)), "streaming", "cinema")</f>
        <v>streaming</v>
      </c>
      <c r="O585" t="str">
        <f>IF(I585=1, "non-original", "original")</f>
        <v>original</v>
      </c>
      <c r="P585" t="str">
        <f>IF(J585 = 1, "franchise", "non-franchise")</f>
        <v>non-franchise</v>
      </c>
      <c r="Q585" t="str">
        <f>IF(OR(I585 = 1,J585 =1), "old", "new")</f>
        <v>new</v>
      </c>
      <c r="R585">
        <f t="shared" si="18"/>
        <v>0.43779692928552849</v>
      </c>
      <c r="S585">
        <f>IF(Q585="new",1.5,1)*(K585/10)*(1-(MIN(F585,180)/180))</f>
        <v>0.33366666666666672</v>
      </c>
      <c r="T585" t="str">
        <f t="shared" si="19"/>
        <v>Scenario 3: Strong Convenience</v>
      </c>
    </row>
    <row r="586" spans="1:20" x14ac:dyDescent="0.35">
      <c r="A586" t="s">
        <v>756</v>
      </c>
      <c r="B586" s="1">
        <v>45449</v>
      </c>
      <c r="C586">
        <v>2024</v>
      </c>
      <c r="D586">
        <v>6</v>
      </c>
      <c r="E586" t="s">
        <v>78</v>
      </c>
      <c r="F586">
        <v>105</v>
      </c>
      <c r="G586" t="s">
        <v>34</v>
      </c>
      <c r="H586" t="s">
        <v>30</v>
      </c>
      <c r="I586">
        <v>0</v>
      </c>
      <c r="J586">
        <v>0</v>
      </c>
      <c r="K586">
        <v>4.4000000000000004</v>
      </c>
      <c r="L586">
        <v>628</v>
      </c>
      <c r="M586" t="s">
        <v>17</v>
      </c>
      <c r="N586" t="str">
        <f>IF(ISNUMBER(SEARCH("Streaming", M586)), "streaming", "cinema")</f>
        <v>streaming</v>
      </c>
      <c r="O586" t="str">
        <f>IF(I586=1, "non-original", "original")</f>
        <v>original</v>
      </c>
      <c r="P586" t="str">
        <f>IF(J586 = 1, "franchise", "non-franchise")</f>
        <v>non-franchise</v>
      </c>
      <c r="Q586" t="str">
        <f>IF(OR(I586 = 1,J586 =1), "old", "new")</f>
        <v>new</v>
      </c>
      <c r="R586">
        <f t="shared" si="18"/>
        <v>0.27186494641944758</v>
      </c>
      <c r="S586">
        <f>IF(Q586="new",1.5,1)*(K586/10)*(1-(MIN(F586,180)/180))</f>
        <v>0.27500000000000002</v>
      </c>
      <c r="T586" t="str">
        <f t="shared" si="19"/>
        <v>Scenario 2: Weak Commitment/Convenience</v>
      </c>
    </row>
    <row r="587" spans="1:20" x14ac:dyDescent="0.35">
      <c r="A587" t="s">
        <v>757</v>
      </c>
      <c r="B587" s="1">
        <v>45457</v>
      </c>
      <c r="C587">
        <v>2024</v>
      </c>
      <c r="D587">
        <v>6</v>
      </c>
      <c r="E587" t="s">
        <v>78</v>
      </c>
      <c r="F587">
        <v>121</v>
      </c>
      <c r="G587" t="s">
        <v>758</v>
      </c>
      <c r="H587" t="s">
        <v>56</v>
      </c>
      <c r="I587">
        <v>0</v>
      </c>
      <c r="J587">
        <v>0</v>
      </c>
      <c r="K587">
        <v>6.9</v>
      </c>
      <c r="L587">
        <v>7336</v>
      </c>
      <c r="M587" t="s">
        <v>17</v>
      </c>
      <c r="N587" t="str">
        <f>IF(ISNUMBER(SEARCH("Streaming", M587)), "streaming", "cinema")</f>
        <v>streaming</v>
      </c>
      <c r="O587" t="str">
        <f>IF(I587=1, "non-original", "original")</f>
        <v>original</v>
      </c>
      <c r="P587" t="str">
        <f>IF(J587 = 1, "franchise", "non-franchise")</f>
        <v>non-franchise</v>
      </c>
      <c r="Q587" t="str">
        <f>IF(OR(I587 = 1,J587 =1), "old", "new")</f>
        <v>new</v>
      </c>
      <c r="R587">
        <f t="shared" si="18"/>
        <v>0.43282162064845742</v>
      </c>
      <c r="S587">
        <f>IF(Q587="new",1.5,1)*(K587/10)*(1-(MIN(F587,180)/180))</f>
        <v>0.33925</v>
      </c>
      <c r="T587" t="str">
        <f t="shared" si="19"/>
        <v>Scenario 3: Strong Convenience</v>
      </c>
    </row>
    <row r="588" spans="1:20" x14ac:dyDescent="0.35">
      <c r="A588" t="s">
        <v>759</v>
      </c>
      <c r="B588" s="1">
        <v>45462</v>
      </c>
      <c r="C588">
        <v>2024</v>
      </c>
      <c r="D588">
        <v>6</v>
      </c>
      <c r="E588" t="s">
        <v>78</v>
      </c>
      <c r="F588">
        <v>94</v>
      </c>
      <c r="G588" t="s">
        <v>21</v>
      </c>
      <c r="H588" t="s">
        <v>30</v>
      </c>
      <c r="I588">
        <v>0</v>
      </c>
      <c r="J588">
        <v>0</v>
      </c>
      <c r="K588">
        <v>6.2</v>
      </c>
      <c r="L588">
        <v>113</v>
      </c>
      <c r="M588" t="s">
        <v>88</v>
      </c>
      <c r="N588" t="str">
        <f>IF(ISNUMBER(SEARCH("Streaming", M588)), "streaming", "cinema")</f>
        <v>streaming</v>
      </c>
      <c r="O588" t="str">
        <f>IF(I588=1, "non-original", "original")</f>
        <v>original</v>
      </c>
      <c r="P588" t="str">
        <f>IF(J588 = 1, "franchise", "non-franchise")</f>
        <v>non-franchise</v>
      </c>
      <c r="Q588" t="str">
        <f>IF(OR(I588 = 1,J588 =1), "old", "new")</f>
        <v>new</v>
      </c>
      <c r="R588">
        <f t="shared" si="18"/>
        <v>0.17858947715533471</v>
      </c>
      <c r="S588">
        <f>IF(Q588="new",1.5,1)*(K588/10)*(1-(MIN(F588,180)/180))</f>
        <v>0.44433333333333325</v>
      </c>
      <c r="T588" t="str">
        <f t="shared" si="19"/>
        <v>Scenario 3: Strong Convenience</v>
      </c>
    </row>
    <row r="589" spans="1:20" x14ac:dyDescent="0.35">
      <c r="A589" t="s">
        <v>760</v>
      </c>
      <c r="B589" s="1">
        <v>45464</v>
      </c>
      <c r="C589">
        <v>2024</v>
      </c>
      <c r="D589">
        <v>6</v>
      </c>
      <c r="E589" t="s">
        <v>78</v>
      </c>
      <c r="F589">
        <v>131</v>
      </c>
      <c r="G589" t="s">
        <v>761</v>
      </c>
      <c r="H589" t="s">
        <v>30</v>
      </c>
      <c r="I589">
        <v>1</v>
      </c>
      <c r="J589">
        <v>0</v>
      </c>
      <c r="K589">
        <v>6.5</v>
      </c>
      <c r="L589">
        <v>15693</v>
      </c>
      <c r="M589" t="s">
        <v>88</v>
      </c>
      <c r="N589" t="str">
        <f>IF(ISNUMBER(SEARCH("Streaming", M589)), "streaming", "cinema")</f>
        <v>streaming</v>
      </c>
      <c r="O589" t="str">
        <f>IF(I589=1, "non-original", "original")</f>
        <v>non-original</v>
      </c>
      <c r="P589" t="str">
        <f>IF(J589 = 1, "franchise", "non-franchise")</f>
        <v>non-franchise</v>
      </c>
      <c r="Q589" t="str">
        <f>IF(OR(I589 = 1,J589 =1), "old", "new")</f>
        <v>old</v>
      </c>
      <c r="R589">
        <f t="shared" si="18"/>
        <v>0.76293944674299174</v>
      </c>
      <c r="S589">
        <f>IF(Q589="new",1.5,1)*(K589/10)*(1-(MIN(F589,180)/180))</f>
        <v>0.17694444444444446</v>
      </c>
      <c r="T589" t="str">
        <f t="shared" si="19"/>
        <v>Scenario 1: Strong Commitment</v>
      </c>
    </row>
    <row r="590" spans="1:20" x14ac:dyDescent="0.35">
      <c r="A590" t="s">
        <v>762</v>
      </c>
      <c r="B590" s="1">
        <v>45464</v>
      </c>
      <c r="C590">
        <v>2024</v>
      </c>
      <c r="D590">
        <v>6</v>
      </c>
      <c r="E590" t="s">
        <v>78</v>
      </c>
      <c r="F590">
        <v>106</v>
      </c>
      <c r="G590" t="s">
        <v>49</v>
      </c>
      <c r="H590" t="s">
        <v>24</v>
      </c>
      <c r="I590">
        <v>0</v>
      </c>
      <c r="J590">
        <v>0</v>
      </c>
      <c r="K590">
        <v>4.5999999999999996</v>
      </c>
      <c r="L590">
        <v>20504</v>
      </c>
      <c r="M590" t="s">
        <v>88</v>
      </c>
      <c r="N590" t="str">
        <f>IF(ISNUMBER(SEARCH("Streaming", M590)), "streaming", "cinema")</f>
        <v>streaming</v>
      </c>
      <c r="O590" t="str">
        <f>IF(I590=1, "non-original", "original")</f>
        <v>original</v>
      </c>
      <c r="P590" t="str">
        <f>IF(J590 = 1, "franchise", "non-franchise")</f>
        <v>non-franchise</v>
      </c>
      <c r="Q590" t="str">
        <f>IF(OR(I590 = 1,J590 =1), "old", "new")</f>
        <v>new</v>
      </c>
      <c r="R590">
        <f t="shared" si="18"/>
        <v>0.4229517534221926</v>
      </c>
      <c r="S590">
        <f>IF(Q590="new",1.5,1)*(K590/10)*(1-(MIN(F590,180)/180))</f>
        <v>0.28366666666666662</v>
      </c>
      <c r="T590" t="str">
        <f t="shared" si="19"/>
        <v>Scenario 2: Weak Commitment/Convenience</v>
      </c>
    </row>
    <row r="591" spans="1:20" x14ac:dyDescent="0.35">
      <c r="A591" t="s">
        <v>763</v>
      </c>
      <c r="B591" s="1">
        <v>45470</v>
      </c>
      <c r="C591">
        <v>2024</v>
      </c>
      <c r="D591">
        <v>6</v>
      </c>
      <c r="E591" t="s">
        <v>78</v>
      </c>
      <c r="F591">
        <v>118</v>
      </c>
      <c r="G591" t="s">
        <v>269</v>
      </c>
      <c r="H591" t="s">
        <v>27</v>
      </c>
      <c r="I591">
        <v>0</v>
      </c>
      <c r="J591">
        <v>0</v>
      </c>
      <c r="K591">
        <v>7.7</v>
      </c>
      <c r="L591">
        <v>3628</v>
      </c>
      <c r="M591" t="s">
        <v>17</v>
      </c>
      <c r="N591" t="str">
        <f>IF(ISNUMBER(SEARCH("Streaming", M591)), "streaming", "cinema")</f>
        <v>streaming</v>
      </c>
      <c r="O591" t="str">
        <f>IF(I591=1, "non-original", "original")</f>
        <v>original</v>
      </c>
      <c r="P591" t="str">
        <f>IF(J591 = 1, "franchise", "non-franchise")</f>
        <v>non-franchise</v>
      </c>
      <c r="Q591" t="str">
        <f>IF(OR(I591 = 1,J591 =1), "old", "new")</f>
        <v>new</v>
      </c>
      <c r="R591">
        <f t="shared" si="18"/>
        <v>0.38869941127751395</v>
      </c>
      <c r="S591">
        <f>IF(Q591="new",1.5,1)*(K591/10)*(1-(MIN(F591,180)/180))</f>
        <v>0.39783333333333332</v>
      </c>
      <c r="T591" t="str">
        <f t="shared" si="19"/>
        <v>Scenario 3: Strong Convenience</v>
      </c>
    </row>
    <row r="592" spans="1:20" x14ac:dyDescent="0.35">
      <c r="A592" t="s">
        <v>764</v>
      </c>
      <c r="B592" s="1">
        <v>45471</v>
      </c>
      <c r="C592">
        <v>2024</v>
      </c>
      <c r="D592">
        <v>6</v>
      </c>
      <c r="E592" t="s">
        <v>78</v>
      </c>
      <c r="F592">
        <v>113</v>
      </c>
      <c r="G592" t="s">
        <v>29</v>
      </c>
      <c r="H592" t="s">
        <v>27</v>
      </c>
      <c r="I592">
        <v>0</v>
      </c>
      <c r="J592">
        <v>0</v>
      </c>
      <c r="K592">
        <v>5.4</v>
      </c>
      <c r="L592">
        <v>39554</v>
      </c>
      <c r="M592" t="s">
        <v>88</v>
      </c>
      <c r="N592" t="str">
        <f>IF(ISNUMBER(SEARCH("Streaming", M592)), "streaming", "cinema")</f>
        <v>streaming</v>
      </c>
      <c r="O592" t="str">
        <f>IF(I592=1, "non-original", "original")</f>
        <v>original</v>
      </c>
      <c r="P592" t="str">
        <f>IF(J592 = 1, "franchise", "non-franchise")</f>
        <v>non-franchise</v>
      </c>
      <c r="Q592" t="str">
        <f>IF(OR(I592 = 1,J592 =1), "old", "new")</f>
        <v>new</v>
      </c>
      <c r="R592">
        <f t="shared" si="18"/>
        <v>0.48072134332559896</v>
      </c>
      <c r="S592">
        <f>IF(Q592="new",1.5,1)*(K592/10)*(1-(MIN(F592,180)/180))</f>
        <v>0.30150000000000005</v>
      </c>
      <c r="T592" t="str">
        <f t="shared" si="19"/>
        <v>Scenario 1: Strong Commitment</v>
      </c>
    </row>
    <row r="593" spans="1:20" x14ac:dyDescent="0.35">
      <c r="A593" t="s">
        <v>765</v>
      </c>
      <c r="B593" s="1">
        <v>45476</v>
      </c>
      <c r="C593">
        <v>2024</v>
      </c>
      <c r="D593">
        <v>7</v>
      </c>
      <c r="E593" t="s">
        <v>78</v>
      </c>
      <c r="F593">
        <v>117</v>
      </c>
      <c r="G593" t="s">
        <v>766</v>
      </c>
      <c r="H593" t="s">
        <v>24</v>
      </c>
      <c r="I593">
        <v>0</v>
      </c>
      <c r="J593">
        <v>0</v>
      </c>
      <c r="K593">
        <v>6.4</v>
      </c>
      <c r="L593">
        <v>86557</v>
      </c>
      <c r="M593" t="s">
        <v>88</v>
      </c>
      <c r="N593" t="str">
        <f>IF(ISNUMBER(SEARCH("Streaming", M593)), "streaming", "cinema")</f>
        <v>streaming</v>
      </c>
      <c r="O593" t="str">
        <f>IF(I593=1, "non-original", "original")</f>
        <v>original</v>
      </c>
      <c r="P593" t="str">
        <f>IF(J593 = 1, "franchise", "non-franchise")</f>
        <v>non-franchise</v>
      </c>
      <c r="Q593" t="str">
        <f>IF(OR(I593 = 1,J593 =1), "old", "new")</f>
        <v>new</v>
      </c>
      <c r="R593">
        <f t="shared" si="18"/>
        <v>0.5345619476266813</v>
      </c>
      <c r="S593">
        <f>IF(Q593="new",1.5,1)*(K593/10)*(1-(MIN(F593,180)/180))</f>
        <v>0.33599999999999997</v>
      </c>
      <c r="T593" t="str">
        <f t="shared" si="19"/>
        <v>Scenario 4: Hybrid Logic</v>
      </c>
    </row>
    <row r="594" spans="1:20" x14ac:dyDescent="0.35">
      <c r="A594" t="s">
        <v>767</v>
      </c>
      <c r="B594" s="1">
        <v>45478</v>
      </c>
      <c r="C594">
        <v>2024</v>
      </c>
      <c r="D594">
        <v>7</v>
      </c>
      <c r="E594" t="s">
        <v>78</v>
      </c>
      <c r="F594">
        <v>107</v>
      </c>
      <c r="G594" t="s">
        <v>90</v>
      </c>
      <c r="H594" t="s">
        <v>30</v>
      </c>
      <c r="I594">
        <v>0</v>
      </c>
      <c r="J594">
        <v>0</v>
      </c>
      <c r="K594">
        <v>6.6</v>
      </c>
      <c r="L594">
        <v>2432</v>
      </c>
      <c r="M594" t="s">
        <v>17</v>
      </c>
      <c r="N594" t="str">
        <f>IF(ISNUMBER(SEARCH("Streaming", M594)), "streaming", "cinema")</f>
        <v>streaming</v>
      </c>
      <c r="O594" t="str">
        <f>IF(I594=1, "non-original", "original")</f>
        <v>original</v>
      </c>
      <c r="P594" t="str">
        <f>IF(J594 = 1, "franchise", "non-franchise")</f>
        <v>non-franchise</v>
      </c>
      <c r="Q594" t="str">
        <f>IF(OR(I594 = 1,J594 =1), "old", "new")</f>
        <v>new</v>
      </c>
      <c r="R594">
        <f t="shared" si="18"/>
        <v>0.33526523965528288</v>
      </c>
      <c r="S594">
        <f>IF(Q594="new",1.5,1)*(K594/10)*(1-(MIN(F594,180)/180))</f>
        <v>0.40149999999999997</v>
      </c>
      <c r="T594" t="str">
        <f t="shared" si="19"/>
        <v>Scenario 3: Strong Convenience</v>
      </c>
    </row>
    <row r="595" spans="1:20" x14ac:dyDescent="0.35">
      <c r="A595" t="s">
        <v>768</v>
      </c>
      <c r="B595" s="1">
        <v>45483</v>
      </c>
      <c r="C595">
        <v>2024</v>
      </c>
      <c r="D595">
        <v>7</v>
      </c>
      <c r="E595" t="s">
        <v>78</v>
      </c>
      <c r="F595">
        <v>110</v>
      </c>
      <c r="G595" t="s">
        <v>21</v>
      </c>
      <c r="H595" t="s">
        <v>24</v>
      </c>
      <c r="I595">
        <v>0</v>
      </c>
      <c r="J595">
        <v>0</v>
      </c>
      <c r="K595">
        <v>6.2</v>
      </c>
      <c r="L595">
        <v>17636</v>
      </c>
      <c r="M595" t="s">
        <v>17</v>
      </c>
      <c r="N595" t="str">
        <f>IF(ISNUMBER(SEARCH("Streaming", M595)), "streaming", "cinema")</f>
        <v>streaming</v>
      </c>
      <c r="O595" t="str">
        <f>IF(I595=1, "non-original", "original")</f>
        <v>original</v>
      </c>
      <c r="P595" t="str">
        <f>IF(J595 = 1, "franchise", "non-franchise")</f>
        <v>non-franchise</v>
      </c>
      <c r="Q595" t="str">
        <f>IF(OR(I595 = 1,J595 =1), "old", "new")</f>
        <v>new</v>
      </c>
      <c r="R595">
        <f t="shared" si="18"/>
        <v>0.43225105773614242</v>
      </c>
      <c r="S595">
        <f>IF(Q595="new",1.5,1)*(K595/10)*(1-(MIN(F595,180)/180))</f>
        <v>0.36166666666666658</v>
      </c>
      <c r="T595" t="str">
        <f t="shared" si="19"/>
        <v>Scenario 3: Strong Convenience</v>
      </c>
    </row>
    <row r="596" spans="1:20" x14ac:dyDescent="0.35">
      <c r="A596" t="s">
        <v>769</v>
      </c>
      <c r="B596" s="1">
        <v>45484</v>
      </c>
      <c r="C596">
        <v>2024</v>
      </c>
      <c r="D596">
        <v>7</v>
      </c>
      <c r="E596" t="s">
        <v>78</v>
      </c>
      <c r="F596">
        <v>92</v>
      </c>
      <c r="G596" t="s">
        <v>19</v>
      </c>
      <c r="H596" t="s">
        <v>30</v>
      </c>
      <c r="I596">
        <v>0</v>
      </c>
      <c r="J596">
        <v>0</v>
      </c>
      <c r="K596">
        <v>5.2</v>
      </c>
      <c r="L596">
        <v>5187</v>
      </c>
      <c r="M596" t="s">
        <v>88</v>
      </c>
      <c r="N596" t="str">
        <f>IF(ISNUMBER(SEARCH("Streaming", M596)), "streaming", "cinema")</f>
        <v>streaming</v>
      </c>
      <c r="O596" t="str">
        <f>IF(I596=1, "non-original", "original")</f>
        <v>original</v>
      </c>
      <c r="P596" t="str">
        <f>IF(J596 = 1, "franchise", "non-franchise")</f>
        <v>non-franchise</v>
      </c>
      <c r="Q596" t="str">
        <f>IF(OR(I596 = 1,J596 =1), "old", "new")</f>
        <v>new</v>
      </c>
      <c r="R596">
        <f t="shared" si="18"/>
        <v>0.3162709649294792</v>
      </c>
      <c r="S596">
        <f>IF(Q596="new",1.5,1)*(K596/10)*(1-(MIN(F596,180)/180))</f>
        <v>0.38133333333333336</v>
      </c>
      <c r="T596" t="str">
        <f t="shared" si="19"/>
        <v>Scenario 3: Strong Convenience</v>
      </c>
    </row>
    <row r="597" spans="1:20" x14ac:dyDescent="0.35">
      <c r="A597" t="s">
        <v>770</v>
      </c>
      <c r="B597" s="1">
        <v>45485</v>
      </c>
      <c r="C597">
        <v>2024</v>
      </c>
      <c r="D597">
        <v>7</v>
      </c>
      <c r="E597" t="s">
        <v>78</v>
      </c>
      <c r="F597">
        <v>92</v>
      </c>
      <c r="G597" t="s">
        <v>21</v>
      </c>
      <c r="H597" t="s">
        <v>24</v>
      </c>
      <c r="I597">
        <v>0</v>
      </c>
      <c r="J597">
        <v>0</v>
      </c>
      <c r="K597">
        <v>5.4</v>
      </c>
      <c r="L597">
        <v>5963</v>
      </c>
      <c r="M597" t="s">
        <v>88</v>
      </c>
      <c r="N597" t="str">
        <f>IF(ISNUMBER(SEARCH("Streaming", M597)), "streaming", "cinema")</f>
        <v>streaming</v>
      </c>
      <c r="O597" t="str">
        <f>IF(I597=1, "non-original", "original")</f>
        <v>original</v>
      </c>
      <c r="P597" t="str">
        <f>IF(J597 = 1, "franchise", "non-franchise")</f>
        <v>non-franchise</v>
      </c>
      <c r="Q597" t="str">
        <f>IF(OR(I597 = 1,J597 =1), "old", "new")</f>
        <v>new</v>
      </c>
      <c r="R597">
        <f t="shared" si="18"/>
        <v>0.32142579229181351</v>
      </c>
      <c r="S597">
        <f>IF(Q597="new",1.5,1)*(K597/10)*(1-(MIN(F597,180)/180))</f>
        <v>0.39600000000000007</v>
      </c>
      <c r="T597" t="str">
        <f t="shared" si="19"/>
        <v>Scenario 3: Strong Convenience</v>
      </c>
    </row>
    <row r="598" spans="1:20" x14ac:dyDescent="0.35">
      <c r="A598" t="s">
        <v>771</v>
      </c>
      <c r="B598" s="1">
        <v>45485</v>
      </c>
      <c r="C598">
        <v>2024</v>
      </c>
      <c r="D598">
        <v>7</v>
      </c>
      <c r="E598" t="s">
        <v>78</v>
      </c>
      <c r="F598">
        <v>108</v>
      </c>
      <c r="G598" t="s">
        <v>21</v>
      </c>
      <c r="H598" t="s">
        <v>30</v>
      </c>
      <c r="I598">
        <v>0</v>
      </c>
      <c r="J598">
        <v>0</v>
      </c>
      <c r="K598">
        <v>4.5999999999999996</v>
      </c>
      <c r="L598">
        <v>232</v>
      </c>
      <c r="M598" t="s">
        <v>17</v>
      </c>
      <c r="N598" t="str">
        <f>IF(ISNUMBER(SEARCH("Streaming", M598)), "streaming", "cinema")</f>
        <v>streaming</v>
      </c>
      <c r="O598" t="str">
        <f>IF(I598=1, "non-original", "original")</f>
        <v>original</v>
      </c>
      <c r="P598" t="str">
        <f>IF(J598 = 1, "franchise", "non-franchise")</f>
        <v>non-franchise</v>
      </c>
      <c r="Q598" t="str">
        <f>IF(OR(I598 = 1,J598 =1), "old", "new")</f>
        <v>new</v>
      </c>
      <c r="R598">
        <f t="shared" si="18"/>
        <v>0.23641061407501385</v>
      </c>
      <c r="S598">
        <f>IF(Q598="new",1.5,1)*(K598/10)*(1-(MIN(F598,180)/180))</f>
        <v>0.27599999999999997</v>
      </c>
      <c r="T598" t="str">
        <f t="shared" si="19"/>
        <v>Scenario 2: Weak Commitment/Convenience</v>
      </c>
    </row>
    <row r="599" spans="1:20" x14ac:dyDescent="0.35">
      <c r="A599" t="s">
        <v>772</v>
      </c>
      <c r="B599" s="1">
        <v>45485</v>
      </c>
      <c r="C599">
        <v>2024</v>
      </c>
      <c r="D599">
        <v>7</v>
      </c>
      <c r="E599" t="s">
        <v>78</v>
      </c>
      <c r="F599">
        <v>106</v>
      </c>
      <c r="G599" t="s">
        <v>21</v>
      </c>
      <c r="H599" t="s">
        <v>30</v>
      </c>
      <c r="I599">
        <v>1</v>
      </c>
      <c r="J599">
        <v>1</v>
      </c>
      <c r="K599">
        <v>5.5</v>
      </c>
      <c r="L599">
        <v>1007</v>
      </c>
      <c r="M599" t="s">
        <v>17</v>
      </c>
      <c r="N599" t="str">
        <f>IF(ISNUMBER(SEARCH("Streaming", M599)), "streaming", "cinema")</f>
        <v>streaming</v>
      </c>
      <c r="O599" t="str">
        <f>IF(I599=1, "non-original", "original")</f>
        <v>non-original</v>
      </c>
      <c r="P599" t="str">
        <f>IF(J599 = 1, "franchise", "non-franchise")</f>
        <v>franchise</v>
      </c>
      <c r="Q599" t="str">
        <f>IF(OR(I599 = 1,J599 =1), "old", "new")</f>
        <v>old</v>
      </c>
      <c r="R599">
        <f t="shared" si="18"/>
        <v>0.44185440365019429</v>
      </c>
      <c r="S599">
        <f>IF(Q599="new",1.5,1)*(K599/10)*(1-(MIN(F599,180)/180))</f>
        <v>0.22611111111111112</v>
      </c>
      <c r="T599" t="str">
        <f t="shared" si="19"/>
        <v>Scenario 2: Weak Commitment/Convenience</v>
      </c>
    </row>
    <row r="600" spans="1:20" x14ac:dyDescent="0.35">
      <c r="A600" t="s">
        <v>773</v>
      </c>
      <c r="B600" s="1">
        <v>45492</v>
      </c>
      <c r="C600">
        <v>2024</v>
      </c>
      <c r="D600">
        <v>7</v>
      </c>
      <c r="E600" t="s">
        <v>78</v>
      </c>
      <c r="F600">
        <v>93</v>
      </c>
      <c r="G600" t="s">
        <v>29</v>
      </c>
      <c r="H600" t="s">
        <v>30</v>
      </c>
      <c r="I600">
        <v>0</v>
      </c>
      <c r="J600">
        <v>0</v>
      </c>
      <c r="K600">
        <v>6.3</v>
      </c>
      <c r="L600">
        <v>13806</v>
      </c>
      <c r="M600" t="s">
        <v>17</v>
      </c>
      <c r="N600" t="str">
        <f>IF(ISNUMBER(SEARCH("Streaming", M600)), "streaming", "cinema")</f>
        <v>streaming</v>
      </c>
      <c r="O600" t="str">
        <f>IF(I600=1, "non-original", "original")</f>
        <v>original</v>
      </c>
      <c r="P600" t="str">
        <f>IF(J600 = 1, "franchise", "non-franchise")</f>
        <v>non-franchise</v>
      </c>
      <c r="Q600" t="str">
        <f>IF(OR(I600 = 1,J600 =1), "old", "new")</f>
        <v>new</v>
      </c>
      <c r="R600">
        <f t="shared" si="18"/>
        <v>0.35629758470887213</v>
      </c>
      <c r="S600">
        <f>IF(Q600="new",1.5,1)*(K600/10)*(1-(MIN(F600,180)/180))</f>
        <v>0.45674999999999999</v>
      </c>
      <c r="T600" t="str">
        <f t="shared" si="19"/>
        <v>Scenario 3: Strong Convenience</v>
      </c>
    </row>
    <row r="601" spans="1:20" x14ac:dyDescent="0.35">
      <c r="A601" t="s">
        <v>774</v>
      </c>
      <c r="B601" s="1">
        <v>45499</v>
      </c>
      <c r="C601">
        <v>2024</v>
      </c>
      <c r="D601">
        <v>7</v>
      </c>
      <c r="E601" t="s">
        <v>78</v>
      </c>
      <c r="F601">
        <v>120</v>
      </c>
      <c r="G601" t="s">
        <v>34</v>
      </c>
      <c r="H601" t="s">
        <v>24</v>
      </c>
      <c r="I601">
        <v>0</v>
      </c>
      <c r="J601">
        <v>0</v>
      </c>
      <c r="K601">
        <v>4</v>
      </c>
      <c r="L601">
        <v>505</v>
      </c>
      <c r="M601" t="s">
        <v>17</v>
      </c>
      <c r="N601" t="str">
        <f>IF(ISNUMBER(SEARCH("Streaming", M601)), "streaming", "cinema")</f>
        <v>streaming</v>
      </c>
      <c r="O601" t="str">
        <f>IF(I601=1, "non-original", "original")</f>
        <v>original</v>
      </c>
      <c r="P601" t="str">
        <f>IF(J601 = 1, "franchise", "non-franchise")</f>
        <v>non-franchise</v>
      </c>
      <c r="Q601" t="str">
        <f>IF(OR(I601 = 1,J601 =1), "old", "new")</f>
        <v>new</v>
      </c>
      <c r="R601">
        <f t="shared" si="18"/>
        <v>0.30019024442161957</v>
      </c>
      <c r="S601">
        <f>IF(Q601="new",1.5,1)*(K601/10)*(1-(MIN(F601,180)/180))</f>
        <v>0.20000000000000004</v>
      </c>
      <c r="T601" t="str">
        <f t="shared" si="19"/>
        <v>Scenario 2: Weak Commitment/Convenience</v>
      </c>
    </row>
    <row r="602" spans="1:20" x14ac:dyDescent="0.35">
      <c r="A602" t="s">
        <v>775</v>
      </c>
      <c r="B602" s="1">
        <v>45499</v>
      </c>
      <c r="C602">
        <v>2024</v>
      </c>
      <c r="D602">
        <v>7</v>
      </c>
      <c r="E602" t="s">
        <v>78</v>
      </c>
      <c r="F602">
        <v>86</v>
      </c>
      <c r="G602" t="s">
        <v>41</v>
      </c>
      <c r="H602" t="s">
        <v>27</v>
      </c>
      <c r="I602">
        <v>0</v>
      </c>
      <c r="J602">
        <v>0</v>
      </c>
      <c r="K602">
        <v>5.4</v>
      </c>
      <c r="L602">
        <v>1319</v>
      </c>
      <c r="M602" t="s">
        <v>17</v>
      </c>
      <c r="N602" t="str">
        <f>IF(ISNUMBER(SEARCH("Streaming", M602)), "streaming", "cinema")</f>
        <v>streaming</v>
      </c>
      <c r="O602" t="str">
        <f>IF(I602=1, "non-original", "original")</f>
        <v>original</v>
      </c>
      <c r="P602" t="str">
        <f>IF(J602 = 1, "franchise", "non-franchise")</f>
        <v>non-franchise</v>
      </c>
      <c r="Q602" t="str">
        <f>IF(OR(I602 = 1,J602 =1), "old", "new")</f>
        <v>new</v>
      </c>
      <c r="R602">
        <f t="shared" si="18"/>
        <v>0.24831879255733644</v>
      </c>
      <c r="S602">
        <f>IF(Q602="new",1.5,1)*(K602/10)*(1-(MIN(F602,180)/180))</f>
        <v>0.42299999999999999</v>
      </c>
      <c r="T602" t="str">
        <f t="shared" si="19"/>
        <v>Scenario 3: Strong Convenience</v>
      </c>
    </row>
    <row r="603" spans="1:20" x14ac:dyDescent="0.35">
      <c r="A603" t="s">
        <v>776</v>
      </c>
      <c r="B603" s="1">
        <v>45505</v>
      </c>
      <c r="C603">
        <v>2024</v>
      </c>
      <c r="D603">
        <v>8</v>
      </c>
      <c r="E603" t="s">
        <v>78</v>
      </c>
      <c r="F603">
        <v>111</v>
      </c>
      <c r="G603" t="s">
        <v>76</v>
      </c>
      <c r="H603" t="s">
        <v>30</v>
      </c>
      <c r="I603">
        <v>0</v>
      </c>
      <c r="J603">
        <v>0</v>
      </c>
      <c r="K603">
        <v>5.2</v>
      </c>
      <c r="L603">
        <v>1434</v>
      </c>
      <c r="M603" t="s">
        <v>17</v>
      </c>
      <c r="N603" t="str">
        <f>IF(ISNUMBER(SEARCH("Streaming", M603)), "streaming", "cinema")</f>
        <v>streaming</v>
      </c>
      <c r="O603" t="str">
        <f>IF(I603=1, "non-original", "original")</f>
        <v>original</v>
      </c>
      <c r="P603" t="str">
        <f>IF(J603 = 1, "franchise", "non-franchise")</f>
        <v>non-franchise</v>
      </c>
      <c r="Q603" t="str">
        <f>IF(OR(I603 = 1,J603 =1), "old", "new")</f>
        <v>new</v>
      </c>
      <c r="R603">
        <f t="shared" si="18"/>
        <v>0.32423358938173386</v>
      </c>
      <c r="S603">
        <f>IF(Q603="new",1.5,1)*(K603/10)*(1-(MIN(F603,180)/180))</f>
        <v>0.29899999999999999</v>
      </c>
      <c r="T603" t="str">
        <f t="shared" si="19"/>
        <v>Scenario 2: Weak Commitment/Convenience</v>
      </c>
    </row>
    <row r="604" spans="1:20" x14ac:dyDescent="0.35">
      <c r="A604" t="s">
        <v>777</v>
      </c>
      <c r="B604" s="1">
        <v>45506</v>
      </c>
      <c r="C604">
        <v>2024</v>
      </c>
      <c r="D604">
        <v>8</v>
      </c>
      <c r="E604" t="s">
        <v>78</v>
      </c>
      <c r="F604">
        <v>86</v>
      </c>
      <c r="G604" t="s">
        <v>778</v>
      </c>
      <c r="H604" t="s">
        <v>86</v>
      </c>
      <c r="I604">
        <v>0</v>
      </c>
      <c r="J604">
        <v>0</v>
      </c>
      <c r="K604">
        <v>3.6</v>
      </c>
      <c r="L604">
        <v>4572</v>
      </c>
      <c r="M604" t="s">
        <v>17</v>
      </c>
      <c r="N604" t="str">
        <f>IF(ISNUMBER(SEARCH("Streaming", M604)), "streaming", "cinema")</f>
        <v>streaming</v>
      </c>
      <c r="O604" t="str">
        <f>IF(I604=1, "non-original", "original")</f>
        <v>original</v>
      </c>
      <c r="P604" t="str">
        <f>IF(J604 = 1, "franchise", "non-franchise")</f>
        <v>non-franchise</v>
      </c>
      <c r="Q604" t="str">
        <f>IF(OR(I604 = 1,J604 =1), "old", "new")</f>
        <v>new</v>
      </c>
      <c r="R604">
        <f t="shared" si="18"/>
        <v>0.29128264516526947</v>
      </c>
      <c r="S604">
        <f>IF(Q604="new",1.5,1)*(K604/10)*(1-(MIN(F604,180)/180))</f>
        <v>0.28199999999999997</v>
      </c>
      <c r="T604" t="str">
        <f t="shared" si="19"/>
        <v>Scenario 2: Weak Commitment/Convenience</v>
      </c>
    </row>
    <row r="605" spans="1:20" x14ac:dyDescent="0.35">
      <c r="A605" t="s">
        <v>779</v>
      </c>
      <c r="B605" s="1">
        <v>45511</v>
      </c>
      <c r="C605">
        <v>2024</v>
      </c>
      <c r="D605">
        <v>8</v>
      </c>
      <c r="E605" t="s">
        <v>78</v>
      </c>
      <c r="F605">
        <v>97</v>
      </c>
      <c r="G605" t="s">
        <v>34</v>
      </c>
      <c r="H605" t="s">
        <v>30</v>
      </c>
      <c r="I605">
        <v>0</v>
      </c>
      <c r="J605">
        <v>0</v>
      </c>
      <c r="K605">
        <v>6.4</v>
      </c>
      <c r="L605">
        <v>987</v>
      </c>
      <c r="M605" t="s">
        <v>17</v>
      </c>
      <c r="N605" t="str">
        <f>IF(ISNUMBER(SEARCH("Streaming", M605)), "streaming", "cinema")</f>
        <v>streaming</v>
      </c>
      <c r="O605" t="str">
        <f>IF(I605=1, "non-original", "original")</f>
        <v>original</v>
      </c>
      <c r="P605" t="str">
        <f>IF(J605 = 1, "franchise", "non-franchise")</f>
        <v>non-franchise</v>
      </c>
      <c r="Q605" t="str">
        <f>IF(OR(I605 = 1,J605 =1), "old", "new")</f>
        <v>new</v>
      </c>
      <c r="R605">
        <f t="shared" si="18"/>
        <v>0.26877693770364303</v>
      </c>
      <c r="S605">
        <f>IF(Q605="new",1.5,1)*(K605/10)*(1-(MIN(F605,180)/180))</f>
        <v>0.44266666666666665</v>
      </c>
      <c r="T605" t="str">
        <f t="shared" si="19"/>
        <v>Scenario 3: Strong Convenience</v>
      </c>
    </row>
    <row r="606" spans="1:20" x14ac:dyDescent="0.35">
      <c r="A606" t="s">
        <v>780</v>
      </c>
      <c r="B606" s="1">
        <v>45513</v>
      </c>
      <c r="C606">
        <v>2024</v>
      </c>
      <c r="D606">
        <v>8</v>
      </c>
      <c r="E606" t="s">
        <v>78</v>
      </c>
      <c r="F606">
        <v>100</v>
      </c>
      <c r="G606" t="s">
        <v>781</v>
      </c>
      <c r="H606" t="s">
        <v>24</v>
      </c>
      <c r="I606">
        <v>0</v>
      </c>
      <c r="J606">
        <v>0</v>
      </c>
      <c r="K606">
        <v>6.1</v>
      </c>
      <c r="L606">
        <v>2944</v>
      </c>
      <c r="M606" t="s">
        <v>88</v>
      </c>
      <c r="N606" t="str">
        <f>IF(ISNUMBER(SEARCH("Streaming", M606)), "streaming", "cinema")</f>
        <v>streaming</v>
      </c>
      <c r="O606" t="str">
        <f>IF(I606=1, "non-original", "original")</f>
        <v>original</v>
      </c>
      <c r="P606" t="str">
        <f>IF(J606 = 1, "franchise", "non-franchise")</f>
        <v>non-franchise</v>
      </c>
      <c r="Q606" t="str">
        <f>IF(OR(I606 = 1,J606 =1), "old", "new")</f>
        <v>new</v>
      </c>
      <c r="R606">
        <f t="shared" si="18"/>
        <v>0.32101031116952278</v>
      </c>
      <c r="S606">
        <f>IF(Q606="new",1.5,1)*(K606/10)*(1-(MIN(F606,180)/180))</f>
        <v>0.40666666666666668</v>
      </c>
      <c r="T606" t="str">
        <f t="shared" si="19"/>
        <v>Scenario 3: Strong Convenience</v>
      </c>
    </row>
    <row r="607" spans="1:20" x14ac:dyDescent="0.35">
      <c r="A607" t="s">
        <v>782</v>
      </c>
      <c r="B607" s="1">
        <v>45513</v>
      </c>
      <c r="C607">
        <v>2024</v>
      </c>
      <c r="D607">
        <v>8</v>
      </c>
      <c r="E607" t="s">
        <v>78</v>
      </c>
      <c r="F607">
        <v>132</v>
      </c>
      <c r="G607" t="s">
        <v>76</v>
      </c>
      <c r="H607" t="s">
        <v>30</v>
      </c>
      <c r="I607">
        <v>0</v>
      </c>
      <c r="J607">
        <v>1</v>
      </c>
      <c r="K607">
        <v>5.8</v>
      </c>
      <c r="L607">
        <v>7341</v>
      </c>
      <c r="M607" t="s">
        <v>88</v>
      </c>
      <c r="N607" t="str">
        <f>IF(ISNUMBER(SEARCH("Streaming", M607)), "streaming", "cinema")</f>
        <v>streaming</v>
      </c>
      <c r="O607" t="str">
        <f>IF(I607=1, "non-original", "original")</f>
        <v>original</v>
      </c>
      <c r="P607" t="str">
        <f>IF(J607 = 1, "franchise", "non-franchise")</f>
        <v>franchise</v>
      </c>
      <c r="Q607" t="str">
        <f>IF(OR(I607 = 1,J607 =1), "old", "new")</f>
        <v>old</v>
      </c>
      <c r="R607">
        <f t="shared" si="18"/>
        <v>0.70830777796251976</v>
      </c>
      <c r="S607">
        <f>IF(Q607="new",1.5,1)*(K607/10)*(1-(MIN(F607,180)/180))</f>
        <v>0.15466666666666667</v>
      </c>
      <c r="T607" t="str">
        <f t="shared" si="19"/>
        <v>Scenario 1: Strong Commitment</v>
      </c>
    </row>
    <row r="608" spans="1:20" x14ac:dyDescent="0.35">
      <c r="A608" t="s">
        <v>783</v>
      </c>
      <c r="B608" s="1">
        <v>45520</v>
      </c>
      <c r="C608">
        <v>2024</v>
      </c>
      <c r="D608">
        <v>8</v>
      </c>
      <c r="E608" t="s">
        <v>78</v>
      </c>
      <c r="F608">
        <v>109</v>
      </c>
      <c r="G608" t="s">
        <v>393</v>
      </c>
      <c r="H608" t="s">
        <v>27</v>
      </c>
      <c r="I608">
        <v>0</v>
      </c>
      <c r="J608">
        <v>0</v>
      </c>
      <c r="K608">
        <v>5.5</v>
      </c>
      <c r="L608">
        <v>57722</v>
      </c>
      <c r="M608" t="s">
        <v>88</v>
      </c>
      <c r="N608" t="str">
        <f>IF(ISNUMBER(SEARCH("Streaming", M608)), "streaming", "cinema")</f>
        <v>streaming</v>
      </c>
      <c r="O608" t="str">
        <f>IF(I608=1, "non-original", "original")</f>
        <v>original</v>
      </c>
      <c r="P608" t="str">
        <f>IF(J608 = 1, "franchise", "non-franchise")</f>
        <v>non-franchise</v>
      </c>
      <c r="Q608" t="str">
        <f>IF(OR(I608 = 1,J608 =1), "old", "new")</f>
        <v>new</v>
      </c>
      <c r="R608">
        <f t="shared" si="18"/>
        <v>0.48026206838994029</v>
      </c>
      <c r="S608">
        <f>IF(Q608="new",1.5,1)*(K608/10)*(1-(MIN(F608,180)/180))</f>
        <v>0.32541666666666674</v>
      </c>
      <c r="T608" t="str">
        <f t="shared" si="19"/>
        <v>Scenario 4: Hybrid Logic</v>
      </c>
    </row>
    <row r="609" spans="1:20" x14ac:dyDescent="0.35">
      <c r="A609" t="s">
        <v>784</v>
      </c>
      <c r="B609" s="1">
        <v>45525</v>
      </c>
      <c r="C609">
        <v>2024</v>
      </c>
      <c r="D609">
        <v>8</v>
      </c>
      <c r="E609" t="s">
        <v>78</v>
      </c>
      <c r="F609">
        <v>92</v>
      </c>
      <c r="G609" t="s">
        <v>41</v>
      </c>
      <c r="H609" t="s">
        <v>24</v>
      </c>
      <c r="I609">
        <v>0</v>
      </c>
      <c r="J609">
        <v>0</v>
      </c>
      <c r="K609">
        <v>4.3</v>
      </c>
      <c r="L609">
        <v>1348</v>
      </c>
      <c r="M609" t="s">
        <v>17</v>
      </c>
      <c r="N609" t="str">
        <f>IF(ISNUMBER(SEARCH("Streaming", M609)), "streaming", "cinema")</f>
        <v>streaming</v>
      </c>
      <c r="O609" t="str">
        <f>IF(I609=1, "non-original", "original")</f>
        <v>original</v>
      </c>
      <c r="P609" t="str">
        <f>IF(J609 = 1, "franchise", "non-franchise")</f>
        <v>non-franchise</v>
      </c>
      <c r="Q609" t="str">
        <f>IF(OR(I609 = 1,J609 =1), "old", "new")</f>
        <v>new</v>
      </c>
      <c r="R609">
        <f t="shared" si="18"/>
        <v>0.26644747177557904</v>
      </c>
      <c r="S609">
        <f>IF(Q609="new",1.5,1)*(K609/10)*(1-(MIN(F609,180)/180))</f>
        <v>0.31533333333333335</v>
      </c>
      <c r="T609" t="str">
        <f t="shared" si="19"/>
        <v>Scenario 2: Weak Commitment/Convenience</v>
      </c>
    </row>
    <row r="610" spans="1:20" x14ac:dyDescent="0.35">
      <c r="A610" t="s">
        <v>785</v>
      </c>
      <c r="B610" s="1">
        <v>45527</v>
      </c>
      <c r="C610">
        <v>2024</v>
      </c>
      <c r="D610">
        <v>8</v>
      </c>
      <c r="E610" t="s">
        <v>78</v>
      </c>
      <c r="F610">
        <v>91</v>
      </c>
      <c r="G610" t="s">
        <v>21</v>
      </c>
      <c r="H610" t="s">
        <v>24</v>
      </c>
      <c r="I610">
        <v>0</v>
      </c>
      <c r="J610">
        <v>0</v>
      </c>
      <c r="K610">
        <v>5.8</v>
      </c>
      <c r="L610">
        <v>16316</v>
      </c>
      <c r="M610" t="s">
        <v>17</v>
      </c>
      <c r="N610" t="str">
        <f>IF(ISNUMBER(SEARCH("Streaming", M610)), "streaming", "cinema")</f>
        <v>streaming</v>
      </c>
      <c r="O610" t="str">
        <f>IF(I610=1, "non-original", "original")</f>
        <v>original</v>
      </c>
      <c r="P610" t="str">
        <f>IF(J610 = 1, "franchise", "non-franchise")</f>
        <v>non-franchise</v>
      </c>
      <c r="Q610" t="str">
        <f>IF(OR(I610 = 1,J610 =1), "old", "new")</f>
        <v>new</v>
      </c>
      <c r="R610">
        <f t="shared" si="18"/>
        <v>0.35474435793097842</v>
      </c>
      <c r="S610">
        <f>IF(Q610="new",1.5,1)*(K610/10)*(1-(MIN(F610,180)/180))</f>
        <v>0.43016666666666664</v>
      </c>
      <c r="T610" t="str">
        <f t="shared" si="19"/>
        <v>Scenario 3: Strong Convenience</v>
      </c>
    </row>
    <row r="611" spans="1:20" x14ac:dyDescent="0.35">
      <c r="A611" t="s">
        <v>786</v>
      </c>
      <c r="B611" s="1">
        <v>45532</v>
      </c>
      <c r="C611">
        <v>2024</v>
      </c>
      <c r="D611">
        <v>8</v>
      </c>
      <c r="E611" t="s">
        <v>78</v>
      </c>
      <c r="F611">
        <v>99</v>
      </c>
      <c r="G611" t="s">
        <v>34</v>
      </c>
      <c r="H611" t="s">
        <v>24</v>
      </c>
      <c r="I611">
        <v>0</v>
      </c>
      <c r="J611">
        <v>0</v>
      </c>
      <c r="K611">
        <v>4.5999999999999996</v>
      </c>
      <c r="L611">
        <v>735</v>
      </c>
      <c r="M611" t="s">
        <v>17</v>
      </c>
      <c r="N611" t="str">
        <f>IF(ISNUMBER(SEARCH("Streaming", M611)), "streaming", "cinema")</f>
        <v>streaming</v>
      </c>
      <c r="O611" t="str">
        <f>IF(I611=1, "non-original", "original")</f>
        <v>original</v>
      </c>
      <c r="P611" t="str">
        <f>IF(J611 = 1, "franchise", "non-franchise")</f>
        <v>non-franchise</v>
      </c>
      <c r="Q611" t="str">
        <f>IF(OR(I611 = 1,J611 =1), "old", "new")</f>
        <v>new</v>
      </c>
      <c r="R611">
        <f t="shared" si="18"/>
        <v>0.26258951983133955</v>
      </c>
      <c r="S611">
        <f>IF(Q611="new",1.5,1)*(K611/10)*(1-(MIN(F611,180)/180))</f>
        <v>0.31049999999999994</v>
      </c>
      <c r="T611" t="str">
        <f t="shared" si="19"/>
        <v>Scenario 2: Weak Commitment/Convenience</v>
      </c>
    </row>
    <row r="612" spans="1:20" x14ac:dyDescent="0.35">
      <c r="A612" t="s">
        <v>787</v>
      </c>
      <c r="B612" s="1">
        <v>45534</v>
      </c>
      <c r="C612">
        <v>2024</v>
      </c>
      <c r="D612">
        <v>8</v>
      </c>
      <c r="E612" t="s">
        <v>78</v>
      </c>
      <c r="F612">
        <v>112</v>
      </c>
      <c r="G612" t="s">
        <v>19</v>
      </c>
      <c r="H612" t="s">
        <v>24</v>
      </c>
      <c r="I612">
        <v>0</v>
      </c>
      <c r="J612">
        <v>0</v>
      </c>
      <c r="K612">
        <v>5.0999999999999996</v>
      </c>
      <c r="L612">
        <v>24984</v>
      </c>
      <c r="M612" t="s">
        <v>88</v>
      </c>
      <c r="N612" t="str">
        <f>IF(ISNUMBER(SEARCH("Streaming", M612)), "streaming", "cinema")</f>
        <v>streaming</v>
      </c>
      <c r="O612" t="str">
        <f>IF(I612=1, "non-original", "original")</f>
        <v>original</v>
      </c>
      <c r="P612" t="str">
        <f>IF(J612 = 1, "franchise", "non-franchise")</f>
        <v>non-franchise</v>
      </c>
      <c r="Q612" t="str">
        <f>IF(OR(I612 = 1,J612 =1), "old", "new")</f>
        <v>new</v>
      </c>
      <c r="R612">
        <f t="shared" si="18"/>
        <v>0.45578742165806441</v>
      </c>
      <c r="S612">
        <f>IF(Q612="new",1.5,1)*(K612/10)*(1-(MIN(F612,180)/180))</f>
        <v>0.28899999999999998</v>
      </c>
      <c r="T612" t="str">
        <f t="shared" si="19"/>
        <v>Scenario 2: Weak Commitment/Convenience</v>
      </c>
    </row>
    <row r="613" spans="1:20" x14ac:dyDescent="0.35">
      <c r="A613" t="s">
        <v>788</v>
      </c>
      <c r="B613" s="1">
        <v>45534</v>
      </c>
      <c r="C613">
        <v>2024</v>
      </c>
      <c r="D613">
        <v>8</v>
      </c>
      <c r="E613" t="s">
        <v>78</v>
      </c>
      <c r="F613">
        <v>83</v>
      </c>
      <c r="G613" t="s">
        <v>21</v>
      </c>
      <c r="H613" t="s">
        <v>27</v>
      </c>
      <c r="I613">
        <v>0</v>
      </c>
      <c r="J613">
        <v>0</v>
      </c>
      <c r="K613">
        <v>5.2</v>
      </c>
      <c r="L613">
        <v>947</v>
      </c>
      <c r="M613" t="s">
        <v>17</v>
      </c>
      <c r="N613" t="str">
        <f>IF(ISNUMBER(SEARCH("Streaming", M613)), "streaming", "cinema")</f>
        <v>streaming</v>
      </c>
      <c r="O613" t="str">
        <f>IF(I613=1, "non-original", "original")</f>
        <v>original</v>
      </c>
      <c r="P613" t="str">
        <f>IF(J613 = 1, "franchise", "non-franchise")</f>
        <v>non-franchise</v>
      </c>
      <c r="Q613" t="str">
        <f>IF(OR(I613 = 1,J613 =1), "old", "new")</f>
        <v>new</v>
      </c>
      <c r="R613">
        <f t="shared" si="18"/>
        <v>0.2286043860514082</v>
      </c>
      <c r="S613">
        <f>IF(Q613="new",1.5,1)*(K613/10)*(1-(MIN(F613,180)/180))</f>
        <v>0.42033333333333334</v>
      </c>
      <c r="T613" t="str">
        <f t="shared" si="19"/>
        <v>Scenario 3: Strong Convenience</v>
      </c>
    </row>
    <row r="614" spans="1:20" x14ac:dyDescent="0.35">
      <c r="A614" t="s">
        <v>789</v>
      </c>
      <c r="B614" s="1">
        <v>45541</v>
      </c>
      <c r="C614">
        <v>2024</v>
      </c>
      <c r="D614">
        <v>9</v>
      </c>
      <c r="E614" t="s">
        <v>125</v>
      </c>
      <c r="F614">
        <v>131</v>
      </c>
      <c r="G614" t="s">
        <v>19</v>
      </c>
      <c r="H614" t="s">
        <v>24</v>
      </c>
      <c r="I614">
        <v>0</v>
      </c>
      <c r="J614">
        <v>0</v>
      </c>
      <c r="K614">
        <v>6.8</v>
      </c>
      <c r="L614">
        <v>101102</v>
      </c>
      <c r="M614" t="s">
        <v>88</v>
      </c>
      <c r="N614" t="str">
        <f>IF(ISNUMBER(SEARCH("Streaming", M614)), "streaming", "cinema")</f>
        <v>streaming</v>
      </c>
      <c r="O614" t="str">
        <f>IF(I614=1, "non-original", "original")</f>
        <v>original</v>
      </c>
      <c r="P614" t="str">
        <f>IF(J614 = 1, "franchise", "non-franchise")</f>
        <v>non-franchise</v>
      </c>
      <c r="Q614" t="str">
        <f>IF(OR(I614 = 1,J614 =1), "old", "new")</f>
        <v>new</v>
      </c>
      <c r="R614">
        <f t="shared" si="18"/>
        <v>0.60670419636262163</v>
      </c>
      <c r="S614">
        <f>IF(Q614="new",1.5,1)*(K614/10)*(1-(MIN(F614,180)/180))</f>
        <v>0.27766666666666673</v>
      </c>
      <c r="T614" t="str">
        <f t="shared" si="19"/>
        <v>Scenario 1: Strong Commitment</v>
      </c>
    </row>
    <row r="615" spans="1:20" x14ac:dyDescent="0.35">
      <c r="A615" t="s">
        <v>790</v>
      </c>
      <c r="B615" s="1">
        <v>45546</v>
      </c>
      <c r="C615">
        <v>2024</v>
      </c>
      <c r="D615">
        <v>9</v>
      </c>
      <c r="E615" t="s">
        <v>125</v>
      </c>
      <c r="F615">
        <v>152</v>
      </c>
      <c r="G615" t="s">
        <v>791</v>
      </c>
      <c r="H615" t="s">
        <v>24</v>
      </c>
      <c r="I615">
        <v>0</v>
      </c>
      <c r="J615">
        <v>0</v>
      </c>
      <c r="K615">
        <v>6.5</v>
      </c>
      <c r="L615">
        <v>1540</v>
      </c>
      <c r="M615" t="s">
        <v>17</v>
      </c>
      <c r="N615" t="str">
        <f>IF(ISNUMBER(SEARCH("Streaming", M615)), "streaming", "cinema")</f>
        <v>streaming</v>
      </c>
      <c r="O615" t="str">
        <f>IF(I615=1, "non-original", "original")</f>
        <v>original</v>
      </c>
      <c r="P615" t="str">
        <f>IF(J615 = 1, "franchise", "non-franchise")</f>
        <v>non-franchise</v>
      </c>
      <c r="Q615" t="str">
        <f>IF(OR(I615 = 1,J615 =1), "old", "new")</f>
        <v>new</v>
      </c>
      <c r="R615">
        <f t="shared" si="18"/>
        <v>0.44835196108488934</v>
      </c>
      <c r="S615">
        <f>IF(Q615="new",1.5,1)*(K615/10)*(1-(MIN(F615,180)/180))</f>
        <v>0.15166666666666667</v>
      </c>
      <c r="T615" t="str">
        <f t="shared" si="19"/>
        <v>Scenario 2: Weak Commitment/Convenience</v>
      </c>
    </row>
    <row r="616" spans="1:20" x14ac:dyDescent="0.35">
      <c r="A616" t="s">
        <v>792</v>
      </c>
      <c r="B616" s="1">
        <v>45546</v>
      </c>
      <c r="C616">
        <v>2024</v>
      </c>
      <c r="D616">
        <v>9</v>
      </c>
      <c r="E616" t="s">
        <v>125</v>
      </c>
      <c r="F616">
        <v>110</v>
      </c>
      <c r="G616" t="s">
        <v>464</v>
      </c>
      <c r="H616" t="s">
        <v>30</v>
      </c>
      <c r="I616">
        <v>0</v>
      </c>
      <c r="J616">
        <v>0</v>
      </c>
      <c r="K616">
        <v>5.3</v>
      </c>
      <c r="L616">
        <v>1113</v>
      </c>
      <c r="M616" t="s">
        <v>17</v>
      </c>
      <c r="N616" t="str">
        <f>IF(ISNUMBER(SEARCH("Streaming", M616)), "streaming", "cinema")</f>
        <v>streaming</v>
      </c>
      <c r="O616" t="str">
        <f>IF(I616=1, "non-original", "original")</f>
        <v>original</v>
      </c>
      <c r="P616" t="str">
        <f>IF(J616 = 1, "franchise", "non-franchise")</f>
        <v>non-franchise</v>
      </c>
      <c r="Q616" t="str">
        <f>IF(OR(I616 = 1,J616 =1), "old", "new")</f>
        <v>new</v>
      </c>
      <c r="R616">
        <f t="shared" si="18"/>
        <v>0.31010991174029373</v>
      </c>
      <c r="S616">
        <f>IF(Q616="new",1.5,1)*(K616/10)*(1-(MIN(F616,180)/180))</f>
        <v>0.30916666666666665</v>
      </c>
      <c r="T616" t="str">
        <f t="shared" si="19"/>
        <v>Scenario 2: Weak Commitment/Convenience</v>
      </c>
    </row>
    <row r="617" spans="1:20" x14ac:dyDescent="0.35">
      <c r="A617" t="s">
        <v>793</v>
      </c>
      <c r="B617" s="1">
        <v>45548</v>
      </c>
      <c r="C617">
        <v>2024</v>
      </c>
      <c r="D617">
        <v>9</v>
      </c>
      <c r="E617" t="s">
        <v>125</v>
      </c>
      <c r="F617">
        <v>109</v>
      </c>
      <c r="G617" t="s">
        <v>41</v>
      </c>
      <c r="H617" t="s">
        <v>24</v>
      </c>
      <c r="I617">
        <v>0</v>
      </c>
      <c r="J617">
        <v>0</v>
      </c>
      <c r="K617">
        <v>6.9</v>
      </c>
      <c r="L617">
        <v>10230</v>
      </c>
      <c r="M617" t="s">
        <v>88</v>
      </c>
      <c r="N617" t="str">
        <f>IF(ISNUMBER(SEARCH("Streaming", M617)), "streaming", "cinema")</f>
        <v>streaming</v>
      </c>
      <c r="O617" t="str">
        <f>IF(I617=1, "non-original", "original")</f>
        <v>original</v>
      </c>
      <c r="P617" t="str">
        <f>IF(J617 = 1, "franchise", "non-franchise")</f>
        <v>non-franchise</v>
      </c>
      <c r="Q617" t="str">
        <f>IF(OR(I617 = 1,J617 =1), "old", "new")</f>
        <v>new</v>
      </c>
      <c r="R617">
        <f t="shared" si="18"/>
        <v>0.40446399785005227</v>
      </c>
      <c r="S617">
        <f>IF(Q617="new",1.5,1)*(K617/10)*(1-(MIN(F617,180)/180))</f>
        <v>0.40825000000000011</v>
      </c>
      <c r="T617" t="str">
        <f t="shared" si="19"/>
        <v>Scenario 3: Strong Convenience</v>
      </c>
    </row>
    <row r="618" spans="1:20" x14ac:dyDescent="0.35">
      <c r="A618" t="s">
        <v>794</v>
      </c>
      <c r="B618" s="1">
        <v>45548</v>
      </c>
      <c r="C618">
        <v>2024</v>
      </c>
      <c r="D618">
        <v>9</v>
      </c>
      <c r="E618" t="s">
        <v>125</v>
      </c>
      <c r="F618">
        <v>123</v>
      </c>
      <c r="G618" t="s">
        <v>76</v>
      </c>
      <c r="H618" t="s">
        <v>24</v>
      </c>
      <c r="I618">
        <v>0</v>
      </c>
      <c r="J618">
        <v>0</v>
      </c>
      <c r="K618">
        <v>7.1</v>
      </c>
      <c r="L618">
        <v>26793</v>
      </c>
      <c r="M618" t="s">
        <v>17</v>
      </c>
      <c r="N618" t="str">
        <f>IF(ISNUMBER(SEARCH("Streaming", M618)), "streaming", "cinema")</f>
        <v>streaming</v>
      </c>
      <c r="O618" t="str">
        <f>IF(I618=1, "non-original", "original")</f>
        <v>original</v>
      </c>
      <c r="P618" t="str">
        <f>IF(J618 = 1, "franchise", "non-franchise")</f>
        <v>non-franchise</v>
      </c>
      <c r="Q618" t="str">
        <f>IF(OR(I618 = 1,J618 =1), "old", "new")</f>
        <v>new</v>
      </c>
      <c r="R618">
        <f t="shared" si="18"/>
        <v>0.50400783313753716</v>
      </c>
      <c r="S618">
        <f>IF(Q618="new",1.5,1)*(K618/10)*(1-(MIN(F618,180)/180))</f>
        <v>0.33724999999999999</v>
      </c>
      <c r="T618" t="str">
        <f t="shared" si="19"/>
        <v>Scenario 4: Hybrid Logic</v>
      </c>
    </row>
    <row r="619" spans="1:20" x14ac:dyDescent="0.35">
      <c r="A619" t="s">
        <v>795</v>
      </c>
      <c r="B619" s="1">
        <v>45548</v>
      </c>
      <c r="C619">
        <v>2024</v>
      </c>
      <c r="D619">
        <v>9</v>
      </c>
      <c r="E619" t="s">
        <v>125</v>
      </c>
      <c r="F619">
        <v>102</v>
      </c>
      <c r="G619" t="s">
        <v>343</v>
      </c>
      <c r="H619" t="s">
        <v>27</v>
      </c>
      <c r="I619">
        <v>0</v>
      </c>
      <c r="J619">
        <v>0</v>
      </c>
      <c r="K619">
        <v>4.7</v>
      </c>
      <c r="L619">
        <v>36545</v>
      </c>
      <c r="M619" t="s">
        <v>88</v>
      </c>
      <c r="N619" t="str">
        <f>IF(ISNUMBER(SEARCH("Streaming", M619)), "streaming", "cinema")</f>
        <v>streaming</v>
      </c>
      <c r="O619" t="str">
        <f>IF(I619=1, "non-original", "original")</f>
        <v>original</v>
      </c>
      <c r="P619" t="str">
        <f>IF(J619 = 1, "franchise", "non-franchise")</f>
        <v>non-franchise</v>
      </c>
      <c r="Q619" t="str">
        <f>IF(OR(I619 = 1,J619 =1), "old", "new")</f>
        <v>new</v>
      </c>
      <c r="R619">
        <f t="shared" si="18"/>
        <v>0.43068201433714187</v>
      </c>
      <c r="S619">
        <f>IF(Q619="new",1.5,1)*(K619/10)*(1-(MIN(F619,180)/180))</f>
        <v>0.30550000000000005</v>
      </c>
      <c r="T619" t="str">
        <f t="shared" si="19"/>
        <v>Scenario 2: Weak Commitment/Convenience</v>
      </c>
    </row>
    <row r="620" spans="1:20" x14ac:dyDescent="0.35">
      <c r="A620" t="s">
        <v>796</v>
      </c>
      <c r="B620" s="1">
        <v>45560</v>
      </c>
      <c r="C620">
        <v>2024</v>
      </c>
      <c r="D620">
        <v>9</v>
      </c>
      <c r="E620" t="s">
        <v>125</v>
      </c>
      <c r="F620">
        <v>92</v>
      </c>
      <c r="G620" t="s">
        <v>34</v>
      </c>
      <c r="H620" t="s">
        <v>30</v>
      </c>
      <c r="I620">
        <v>0</v>
      </c>
      <c r="J620">
        <v>0</v>
      </c>
      <c r="K620">
        <v>5.9</v>
      </c>
      <c r="L620">
        <v>888</v>
      </c>
      <c r="M620" t="s">
        <v>17</v>
      </c>
      <c r="N620" t="str">
        <f>IF(ISNUMBER(SEARCH("Streaming", M620)), "streaming", "cinema")</f>
        <v>streaming</v>
      </c>
      <c r="O620" t="str">
        <f>IF(I620=1, "non-original", "original")</f>
        <v>original</v>
      </c>
      <c r="P620" t="str">
        <f>IF(J620 = 1, "franchise", "non-franchise")</f>
        <v>non-franchise</v>
      </c>
      <c r="Q620" t="str">
        <f>IF(OR(I620 = 1,J620 =1), "old", "new")</f>
        <v>new</v>
      </c>
      <c r="R620">
        <f t="shared" si="18"/>
        <v>0.25101438402575688</v>
      </c>
      <c r="S620">
        <f>IF(Q620="new",1.5,1)*(K620/10)*(1-(MIN(F620,180)/180))</f>
        <v>0.43266666666666675</v>
      </c>
      <c r="T620" t="str">
        <f t="shared" si="19"/>
        <v>Scenario 3: Strong Convenience</v>
      </c>
    </row>
    <row r="621" spans="1:20" x14ac:dyDescent="0.35">
      <c r="A621" t="s">
        <v>797</v>
      </c>
      <c r="B621" s="1">
        <v>45561</v>
      </c>
      <c r="C621">
        <v>2024</v>
      </c>
      <c r="D621">
        <v>9</v>
      </c>
      <c r="E621" t="s">
        <v>125</v>
      </c>
      <c r="F621">
        <v>110</v>
      </c>
      <c r="G621" t="s">
        <v>34</v>
      </c>
      <c r="H621" t="s">
        <v>24</v>
      </c>
      <c r="I621">
        <v>0</v>
      </c>
      <c r="J621">
        <v>0</v>
      </c>
      <c r="K621">
        <v>4.5</v>
      </c>
      <c r="L621">
        <v>2762</v>
      </c>
      <c r="M621" t="s">
        <v>17</v>
      </c>
      <c r="N621" t="str">
        <f>IF(ISNUMBER(SEARCH("Streaming", M621)), "streaming", "cinema")</f>
        <v>streaming</v>
      </c>
      <c r="O621" t="str">
        <f>IF(I621=1, "non-original", "original")</f>
        <v>original</v>
      </c>
      <c r="P621" t="str">
        <f>IF(J621 = 1, "franchise", "non-franchise")</f>
        <v>non-franchise</v>
      </c>
      <c r="Q621" t="str">
        <f>IF(OR(I621 = 1,J621 =1), "old", "new")</f>
        <v>new</v>
      </c>
      <c r="R621">
        <f t="shared" si="18"/>
        <v>0.35029025563250188</v>
      </c>
      <c r="S621">
        <f>IF(Q621="new",1.5,1)*(K621/10)*(1-(MIN(F621,180)/180))</f>
        <v>0.26250000000000001</v>
      </c>
      <c r="T621" t="str">
        <f t="shared" si="19"/>
        <v>Scenario 2: Weak Commitment/Convenience</v>
      </c>
    </row>
    <row r="622" spans="1:20" x14ac:dyDescent="0.35">
      <c r="A622" t="s">
        <v>798</v>
      </c>
      <c r="B622" s="1">
        <v>45562</v>
      </c>
      <c r="C622">
        <v>2024</v>
      </c>
      <c r="D622">
        <v>9</v>
      </c>
      <c r="E622" t="s">
        <v>125</v>
      </c>
      <c r="F622">
        <v>113</v>
      </c>
      <c r="G622" t="s">
        <v>791</v>
      </c>
      <c r="H622" t="s">
        <v>27</v>
      </c>
      <c r="I622">
        <v>0</v>
      </c>
      <c r="J622">
        <v>0</v>
      </c>
      <c r="K622">
        <v>6.4</v>
      </c>
      <c r="L622">
        <v>2940</v>
      </c>
      <c r="M622" t="s">
        <v>17</v>
      </c>
      <c r="N622" t="str">
        <f>IF(ISNUMBER(SEARCH("Streaming", M622)), "streaming", "cinema")</f>
        <v>streaming</v>
      </c>
      <c r="O622" t="str">
        <f>IF(I622=1, "non-original", "original")</f>
        <v>original</v>
      </c>
      <c r="P622" t="str">
        <f>IF(J622 = 1, "franchise", "non-franchise")</f>
        <v>non-franchise</v>
      </c>
      <c r="Q622" t="str">
        <f>IF(OR(I622 = 1,J622 =1), "old", "new")</f>
        <v>new</v>
      </c>
      <c r="R622">
        <f t="shared" si="18"/>
        <v>0.36267990650515208</v>
      </c>
      <c r="S622">
        <f>IF(Q622="new",1.5,1)*(K622/10)*(1-(MIN(F622,180)/180))</f>
        <v>0.35733333333333334</v>
      </c>
      <c r="T622" t="str">
        <f t="shared" si="19"/>
        <v>Scenario 3: Strong Convenience</v>
      </c>
    </row>
    <row r="623" spans="1:20" x14ac:dyDescent="0.35">
      <c r="A623" t="s">
        <v>799</v>
      </c>
      <c r="B623" s="1">
        <v>45568</v>
      </c>
      <c r="C623">
        <v>2024</v>
      </c>
      <c r="D623">
        <v>10</v>
      </c>
      <c r="E623" t="s">
        <v>125</v>
      </c>
      <c r="F623">
        <v>98</v>
      </c>
      <c r="G623" t="s">
        <v>41</v>
      </c>
      <c r="H623" t="s">
        <v>24</v>
      </c>
      <c r="I623">
        <v>1</v>
      </c>
      <c r="J623">
        <v>1</v>
      </c>
      <c r="K623">
        <v>6.2</v>
      </c>
      <c r="L623">
        <v>7832</v>
      </c>
      <c r="M623" t="s">
        <v>88</v>
      </c>
      <c r="N623" t="str">
        <f>IF(ISNUMBER(SEARCH("Streaming", M623)), "streaming", "cinema")</f>
        <v>streaming</v>
      </c>
      <c r="O623" t="str">
        <f>IF(I623=1, "non-original", "original")</f>
        <v>non-original</v>
      </c>
      <c r="P623" t="str">
        <f>IF(J623 = 1, "franchise", "non-franchise")</f>
        <v>franchise</v>
      </c>
      <c r="Q623" t="str">
        <f>IF(OR(I623 = 1,J623 =1), "old", "new")</f>
        <v>old</v>
      </c>
      <c r="R623">
        <f t="shared" si="18"/>
        <v>0.52968972779004464</v>
      </c>
      <c r="S623">
        <f>IF(Q623="new",1.5,1)*(K623/10)*(1-(MIN(F623,180)/180))</f>
        <v>0.2824444444444445</v>
      </c>
      <c r="T623" t="str">
        <f t="shared" si="19"/>
        <v>Scenario 1: Strong Commitment</v>
      </c>
    </row>
    <row r="624" spans="1:20" x14ac:dyDescent="0.35">
      <c r="A624" t="s">
        <v>800</v>
      </c>
      <c r="B624" s="1">
        <v>45569</v>
      </c>
      <c r="C624">
        <v>2024</v>
      </c>
      <c r="D624">
        <v>10</v>
      </c>
      <c r="E624" t="s">
        <v>125</v>
      </c>
      <c r="F624">
        <v>99</v>
      </c>
      <c r="G624" t="s">
        <v>19</v>
      </c>
      <c r="H624" t="s">
        <v>30</v>
      </c>
      <c r="I624">
        <v>0</v>
      </c>
      <c r="J624">
        <v>0</v>
      </c>
      <c r="K624">
        <v>6.2</v>
      </c>
      <c r="L624">
        <v>6816</v>
      </c>
      <c r="M624" t="s">
        <v>17</v>
      </c>
      <c r="N624" t="str">
        <f>IF(ISNUMBER(SEARCH("Streaming", M624)), "streaming", "cinema")</f>
        <v>streaming</v>
      </c>
      <c r="O624" t="str">
        <f>IF(I624=1, "non-original", "original")</f>
        <v>original</v>
      </c>
      <c r="P624" t="str">
        <f>IF(J624 = 1, "franchise", "non-franchise")</f>
        <v>non-franchise</v>
      </c>
      <c r="Q624" t="str">
        <f>IF(OR(I624 = 1,J624 =1), "old", "new")</f>
        <v>new</v>
      </c>
      <c r="R624">
        <f t="shared" si="18"/>
        <v>0.35120159741377166</v>
      </c>
      <c r="S624">
        <f>IF(Q624="new",1.5,1)*(K624/10)*(1-(MIN(F624,180)/180))</f>
        <v>0.41849999999999993</v>
      </c>
      <c r="T624" t="str">
        <f t="shared" si="19"/>
        <v>Scenario 3: Strong Convenience</v>
      </c>
    </row>
    <row r="625" spans="1:20" x14ac:dyDescent="0.35">
      <c r="A625" t="s">
        <v>801</v>
      </c>
      <c r="B625" s="1">
        <v>45569</v>
      </c>
      <c r="C625">
        <v>2024</v>
      </c>
      <c r="D625">
        <v>10</v>
      </c>
      <c r="E625" t="s">
        <v>125</v>
      </c>
      <c r="F625">
        <v>104</v>
      </c>
      <c r="G625" t="s">
        <v>802</v>
      </c>
      <c r="H625" t="s">
        <v>24</v>
      </c>
      <c r="I625">
        <v>0</v>
      </c>
      <c r="J625">
        <v>0</v>
      </c>
      <c r="K625">
        <v>6.6</v>
      </c>
      <c r="L625">
        <v>50368</v>
      </c>
      <c r="M625" t="s">
        <v>17</v>
      </c>
      <c r="N625" t="str">
        <f>IF(ISNUMBER(SEARCH("Streaming", M625)), "streaming", "cinema")</f>
        <v>streaming</v>
      </c>
      <c r="O625" t="str">
        <f>IF(I625=1, "non-original", "original")</f>
        <v>original</v>
      </c>
      <c r="P625" t="str">
        <f>IF(J625 = 1, "franchise", "non-franchise")</f>
        <v>non-franchise</v>
      </c>
      <c r="Q625" t="str">
        <f>IF(OR(I625 = 1,J625 =1), "old", "new")</f>
        <v>new</v>
      </c>
      <c r="R625">
        <f t="shared" si="18"/>
        <v>0.45253557117818005</v>
      </c>
      <c r="S625">
        <f>IF(Q625="new",1.5,1)*(K625/10)*(1-(MIN(F625,180)/180))</f>
        <v>0.41799999999999998</v>
      </c>
      <c r="T625" t="str">
        <f t="shared" si="19"/>
        <v>Scenario 3: Strong Convenience</v>
      </c>
    </row>
    <row r="626" spans="1:20" x14ac:dyDescent="0.35">
      <c r="A626" t="s">
        <v>803</v>
      </c>
      <c r="B626" s="1">
        <v>45569</v>
      </c>
      <c r="C626">
        <v>2024</v>
      </c>
      <c r="D626">
        <v>10</v>
      </c>
      <c r="E626" t="s">
        <v>125</v>
      </c>
      <c r="F626">
        <v>100</v>
      </c>
      <c r="G626" t="s">
        <v>192</v>
      </c>
      <c r="H626" t="s">
        <v>24</v>
      </c>
      <c r="I626">
        <v>0</v>
      </c>
      <c r="J626">
        <v>0</v>
      </c>
      <c r="K626">
        <v>4.9000000000000004</v>
      </c>
      <c r="L626">
        <v>45972</v>
      </c>
      <c r="M626" t="s">
        <v>88</v>
      </c>
      <c r="N626" t="str">
        <f>IF(ISNUMBER(SEARCH("Streaming", M626)), "streaming", "cinema")</f>
        <v>streaming</v>
      </c>
      <c r="O626" t="str">
        <f>IF(I626=1, "non-original", "original")</f>
        <v>original</v>
      </c>
      <c r="P626" t="str">
        <f>IF(J626 = 1, "franchise", "non-franchise")</f>
        <v>non-franchise</v>
      </c>
      <c r="Q626" t="str">
        <f>IF(OR(I626 = 1,J626 =1), "old", "new")</f>
        <v>new</v>
      </c>
      <c r="R626">
        <f t="shared" si="18"/>
        <v>0.43146015880805377</v>
      </c>
      <c r="S626">
        <f>IF(Q626="new",1.5,1)*(K626/10)*(1-(MIN(F626,180)/180))</f>
        <v>0.32666666666666672</v>
      </c>
      <c r="T626" t="str">
        <f t="shared" si="19"/>
        <v>Scenario 3: Strong Convenience</v>
      </c>
    </row>
    <row r="627" spans="1:20" x14ac:dyDescent="0.35">
      <c r="A627" t="s">
        <v>804</v>
      </c>
      <c r="B627" s="1">
        <v>45576</v>
      </c>
      <c r="C627">
        <v>2024</v>
      </c>
      <c r="D627">
        <v>10</v>
      </c>
      <c r="E627" t="s">
        <v>125</v>
      </c>
      <c r="F627">
        <v>95</v>
      </c>
      <c r="G627" t="s">
        <v>34</v>
      </c>
      <c r="H627" t="s">
        <v>27</v>
      </c>
      <c r="I627">
        <v>0</v>
      </c>
      <c r="J627">
        <v>0</v>
      </c>
      <c r="K627">
        <v>6.3</v>
      </c>
      <c r="L627">
        <v>7346</v>
      </c>
      <c r="M627" t="s">
        <v>17</v>
      </c>
      <c r="N627" t="str">
        <f>IF(ISNUMBER(SEARCH("Streaming", M627)), "streaming", "cinema")</f>
        <v>streaming</v>
      </c>
      <c r="O627" t="str">
        <f>IF(I627=1, "non-original", "original")</f>
        <v>original</v>
      </c>
      <c r="P627" t="str">
        <f>IF(J627 = 1, "franchise", "non-franchise")</f>
        <v>non-franchise</v>
      </c>
      <c r="Q627" t="str">
        <f>IF(OR(I627 = 1,J627 =1), "old", "new")</f>
        <v>new</v>
      </c>
      <c r="R627">
        <f t="shared" si="18"/>
        <v>0.33987063638968751</v>
      </c>
      <c r="S627">
        <f>IF(Q627="new",1.5,1)*(K627/10)*(1-(MIN(F627,180)/180))</f>
        <v>0.44625000000000004</v>
      </c>
      <c r="T627" t="str">
        <f t="shared" si="19"/>
        <v>Scenario 3: Strong Convenience</v>
      </c>
    </row>
    <row r="628" spans="1:20" x14ac:dyDescent="0.35">
      <c r="A628" t="s">
        <v>805</v>
      </c>
      <c r="B628" s="1">
        <v>45576</v>
      </c>
      <c r="C628">
        <v>2024</v>
      </c>
      <c r="D628">
        <v>10</v>
      </c>
      <c r="E628" t="s">
        <v>125</v>
      </c>
      <c r="F628">
        <v>96</v>
      </c>
      <c r="G628" t="s">
        <v>90</v>
      </c>
      <c r="H628" t="s">
        <v>24</v>
      </c>
      <c r="I628">
        <v>0</v>
      </c>
      <c r="J628">
        <v>0</v>
      </c>
      <c r="K628">
        <v>5.7</v>
      </c>
      <c r="L628">
        <v>13205</v>
      </c>
      <c r="M628" t="s">
        <v>88</v>
      </c>
      <c r="N628" t="str">
        <f>IF(ISNUMBER(SEARCH("Streaming", M628)), "streaming", "cinema")</f>
        <v>streaming</v>
      </c>
      <c r="O628" t="str">
        <f>IF(I628=1, "non-original", "original")</f>
        <v>original</v>
      </c>
      <c r="P628" t="str">
        <f>IF(J628 = 1, "franchise", "non-franchise")</f>
        <v>non-franchise</v>
      </c>
      <c r="Q628" t="str">
        <f>IF(OR(I628 = 1,J628 =1), "old", "new")</f>
        <v>new</v>
      </c>
      <c r="R628">
        <f t="shared" si="18"/>
        <v>0.36607388435304433</v>
      </c>
      <c r="S628">
        <f>IF(Q628="new",1.5,1)*(K628/10)*(1-(MIN(F628,180)/180))</f>
        <v>0.39900000000000008</v>
      </c>
      <c r="T628" t="str">
        <f t="shared" si="19"/>
        <v>Scenario 3: Strong Convenience</v>
      </c>
    </row>
    <row r="629" spans="1:20" x14ac:dyDescent="0.35">
      <c r="A629" t="s">
        <v>806</v>
      </c>
      <c r="B629" s="1">
        <v>45576</v>
      </c>
      <c r="C629">
        <v>2024</v>
      </c>
      <c r="D629">
        <v>10</v>
      </c>
      <c r="E629" t="s">
        <v>125</v>
      </c>
      <c r="F629">
        <v>128</v>
      </c>
      <c r="G629" t="s">
        <v>807</v>
      </c>
      <c r="H629" t="s">
        <v>24</v>
      </c>
      <c r="I629">
        <v>0</v>
      </c>
      <c r="J629">
        <v>0</v>
      </c>
      <c r="K629">
        <v>6.6</v>
      </c>
      <c r="L629">
        <v>7038</v>
      </c>
      <c r="M629" t="s">
        <v>88</v>
      </c>
      <c r="N629" t="str">
        <f>IF(ISNUMBER(SEARCH("Streaming", M629)), "streaming", "cinema")</f>
        <v>streaming</v>
      </c>
      <c r="O629" t="str">
        <f>IF(I629=1, "non-original", "original")</f>
        <v>original</v>
      </c>
      <c r="P629" t="str">
        <f>IF(J629 = 1, "franchise", "non-franchise")</f>
        <v>non-franchise</v>
      </c>
      <c r="Q629" t="str">
        <f>IF(OR(I629 = 1,J629 =1), "old", "new")</f>
        <v>new</v>
      </c>
      <c r="R629">
        <f t="shared" si="18"/>
        <v>0.4557276092329387</v>
      </c>
      <c r="S629">
        <f>IF(Q629="new",1.5,1)*(K629/10)*(1-(MIN(F629,180)/180))</f>
        <v>0.28599999999999992</v>
      </c>
      <c r="T629" t="str">
        <f t="shared" si="19"/>
        <v>Scenario 2: Weak Commitment/Convenience</v>
      </c>
    </row>
    <row r="630" spans="1:20" x14ac:dyDescent="0.35">
      <c r="A630" t="s">
        <v>808</v>
      </c>
      <c r="B630" s="1">
        <v>45581</v>
      </c>
      <c r="C630">
        <v>2024</v>
      </c>
      <c r="D630">
        <v>10</v>
      </c>
      <c r="E630" t="s">
        <v>125</v>
      </c>
      <c r="F630">
        <v>115</v>
      </c>
      <c r="G630" t="s">
        <v>43</v>
      </c>
      <c r="H630" t="s">
        <v>24</v>
      </c>
      <c r="I630">
        <v>0</v>
      </c>
      <c r="J630">
        <v>0</v>
      </c>
      <c r="K630">
        <v>6.3</v>
      </c>
      <c r="L630">
        <v>4534</v>
      </c>
      <c r="M630" t="s">
        <v>17</v>
      </c>
      <c r="N630" t="str">
        <f>IF(ISNUMBER(SEARCH("Streaming", M630)), "streaming", "cinema")</f>
        <v>streaming</v>
      </c>
      <c r="O630" t="str">
        <f>IF(I630=1, "non-original", "original")</f>
        <v>original</v>
      </c>
      <c r="P630" t="str">
        <f>IF(J630 = 1, "franchise", "non-franchise")</f>
        <v>non-franchise</v>
      </c>
      <c r="Q630" t="str">
        <f>IF(OR(I630 = 1,J630 =1), "old", "new")</f>
        <v>new</v>
      </c>
      <c r="R630">
        <f t="shared" si="18"/>
        <v>0.38912012413148445</v>
      </c>
      <c r="S630">
        <f>IF(Q630="new",1.5,1)*(K630/10)*(1-(MIN(F630,180)/180))</f>
        <v>0.34125000000000005</v>
      </c>
      <c r="T630" t="str">
        <f t="shared" si="19"/>
        <v>Scenario 3: Strong Convenience</v>
      </c>
    </row>
    <row r="631" spans="1:20" x14ac:dyDescent="0.35">
      <c r="A631" t="s">
        <v>809</v>
      </c>
      <c r="B631" s="1">
        <v>45582</v>
      </c>
      <c r="C631">
        <v>2024</v>
      </c>
      <c r="D631">
        <v>10</v>
      </c>
      <c r="E631" t="s">
        <v>125</v>
      </c>
      <c r="F631">
        <v>142</v>
      </c>
      <c r="G631" t="s">
        <v>810</v>
      </c>
      <c r="H631" t="s">
        <v>16</v>
      </c>
      <c r="I631">
        <v>0</v>
      </c>
      <c r="J631">
        <v>0</v>
      </c>
      <c r="K631">
        <v>5.0999999999999996</v>
      </c>
      <c r="L631">
        <v>5323</v>
      </c>
      <c r="M631" t="s">
        <v>17</v>
      </c>
      <c r="N631" t="str">
        <f>IF(ISNUMBER(SEARCH("Streaming", M631)), "streaming", "cinema")</f>
        <v>streaming</v>
      </c>
      <c r="O631" t="str">
        <f>IF(I631=1, "non-original", "original")</f>
        <v>original</v>
      </c>
      <c r="P631" t="str">
        <f>IF(J631 = 1, "franchise", "non-franchise")</f>
        <v>non-franchise</v>
      </c>
      <c r="Q631" t="str">
        <f>IF(OR(I631 = 1,J631 =1), "old", "new")</f>
        <v>new</v>
      </c>
      <c r="R631">
        <f t="shared" si="18"/>
        <v>0.489634376119649</v>
      </c>
      <c r="S631">
        <f>IF(Q631="new",1.5,1)*(K631/10)*(1-(MIN(F631,180)/180))</f>
        <v>0.16150000000000003</v>
      </c>
      <c r="T631" t="str">
        <f t="shared" si="19"/>
        <v>Scenario 1: Strong Commitment</v>
      </c>
    </row>
    <row r="632" spans="1:20" x14ac:dyDescent="0.35">
      <c r="A632" t="s">
        <v>811</v>
      </c>
      <c r="B632" s="1">
        <v>45582</v>
      </c>
      <c r="C632">
        <v>2024</v>
      </c>
      <c r="D632">
        <v>10</v>
      </c>
      <c r="E632" t="s">
        <v>125</v>
      </c>
      <c r="F632">
        <v>145</v>
      </c>
      <c r="G632" t="s">
        <v>58</v>
      </c>
      <c r="H632" t="s">
        <v>265</v>
      </c>
      <c r="I632">
        <v>0</v>
      </c>
      <c r="J632">
        <v>0</v>
      </c>
      <c r="K632">
        <v>6.5</v>
      </c>
      <c r="L632">
        <v>10893</v>
      </c>
      <c r="M632" t="s">
        <v>88</v>
      </c>
      <c r="N632" t="str">
        <f>IF(ISNUMBER(SEARCH("Streaming", M632)), "streaming", "cinema")</f>
        <v>streaming</v>
      </c>
      <c r="O632" t="str">
        <f>IF(I632=1, "non-original", "original")</f>
        <v>original</v>
      </c>
      <c r="P632" t="str">
        <f>IF(J632 = 1, "franchise", "non-franchise")</f>
        <v>non-franchise</v>
      </c>
      <c r="Q632" t="str">
        <f>IF(OR(I632 = 1,J632 =1), "old", "new")</f>
        <v>new</v>
      </c>
      <c r="R632">
        <f t="shared" si="18"/>
        <v>0.54170779962661209</v>
      </c>
      <c r="S632">
        <f>IF(Q632="new",1.5,1)*(K632/10)*(1-(MIN(F632,180)/180))</f>
        <v>0.18958333333333333</v>
      </c>
      <c r="T632" t="str">
        <f t="shared" si="19"/>
        <v>Scenario 1: Strong Commitment</v>
      </c>
    </row>
    <row r="633" spans="1:20" x14ac:dyDescent="0.35">
      <c r="A633" t="s">
        <v>812</v>
      </c>
      <c r="B633" s="1">
        <v>45583</v>
      </c>
      <c r="C633">
        <v>2024</v>
      </c>
      <c r="D633">
        <v>10</v>
      </c>
      <c r="E633" t="s">
        <v>125</v>
      </c>
      <c r="F633">
        <v>96</v>
      </c>
      <c r="G633" t="s">
        <v>116</v>
      </c>
      <c r="H633" t="s">
        <v>24</v>
      </c>
      <c r="I633">
        <v>0</v>
      </c>
      <c r="J633">
        <v>0</v>
      </c>
      <c r="K633">
        <v>3.9</v>
      </c>
      <c r="L633">
        <v>331</v>
      </c>
      <c r="M633" t="s">
        <v>17</v>
      </c>
      <c r="N633" t="str">
        <f>IF(ISNUMBER(SEARCH("Streaming", M633)), "streaming", "cinema")</f>
        <v>streaming</v>
      </c>
      <c r="O633" t="str">
        <f>IF(I633=1, "non-original", "original")</f>
        <v>original</v>
      </c>
      <c r="P633" t="str">
        <f>IF(J633 = 1, "franchise", "non-franchise")</f>
        <v>non-franchise</v>
      </c>
      <c r="Q633" t="str">
        <f>IF(OR(I633 = 1,J633 =1), "old", "new")</f>
        <v>new</v>
      </c>
      <c r="R633">
        <f t="shared" si="18"/>
        <v>0.22385386569120891</v>
      </c>
      <c r="S633">
        <f>IF(Q633="new",1.5,1)*(K633/10)*(1-(MIN(F633,180)/180))</f>
        <v>0.27299999999999996</v>
      </c>
      <c r="T633" t="str">
        <f t="shared" si="19"/>
        <v>Scenario 2: Weak Commitment/Convenience</v>
      </c>
    </row>
    <row r="634" spans="1:20" x14ac:dyDescent="0.35">
      <c r="A634" t="s">
        <v>813</v>
      </c>
      <c r="B634" s="1">
        <v>45583</v>
      </c>
      <c r="C634">
        <v>2024</v>
      </c>
      <c r="D634">
        <v>10</v>
      </c>
      <c r="E634" t="s">
        <v>125</v>
      </c>
      <c r="F634">
        <v>107</v>
      </c>
      <c r="G634" t="s">
        <v>116</v>
      </c>
      <c r="H634" t="s">
        <v>24</v>
      </c>
      <c r="I634">
        <v>0</v>
      </c>
      <c r="J634">
        <v>0</v>
      </c>
      <c r="K634">
        <v>5.3</v>
      </c>
      <c r="L634">
        <v>685</v>
      </c>
      <c r="M634" t="s">
        <v>17</v>
      </c>
      <c r="N634" t="str">
        <f>IF(ISNUMBER(SEARCH("Streaming", M634)), "streaming", "cinema")</f>
        <v>streaming</v>
      </c>
      <c r="O634" t="str">
        <f>IF(I634=1, "non-original", "original")</f>
        <v>original</v>
      </c>
      <c r="P634" t="str">
        <f>IF(J634 = 1, "franchise", "non-franchise")</f>
        <v>non-franchise</v>
      </c>
      <c r="Q634" t="str">
        <f>IF(OR(I634 = 1,J634 =1), "old", "new")</f>
        <v>new</v>
      </c>
      <c r="R634">
        <f t="shared" si="18"/>
        <v>0.28077929936823592</v>
      </c>
      <c r="S634">
        <f>IF(Q634="new",1.5,1)*(K634/10)*(1-(MIN(F634,180)/180))</f>
        <v>0.32241666666666668</v>
      </c>
      <c r="T634" t="str">
        <f t="shared" si="19"/>
        <v>Scenario 3: Strong Convenience</v>
      </c>
    </row>
    <row r="635" spans="1:20" x14ac:dyDescent="0.35">
      <c r="A635" t="s">
        <v>814</v>
      </c>
      <c r="B635" s="1">
        <v>45588</v>
      </c>
      <c r="C635">
        <v>2024</v>
      </c>
      <c r="D635">
        <v>10</v>
      </c>
      <c r="E635" t="s">
        <v>125</v>
      </c>
      <c r="F635">
        <v>95</v>
      </c>
      <c r="G635" t="s">
        <v>21</v>
      </c>
      <c r="H635" t="s">
        <v>27</v>
      </c>
      <c r="I635">
        <v>0</v>
      </c>
      <c r="J635">
        <v>0</v>
      </c>
      <c r="K635">
        <v>5.5</v>
      </c>
      <c r="L635">
        <v>11065</v>
      </c>
      <c r="M635" t="s">
        <v>88</v>
      </c>
      <c r="N635" t="str">
        <f>IF(ISNUMBER(SEARCH("Streaming", M635)), "streaming", "cinema")</f>
        <v>streaming</v>
      </c>
      <c r="O635" t="str">
        <f>IF(I635=1, "non-original", "original")</f>
        <v>original</v>
      </c>
      <c r="P635" t="str">
        <f>IF(J635 = 1, "franchise", "non-franchise")</f>
        <v>non-franchise</v>
      </c>
      <c r="Q635" t="str">
        <f>IF(OR(I635 = 1,J635 =1), "old", "new")</f>
        <v>new</v>
      </c>
      <c r="R635">
        <f t="shared" si="18"/>
        <v>0.35551014952197812</v>
      </c>
      <c r="S635">
        <f>IF(Q635="new",1.5,1)*(K635/10)*(1-(MIN(F635,180)/180))</f>
        <v>0.38958333333333334</v>
      </c>
      <c r="T635" t="str">
        <f t="shared" si="19"/>
        <v>Scenario 3: Strong Convenience</v>
      </c>
    </row>
    <row r="636" spans="1:20" x14ac:dyDescent="0.35">
      <c r="A636" t="s">
        <v>815</v>
      </c>
      <c r="B636" s="1">
        <v>45590</v>
      </c>
      <c r="C636">
        <v>2024</v>
      </c>
      <c r="D636">
        <v>10</v>
      </c>
      <c r="E636" t="s">
        <v>125</v>
      </c>
      <c r="F636">
        <v>127</v>
      </c>
      <c r="G636" t="s">
        <v>816</v>
      </c>
      <c r="H636" t="s">
        <v>30</v>
      </c>
      <c r="I636">
        <v>0</v>
      </c>
      <c r="J636">
        <v>0</v>
      </c>
      <c r="K636">
        <v>6.3</v>
      </c>
      <c r="L636">
        <v>70477</v>
      </c>
      <c r="M636" t="s">
        <v>88</v>
      </c>
      <c r="N636" t="str">
        <f>IF(ISNUMBER(SEARCH("Streaming", M636)), "streaming", "cinema")</f>
        <v>streaming</v>
      </c>
      <c r="O636" t="str">
        <f>IF(I636=1, "non-original", "original")</f>
        <v>original</v>
      </c>
      <c r="P636" t="str">
        <f>IF(J636 = 1, "franchise", "non-franchise")</f>
        <v>non-franchise</v>
      </c>
      <c r="Q636" t="str">
        <f>IF(OR(I636 = 1,J636 =1), "old", "new")</f>
        <v>new</v>
      </c>
      <c r="R636">
        <f t="shared" si="18"/>
        <v>0.56976143248789024</v>
      </c>
      <c r="S636">
        <f>IF(Q636="new",1.5,1)*(K636/10)*(1-(MIN(F636,180)/180))</f>
        <v>0.27825</v>
      </c>
      <c r="T636" t="str">
        <f t="shared" si="19"/>
        <v>Scenario 1: Strong Commitment</v>
      </c>
    </row>
    <row r="637" spans="1:20" x14ac:dyDescent="0.35">
      <c r="A637" t="s">
        <v>817</v>
      </c>
      <c r="B637" s="1">
        <v>45590</v>
      </c>
      <c r="C637">
        <v>2024</v>
      </c>
      <c r="D637">
        <v>10</v>
      </c>
      <c r="E637" t="s">
        <v>125</v>
      </c>
      <c r="F637">
        <v>92</v>
      </c>
      <c r="G637" t="s">
        <v>818</v>
      </c>
      <c r="H637" t="s">
        <v>24</v>
      </c>
      <c r="I637">
        <v>0</v>
      </c>
      <c r="J637">
        <v>0</v>
      </c>
      <c r="K637">
        <v>5.8</v>
      </c>
      <c r="L637">
        <v>44751</v>
      </c>
      <c r="M637" t="s">
        <v>88</v>
      </c>
      <c r="N637" t="str">
        <f>IF(ISNUMBER(SEARCH("Streaming", M637)), "streaming", "cinema")</f>
        <v>streaming</v>
      </c>
      <c r="O637" t="str">
        <f>IF(I637=1, "non-original", "original")</f>
        <v>original</v>
      </c>
      <c r="P637" t="str">
        <f>IF(J637 = 1, "franchise", "non-franchise")</f>
        <v>non-franchise</v>
      </c>
      <c r="Q637" t="str">
        <f>IF(OR(I637 = 1,J637 =1), "old", "new")</f>
        <v>new</v>
      </c>
      <c r="R637">
        <f t="shared" si="18"/>
        <v>0.3959480573694531</v>
      </c>
      <c r="S637">
        <f>IF(Q637="new",1.5,1)*(K637/10)*(1-(MIN(F637,180)/180))</f>
        <v>0.42533333333333329</v>
      </c>
      <c r="T637" t="str">
        <f t="shared" si="19"/>
        <v>Scenario 3: Strong Convenience</v>
      </c>
    </row>
    <row r="638" spans="1:20" x14ac:dyDescent="0.35">
      <c r="A638" t="s">
        <v>819</v>
      </c>
      <c r="B638" s="1">
        <v>45595</v>
      </c>
      <c r="C638">
        <v>2024</v>
      </c>
      <c r="D638">
        <v>10</v>
      </c>
      <c r="E638" t="s">
        <v>125</v>
      </c>
      <c r="F638">
        <v>91</v>
      </c>
      <c r="G638" t="s">
        <v>820</v>
      </c>
      <c r="H638" t="s">
        <v>27</v>
      </c>
      <c r="I638">
        <v>0</v>
      </c>
      <c r="J638">
        <v>0</v>
      </c>
      <c r="K638">
        <v>5.0999999999999996</v>
      </c>
      <c r="L638">
        <v>22375</v>
      </c>
      <c r="M638" t="s">
        <v>17</v>
      </c>
      <c r="N638" t="str">
        <f>IF(ISNUMBER(SEARCH("Streaming", M638)), "streaming", "cinema")</f>
        <v>streaming</v>
      </c>
      <c r="O638" t="str">
        <f>IF(I638=1, "non-original", "original")</f>
        <v>original</v>
      </c>
      <c r="P638" t="str">
        <f>IF(J638 = 1, "franchise", "non-franchise")</f>
        <v>non-franchise</v>
      </c>
      <c r="Q638" t="str">
        <f>IF(OR(I638 = 1,J638 =1), "old", "new")</f>
        <v>new</v>
      </c>
      <c r="R638">
        <f t="shared" si="18"/>
        <v>0.36629370963216923</v>
      </c>
      <c r="S638">
        <f>IF(Q638="new",1.5,1)*(K638/10)*(1-(MIN(F638,180)/180))</f>
        <v>0.37825000000000003</v>
      </c>
      <c r="T638" t="str">
        <f t="shared" si="19"/>
        <v>Scenario 3: Strong Convenience</v>
      </c>
    </row>
    <row r="639" spans="1:20" x14ac:dyDescent="0.35">
      <c r="A639" t="s">
        <v>821</v>
      </c>
      <c r="B639" s="1">
        <v>45597</v>
      </c>
      <c r="C639">
        <v>2024</v>
      </c>
      <c r="D639">
        <v>11</v>
      </c>
      <c r="E639" t="s">
        <v>125</v>
      </c>
      <c r="F639">
        <v>110</v>
      </c>
      <c r="G639" t="s">
        <v>34</v>
      </c>
      <c r="H639" t="s">
        <v>30</v>
      </c>
      <c r="I639">
        <v>0</v>
      </c>
      <c r="J639">
        <v>0</v>
      </c>
      <c r="K639">
        <v>7</v>
      </c>
      <c r="L639">
        <v>7348</v>
      </c>
      <c r="M639" t="s">
        <v>88</v>
      </c>
      <c r="N639" t="str">
        <f>IF(ISNUMBER(SEARCH("Streaming", M639)), "streaming", "cinema")</f>
        <v>streaming</v>
      </c>
      <c r="O639" t="str">
        <f>IF(I639=1, "non-original", "original")</f>
        <v>original</v>
      </c>
      <c r="P639" t="str">
        <f>IF(J639 = 1, "franchise", "non-franchise")</f>
        <v>non-franchise</v>
      </c>
      <c r="Q639" t="str">
        <f>IF(OR(I639 = 1,J639 =1), "old", "new")</f>
        <v>new</v>
      </c>
      <c r="R639">
        <f t="shared" si="18"/>
        <v>0.39354645534373539</v>
      </c>
      <c r="S639">
        <f>IF(Q639="new",1.5,1)*(K639/10)*(1-(MIN(F639,180)/180))</f>
        <v>0.40833333333333321</v>
      </c>
      <c r="T639" t="str">
        <f t="shared" si="19"/>
        <v>Scenario 3: Strong Convenience</v>
      </c>
    </row>
    <row r="640" spans="1:20" x14ac:dyDescent="0.35">
      <c r="A640" t="s">
        <v>822</v>
      </c>
      <c r="B640" s="1">
        <v>45602</v>
      </c>
      <c r="C640">
        <v>2024</v>
      </c>
      <c r="D640">
        <v>11</v>
      </c>
      <c r="E640" t="s">
        <v>125</v>
      </c>
      <c r="F640">
        <v>105</v>
      </c>
      <c r="G640" t="s">
        <v>29</v>
      </c>
      <c r="H640" t="s">
        <v>56</v>
      </c>
      <c r="I640">
        <v>0</v>
      </c>
      <c r="J640">
        <v>0</v>
      </c>
      <c r="K640">
        <v>5.7</v>
      </c>
      <c r="L640">
        <v>9487</v>
      </c>
      <c r="M640" t="s">
        <v>17</v>
      </c>
      <c r="N640" t="str">
        <f>IF(ISNUMBER(SEARCH("Streaming", M640)), "streaming", "cinema")</f>
        <v>streaming</v>
      </c>
      <c r="O640" t="str">
        <f>IF(I640=1, "non-original", "original")</f>
        <v>original</v>
      </c>
      <c r="P640" t="str">
        <f>IF(J640 = 1, "franchise", "non-franchise")</f>
        <v>non-franchise</v>
      </c>
      <c r="Q640" t="str">
        <f>IF(OR(I640 = 1,J640 =1), "old", "new")</f>
        <v>new</v>
      </c>
      <c r="R640">
        <f t="shared" si="18"/>
        <v>0.38643943199102171</v>
      </c>
      <c r="S640">
        <f>IF(Q640="new",1.5,1)*(K640/10)*(1-(MIN(F640,180)/180))</f>
        <v>0.35625000000000001</v>
      </c>
      <c r="T640" t="str">
        <f t="shared" si="19"/>
        <v>Scenario 3: Strong Convenience</v>
      </c>
    </row>
    <row r="641" spans="1:20" x14ac:dyDescent="0.35">
      <c r="A641" t="s">
        <v>823</v>
      </c>
      <c r="B641" s="1">
        <v>45602</v>
      </c>
      <c r="C641">
        <v>2024</v>
      </c>
      <c r="D641">
        <v>11</v>
      </c>
      <c r="E641" t="s">
        <v>125</v>
      </c>
      <c r="F641">
        <v>132</v>
      </c>
      <c r="G641" t="s">
        <v>34</v>
      </c>
      <c r="H641" t="s">
        <v>24</v>
      </c>
      <c r="I641">
        <v>0</v>
      </c>
      <c r="J641">
        <v>0</v>
      </c>
      <c r="K641">
        <v>6.3</v>
      </c>
      <c r="L641">
        <v>3530</v>
      </c>
      <c r="M641" t="s">
        <v>17</v>
      </c>
      <c r="N641" t="str">
        <f>IF(ISNUMBER(SEARCH("Streaming", M641)), "streaming", "cinema")</f>
        <v>streaming</v>
      </c>
      <c r="O641" t="str">
        <f>IF(I641=1, "non-original", "original")</f>
        <v>original</v>
      </c>
      <c r="P641" t="str">
        <f>IF(J641 = 1, "franchise", "non-franchise")</f>
        <v>non-franchise</v>
      </c>
      <c r="Q641" t="str">
        <f>IF(OR(I641 = 1,J641 =1), "old", "new")</f>
        <v>new</v>
      </c>
      <c r="R641">
        <f t="shared" si="18"/>
        <v>0.43336360299230275</v>
      </c>
      <c r="S641">
        <f>IF(Q641="new",1.5,1)*(K641/10)*(1-(MIN(F641,180)/180))</f>
        <v>0.25200000000000006</v>
      </c>
      <c r="T641" t="str">
        <f t="shared" si="19"/>
        <v>Scenario 2: Weak Commitment/Convenience</v>
      </c>
    </row>
    <row r="642" spans="1:20" x14ac:dyDescent="0.35">
      <c r="A642" t="s">
        <v>824</v>
      </c>
      <c r="B642" s="1">
        <v>45603</v>
      </c>
      <c r="C642">
        <v>2024</v>
      </c>
      <c r="D642">
        <v>11</v>
      </c>
      <c r="E642" t="s">
        <v>125</v>
      </c>
      <c r="F642">
        <v>110</v>
      </c>
      <c r="G642" t="s">
        <v>34</v>
      </c>
      <c r="H642" t="s">
        <v>24</v>
      </c>
      <c r="I642">
        <v>0</v>
      </c>
      <c r="J642">
        <v>0</v>
      </c>
      <c r="K642">
        <v>5.7</v>
      </c>
      <c r="L642">
        <v>1531</v>
      </c>
      <c r="M642" t="s">
        <v>17</v>
      </c>
      <c r="N642" t="str">
        <f>IF(ISNUMBER(SEARCH("Streaming", M642)), "streaming", "cinema")</f>
        <v>streaming</v>
      </c>
      <c r="O642" t="str">
        <f>IF(I642=1, "non-original", "original")</f>
        <v>original</v>
      </c>
      <c r="P642" t="str">
        <f>IF(J642 = 1, "franchise", "non-franchise")</f>
        <v>non-franchise</v>
      </c>
      <c r="Q642" t="str">
        <f>IF(OR(I642 = 1,J642 =1), "old", "new")</f>
        <v>new</v>
      </c>
      <c r="R642">
        <f t="shared" si="18"/>
        <v>0.324206119492776</v>
      </c>
      <c r="S642">
        <f>IF(Q642="new",1.5,1)*(K642/10)*(1-(MIN(F642,180)/180))</f>
        <v>0.33250000000000002</v>
      </c>
      <c r="T642" t="str">
        <f t="shared" si="19"/>
        <v>Scenario 3: Strong Convenience</v>
      </c>
    </row>
    <row r="643" spans="1:20" x14ac:dyDescent="0.35">
      <c r="A643" t="s">
        <v>825</v>
      </c>
      <c r="B643" s="1">
        <v>45604</v>
      </c>
      <c r="C643">
        <v>2024</v>
      </c>
      <c r="D643">
        <v>11</v>
      </c>
      <c r="E643" t="s">
        <v>125</v>
      </c>
      <c r="F643">
        <v>93</v>
      </c>
      <c r="G643" t="s">
        <v>29</v>
      </c>
      <c r="H643" t="s">
        <v>24</v>
      </c>
      <c r="I643">
        <v>0</v>
      </c>
      <c r="J643">
        <v>0</v>
      </c>
      <c r="K643">
        <v>4.4000000000000004</v>
      </c>
      <c r="L643">
        <v>312</v>
      </c>
      <c r="M643" t="s">
        <v>17</v>
      </c>
      <c r="N643" t="str">
        <f>IF(ISNUMBER(SEARCH("Streaming", M643)), "streaming", "cinema")</f>
        <v>streaming</v>
      </c>
      <c r="O643" t="str">
        <f>IF(I643=1, "non-original", "original")</f>
        <v>original</v>
      </c>
      <c r="P643" t="str">
        <f>IF(J643 = 1, "franchise", "non-franchise")</f>
        <v>non-franchise</v>
      </c>
      <c r="Q643" t="str">
        <f>IF(OR(I643 = 1,J643 =1), "old", "new")</f>
        <v>new</v>
      </c>
      <c r="R643">
        <f t="shared" ref="R643:R706" si="20">IF(Q643="old",1.5,1)*(LOG10(L643)/LOG10(MAX($L$2:$L$1078)))*(MIN(F643,180)/180)</f>
        <v>0.21464895886905697</v>
      </c>
      <c r="S643">
        <f>IF(Q643="new",1.5,1)*(K643/10)*(1-(MIN(F643,180)/180))</f>
        <v>0.31900000000000006</v>
      </c>
      <c r="T643" t="str">
        <f t="shared" ref="T643:T706" si="21">IF(AND(R643&gt;=AVERAGE($R$2:$R$1078),S643&gt;=AVERAGE($S$2:$S$1078)),"Scenario 4: Hybrid Logic",
 IF(AND(R643&gt;=AVERAGE($R$2:$R$1078),S643&lt;AVERAGE($S$2:$S$1078)),"Scenario 1: Strong Commitment",
  IF(AND(R643&lt;AVERAGE($R$2:$R$1078),S643&gt;=AVERAGE($S$2:$S$1078)),"Scenario 3: Strong Convenience",
   "Scenario 2: Weak Commitment/Convenience")))</f>
        <v>Scenario 3: Strong Convenience</v>
      </c>
    </row>
    <row r="644" spans="1:20" x14ac:dyDescent="0.35">
      <c r="A644" t="s">
        <v>826</v>
      </c>
      <c r="B644" s="1">
        <v>45604</v>
      </c>
      <c r="C644">
        <v>2024</v>
      </c>
      <c r="D644">
        <v>11</v>
      </c>
      <c r="E644" t="s">
        <v>125</v>
      </c>
      <c r="F644">
        <v>112</v>
      </c>
      <c r="G644" t="s">
        <v>116</v>
      </c>
      <c r="H644" t="s">
        <v>27</v>
      </c>
      <c r="I644">
        <v>0</v>
      </c>
      <c r="J644">
        <v>0</v>
      </c>
      <c r="K644">
        <v>6.1</v>
      </c>
      <c r="L644">
        <v>1296</v>
      </c>
      <c r="M644" t="s">
        <v>17</v>
      </c>
      <c r="N644" t="str">
        <f>IF(ISNUMBER(SEARCH("Streaming", M644)), "streaming", "cinema")</f>
        <v>streaming</v>
      </c>
      <c r="O644" t="str">
        <f>IF(I644=1, "non-original", "original")</f>
        <v>original</v>
      </c>
      <c r="P644" t="str">
        <f>IF(J644 = 1, "franchise", "non-franchise")</f>
        <v>non-franchise</v>
      </c>
      <c r="Q644" t="str">
        <f>IF(OR(I644 = 1,J644 =1), "old", "new")</f>
        <v>new</v>
      </c>
      <c r="R644">
        <f t="shared" si="20"/>
        <v>0.32260010377632009</v>
      </c>
      <c r="S644">
        <f>IF(Q644="new",1.5,1)*(K644/10)*(1-(MIN(F644,180)/180))</f>
        <v>0.34566666666666668</v>
      </c>
      <c r="T644" t="str">
        <f t="shared" si="21"/>
        <v>Scenario 3: Strong Convenience</v>
      </c>
    </row>
    <row r="645" spans="1:20" x14ac:dyDescent="0.35">
      <c r="A645" t="s">
        <v>827</v>
      </c>
      <c r="B645" s="1">
        <v>45609</v>
      </c>
      <c r="C645">
        <v>2024</v>
      </c>
      <c r="D645">
        <v>11</v>
      </c>
      <c r="E645" t="s">
        <v>125</v>
      </c>
      <c r="F645">
        <v>92</v>
      </c>
      <c r="G645" t="s">
        <v>29</v>
      </c>
      <c r="H645" t="s">
        <v>56</v>
      </c>
      <c r="I645">
        <v>0</v>
      </c>
      <c r="J645">
        <v>0</v>
      </c>
      <c r="K645">
        <v>5.3</v>
      </c>
      <c r="L645">
        <v>16262</v>
      </c>
      <c r="M645" t="s">
        <v>17</v>
      </c>
      <c r="N645" t="str">
        <f>IF(ISNUMBER(SEARCH("Streaming", M645)), "streaming", "cinema")</f>
        <v>streaming</v>
      </c>
      <c r="O645" t="str">
        <f>IF(I645=1, "non-original", "original")</f>
        <v>original</v>
      </c>
      <c r="P645" t="str">
        <f>IF(J645 = 1, "franchise", "non-franchise")</f>
        <v>non-franchise</v>
      </c>
      <c r="Q645" t="str">
        <f>IF(OR(I645 = 1,J645 =1), "old", "new")</f>
        <v>new</v>
      </c>
      <c r="R645">
        <f t="shared" si="20"/>
        <v>0.35852007471225061</v>
      </c>
      <c r="S645">
        <f>IF(Q645="new",1.5,1)*(K645/10)*(1-(MIN(F645,180)/180))</f>
        <v>0.38866666666666672</v>
      </c>
      <c r="T645" t="str">
        <f t="shared" si="21"/>
        <v>Scenario 3: Strong Convenience</v>
      </c>
    </row>
    <row r="646" spans="1:20" x14ac:dyDescent="0.35">
      <c r="A646" t="s">
        <v>828</v>
      </c>
      <c r="B646" s="1">
        <v>45616</v>
      </c>
      <c r="C646">
        <v>2024</v>
      </c>
      <c r="D646">
        <v>11</v>
      </c>
      <c r="E646" t="s">
        <v>125</v>
      </c>
      <c r="F646">
        <v>100</v>
      </c>
      <c r="G646" t="s">
        <v>58</v>
      </c>
      <c r="H646" t="s">
        <v>24</v>
      </c>
      <c r="I646">
        <v>0</v>
      </c>
      <c r="J646">
        <v>0</v>
      </c>
      <c r="K646">
        <v>5</v>
      </c>
      <c r="L646">
        <v>1455</v>
      </c>
      <c r="M646" t="s">
        <v>17</v>
      </c>
      <c r="N646" t="str">
        <f>IF(ISNUMBER(SEARCH("Streaming", M646)), "streaming", "cinema")</f>
        <v>streaming</v>
      </c>
      <c r="O646" t="str">
        <f>IF(I646=1, "non-original", "original")</f>
        <v>original</v>
      </c>
      <c r="P646" t="str">
        <f>IF(J646 = 1, "franchise", "non-franchise")</f>
        <v>non-franchise</v>
      </c>
      <c r="Q646" t="str">
        <f>IF(OR(I646 = 1,J646 =1), "old", "new")</f>
        <v>new</v>
      </c>
      <c r="R646">
        <f t="shared" si="20"/>
        <v>0.29268660626161563</v>
      </c>
      <c r="S646">
        <f>IF(Q646="new",1.5,1)*(K646/10)*(1-(MIN(F646,180)/180))</f>
        <v>0.33333333333333331</v>
      </c>
      <c r="T646" t="str">
        <f t="shared" si="21"/>
        <v>Scenario 3: Strong Convenience</v>
      </c>
    </row>
    <row r="647" spans="1:20" x14ac:dyDescent="0.35">
      <c r="A647" t="s">
        <v>829</v>
      </c>
      <c r="B647" s="1">
        <v>45616</v>
      </c>
      <c r="C647">
        <v>2024</v>
      </c>
      <c r="D647">
        <v>11</v>
      </c>
      <c r="E647" t="s">
        <v>125</v>
      </c>
      <c r="F647">
        <v>87</v>
      </c>
      <c r="G647" t="s">
        <v>29</v>
      </c>
      <c r="H647" t="s">
        <v>56</v>
      </c>
      <c r="I647">
        <v>0</v>
      </c>
      <c r="J647">
        <v>0</v>
      </c>
      <c r="K647">
        <v>4.8</v>
      </c>
      <c r="L647">
        <v>11384</v>
      </c>
      <c r="M647" t="s">
        <v>17</v>
      </c>
      <c r="N647" t="str">
        <f>IF(ISNUMBER(SEARCH("Streaming", M647)), "streaming", "cinema")</f>
        <v>streaming</v>
      </c>
      <c r="O647" t="str">
        <f>IF(I647=1, "non-original", "original")</f>
        <v>original</v>
      </c>
      <c r="P647" t="str">
        <f>IF(J647 = 1, "franchise", "non-franchise")</f>
        <v>non-franchise</v>
      </c>
      <c r="Q647" t="str">
        <f>IF(OR(I647 = 1,J647 =1), "old", "new")</f>
        <v>new</v>
      </c>
      <c r="R647">
        <f t="shared" si="20"/>
        <v>0.32656620684841825</v>
      </c>
      <c r="S647">
        <f>IF(Q647="new",1.5,1)*(K647/10)*(1-(MIN(F647,180)/180))</f>
        <v>0.37199999999999994</v>
      </c>
      <c r="T647" t="str">
        <f t="shared" si="21"/>
        <v>Scenario 3: Strong Convenience</v>
      </c>
    </row>
    <row r="648" spans="1:20" x14ac:dyDescent="0.35">
      <c r="A648" t="s">
        <v>830</v>
      </c>
      <c r="B648" s="1">
        <v>45617</v>
      </c>
      <c r="C648">
        <v>2024</v>
      </c>
      <c r="D648">
        <v>11</v>
      </c>
      <c r="E648" t="s">
        <v>125</v>
      </c>
      <c r="F648">
        <v>107</v>
      </c>
      <c r="G648" t="s">
        <v>21</v>
      </c>
      <c r="H648" t="s">
        <v>30</v>
      </c>
      <c r="I648">
        <v>0</v>
      </c>
      <c r="J648">
        <v>0</v>
      </c>
      <c r="K648">
        <v>5.7</v>
      </c>
      <c r="L648">
        <v>653</v>
      </c>
      <c r="M648" t="s">
        <v>17</v>
      </c>
      <c r="N648" t="str">
        <f>IF(ISNUMBER(SEARCH("Streaming", M648)), "streaming", "cinema")</f>
        <v>streaming</v>
      </c>
      <c r="O648" t="str">
        <f>IF(I648=1, "non-original", "original")</f>
        <v>original</v>
      </c>
      <c r="P648" t="str">
        <f>IF(J648 = 1, "franchise", "non-franchise")</f>
        <v>non-franchise</v>
      </c>
      <c r="Q648" t="str">
        <f>IF(OR(I648 = 1,J648 =1), "old", "new")</f>
        <v>new</v>
      </c>
      <c r="R648">
        <f t="shared" si="20"/>
        <v>0.27872200118253926</v>
      </c>
      <c r="S648">
        <f>IF(Q648="new",1.5,1)*(K648/10)*(1-(MIN(F648,180)/180))</f>
        <v>0.34675000000000006</v>
      </c>
      <c r="T648" t="str">
        <f t="shared" si="21"/>
        <v>Scenario 3: Strong Convenience</v>
      </c>
    </row>
    <row r="649" spans="1:20" x14ac:dyDescent="0.35">
      <c r="A649" t="s">
        <v>831</v>
      </c>
      <c r="B649" s="1">
        <v>45618</v>
      </c>
      <c r="C649">
        <v>2024</v>
      </c>
      <c r="D649">
        <v>11</v>
      </c>
      <c r="E649" t="s">
        <v>125</v>
      </c>
      <c r="F649">
        <v>115</v>
      </c>
      <c r="G649" t="s">
        <v>34</v>
      </c>
      <c r="H649" t="s">
        <v>27</v>
      </c>
      <c r="I649">
        <v>0</v>
      </c>
      <c r="J649">
        <v>0</v>
      </c>
      <c r="K649">
        <v>7.1</v>
      </c>
      <c r="L649">
        <v>11556</v>
      </c>
      <c r="M649" t="s">
        <v>17</v>
      </c>
      <c r="N649" t="str">
        <f>IF(ISNUMBER(SEARCH("Streaming", M649)), "streaming", "cinema")</f>
        <v>streaming</v>
      </c>
      <c r="O649" t="str">
        <f>IF(I649=1, "non-original", "original")</f>
        <v>original</v>
      </c>
      <c r="P649" t="str">
        <f>IF(J649 = 1, "franchise", "non-franchise")</f>
        <v>non-franchise</v>
      </c>
      <c r="Q649" t="str">
        <f>IF(OR(I649 = 1,J649 =1), "old", "new")</f>
        <v>new</v>
      </c>
      <c r="R649">
        <f t="shared" si="20"/>
        <v>0.43236104566728539</v>
      </c>
      <c r="S649">
        <f>IF(Q649="new",1.5,1)*(K649/10)*(1-(MIN(F649,180)/180))</f>
        <v>0.38458333333333339</v>
      </c>
      <c r="T649" t="str">
        <f t="shared" si="21"/>
        <v>Scenario 3: Strong Convenience</v>
      </c>
    </row>
    <row r="650" spans="1:20" x14ac:dyDescent="0.35">
      <c r="A650" t="s">
        <v>832</v>
      </c>
      <c r="B650" s="1">
        <v>45618</v>
      </c>
      <c r="C650">
        <v>2024</v>
      </c>
      <c r="D650">
        <v>11</v>
      </c>
      <c r="E650" t="s">
        <v>125</v>
      </c>
      <c r="F650">
        <v>110</v>
      </c>
      <c r="G650" t="s">
        <v>833</v>
      </c>
      <c r="H650" t="s">
        <v>56</v>
      </c>
      <c r="I650">
        <v>0</v>
      </c>
      <c r="J650">
        <v>0</v>
      </c>
      <c r="K650">
        <v>5.5</v>
      </c>
      <c r="L650">
        <v>8848</v>
      </c>
      <c r="M650" t="s">
        <v>17</v>
      </c>
      <c r="N650" t="str">
        <f>IF(ISNUMBER(SEARCH("Streaming", M650)), "streaming", "cinema")</f>
        <v>streaming</v>
      </c>
      <c r="O650" t="str">
        <f>IF(I650=1, "non-original", "original")</f>
        <v>original</v>
      </c>
      <c r="P650" t="str">
        <f>IF(J650 = 1, "franchise", "non-franchise")</f>
        <v>non-franchise</v>
      </c>
      <c r="Q650" t="str">
        <f>IF(OR(I650 = 1,J650 =1), "old", "new")</f>
        <v>new</v>
      </c>
      <c r="R650">
        <f t="shared" si="20"/>
        <v>0.40175865180151199</v>
      </c>
      <c r="S650">
        <f>IF(Q650="new",1.5,1)*(K650/10)*(1-(MIN(F650,180)/180))</f>
        <v>0.3208333333333333</v>
      </c>
      <c r="T650" t="str">
        <f t="shared" si="21"/>
        <v>Scenario 3: Strong Convenience</v>
      </c>
    </row>
    <row r="651" spans="1:20" x14ac:dyDescent="0.35">
      <c r="A651" t="s">
        <v>834</v>
      </c>
      <c r="B651" s="1">
        <v>45618</v>
      </c>
      <c r="C651">
        <v>2024</v>
      </c>
      <c r="D651">
        <v>11</v>
      </c>
      <c r="E651" t="s">
        <v>125</v>
      </c>
      <c r="F651">
        <v>127</v>
      </c>
      <c r="G651" t="s">
        <v>34</v>
      </c>
      <c r="H651" t="s">
        <v>27</v>
      </c>
      <c r="I651">
        <v>0</v>
      </c>
      <c r="J651">
        <v>0</v>
      </c>
      <c r="K651">
        <v>6.2</v>
      </c>
      <c r="L651">
        <v>5572</v>
      </c>
      <c r="M651" t="s">
        <v>17</v>
      </c>
      <c r="N651" t="str">
        <f>IF(ISNUMBER(SEARCH("Streaming", M651)), "streaming", "cinema")</f>
        <v>streaming</v>
      </c>
      <c r="O651" t="str">
        <f>IF(I651=1, "non-original", "original")</f>
        <v>original</v>
      </c>
      <c r="P651" t="str">
        <f>IF(J651 = 1, "franchise", "non-franchise")</f>
        <v>non-franchise</v>
      </c>
      <c r="Q651" t="str">
        <f>IF(OR(I651 = 1,J651 =1), "old", "new")</f>
        <v>new</v>
      </c>
      <c r="R651">
        <f t="shared" si="20"/>
        <v>0.44024582986544208</v>
      </c>
      <c r="S651">
        <f>IF(Q651="new",1.5,1)*(K651/10)*(1-(MIN(F651,180)/180))</f>
        <v>0.27383333333333326</v>
      </c>
      <c r="T651" t="str">
        <f t="shared" si="21"/>
        <v>Scenario 2: Weak Commitment/Convenience</v>
      </c>
    </row>
    <row r="652" spans="1:20" x14ac:dyDescent="0.35">
      <c r="A652" t="s">
        <v>835</v>
      </c>
      <c r="B652" s="1">
        <v>45623</v>
      </c>
      <c r="C652">
        <v>2024</v>
      </c>
      <c r="D652">
        <v>11</v>
      </c>
      <c r="E652" t="s">
        <v>125</v>
      </c>
      <c r="F652">
        <v>101</v>
      </c>
      <c r="G652" t="s">
        <v>29</v>
      </c>
      <c r="H652" t="s">
        <v>27</v>
      </c>
      <c r="I652">
        <v>0</v>
      </c>
      <c r="J652">
        <v>0</v>
      </c>
      <c r="K652">
        <v>5.7</v>
      </c>
      <c r="L652">
        <v>26679</v>
      </c>
      <c r="M652" t="s">
        <v>88</v>
      </c>
      <c r="N652" t="str">
        <f>IF(ISNUMBER(SEARCH("Streaming", M652)), "streaming", "cinema")</f>
        <v>streaming</v>
      </c>
      <c r="O652" t="str">
        <f>IF(I652=1, "non-original", "original")</f>
        <v>original</v>
      </c>
      <c r="P652" t="str">
        <f>IF(J652 = 1, "franchise", "non-franchise")</f>
        <v>non-franchise</v>
      </c>
      <c r="Q652" t="str">
        <f>IF(OR(I652 = 1,J652 =1), "old", "new")</f>
        <v>new</v>
      </c>
      <c r="R652">
        <f t="shared" si="20"/>
        <v>0.41368701447312684</v>
      </c>
      <c r="S652">
        <f>IF(Q652="new",1.5,1)*(K652/10)*(1-(MIN(F652,180)/180))</f>
        <v>0.37525000000000003</v>
      </c>
      <c r="T652" t="str">
        <f t="shared" si="21"/>
        <v>Scenario 3: Strong Convenience</v>
      </c>
    </row>
    <row r="653" spans="1:20" x14ac:dyDescent="0.35">
      <c r="A653" t="s">
        <v>836</v>
      </c>
      <c r="B653" s="1">
        <v>45625</v>
      </c>
      <c r="C653">
        <v>2024</v>
      </c>
      <c r="D653">
        <v>11</v>
      </c>
      <c r="E653" t="s">
        <v>125</v>
      </c>
      <c r="F653">
        <v>143</v>
      </c>
      <c r="G653" t="s">
        <v>43</v>
      </c>
      <c r="H653" t="s">
        <v>24</v>
      </c>
      <c r="I653">
        <v>0</v>
      </c>
      <c r="J653">
        <v>0</v>
      </c>
      <c r="K653">
        <v>6</v>
      </c>
      <c r="L653">
        <v>26281</v>
      </c>
      <c r="M653" t="s">
        <v>88</v>
      </c>
      <c r="N653" t="str">
        <f>IF(ISNUMBER(SEARCH("Streaming", M653)), "streaming", "cinema")</f>
        <v>streaming</v>
      </c>
      <c r="O653" t="str">
        <f>IF(I653=1, "non-original", "original")</f>
        <v>original</v>
      </c>
      <c r="P653" t="str">
        <f>IF(J653 = 1, "franchise", "non-franchise")</f>
        <v>non-franchise</v>
      </c>
      <c r="Q653" t="str">
        <f>IF(OR(I653 = 1,J653 =1), "old", "new")</f>
        <v>new</v>
      </c>
      <c r="R653">
        <f t="shared" si="20"/>
        <v>0.5848514721781225</v>
      </c>
      <c r="S653">
        <f>IF(Q653="new",1.5,1)*(K653/10)*(1-(MIN(F653,180)/180))</f>
        <v>0.18500000000000003</v>
      </c>
      <c r="T653" t="str">
        <f t="shared" si="21"/>
        <v>Scenario 1: Strong Commitment</v>
      </c>
    </row>
    <row r="654" spans="1:20" x14ac:dyDescent="0.35">
      <c r="A654" t="s">
        <v>837</v>
      </c>
      <c r="B654" s="1">
        <v>45625</v>
      </c>
      <c r="C654">
        <v>2024</v>
      </c>
      <c r="D654">
        <v>11</v>
      </c>
      <c r="E654" t="s">
        <v>125</v>
      </c>
      <c r="F654">
        <v>97</v>
      </c>
      <c r="G654" t="s">
        <v>838</v>
      </c>
      <c r="H654" t="s">
        <v>56</v>
      </c>
      <c r="I654">
        <v>0</v>
      </c>
      <c r="J654">
        <v>0</v>
      </c>
      <c r="K654">
        <v>7</v>
      </c>
      <c r="L654">
        <v>2616</v>
      </c>
      <c r="M654" t="s">
        <v>17</v>
      </c>
      <c r="N654" t="str">
        <f>IF(ISNUMBER(SEARCH("Streaming", M654)), "streaming", "cinema")</f>
        <v>streaming</v>
      </c>
      <c r="O654" t="str">
        <f>IF(I654=1, "non-original", "original")</f>
        <v>original</v>
      </c>
      <c r="P654" t="str">
        <f>IF(J654 = 1, "franchise", "non-franchise")</f>
        <v>non-franchise</v>
      </c>
      <c r="Q654" t="str">
        <f>IF(OR(I654 = 1,J654 =1), "old", "new")</f>
        <v>new</v>
      </c>
      <c r="R654">
        <f t="shared" si="20"/>
        <v>0.30677518746641402</v>
      </c>
      <c r="S654">
        <f>IF(Q654="new",1.5,1)*(K654/10)*(1-(MIN(F654,180)/180))</f>
        <v>0.48416666666666663</v>
      </c>
      <c r="T654" t="str">
        <f t="shared" si="21"/>
        <v>Scenario 3: Strong Convenience</v>
      </c>
    </row>
    <row r="655" spans="1:20" x14ac:dyDescent="0.35">
      <c r="A655" t="s">
        <v>839</v>
      </c>
      <c r="B655" s="1">
        <v>45630</v>
      </c>
      <c r="C655">
        <v>2024</v>
      </c>
      <c r="D655">
        <v>12</v>
      </c>
      <c r="E655" t="s">
        <v>14</v>
      </c>
      <c r="F655">
        <v>97</v>
      </c>
      <c r="G655" t="s">
        <v>840</v>
      </c>
      <c r="H655" t="s">
        <v>56</v>
      </c>
      <c r="I655">
        <v>0</v>
      </c>
      <c r="J655">
        <v>0</v>
      </c>
      <c r="K655">
        <v>6.8</v>
      </c>
      <c r="L655">
        <v>20392</v>
      </c>
      <c r="M655" t="s">
        <v>88</v>
      </c>
      <c r="N655" t="str">
        <f>IF(ISNUMBER(SEARCH("Streaming", M655)), "streaming", "cinema")</f>
        <v>streaming</v>
      </c>
      <c r="O655" t="str">
        <f>IF(I655=1, "non-original", "original")</f>
        <v>original</v>
      </c>
      <c r="P655" t="str">
        <f>IF(J655 = 1, "franchise", "non-franchise")</f>
        <v>non-franchise</v>
      </c>
      <c r="Q655" t="str">
        <f>IF(OR(I655 = 1,J655 =1), "old", "new")</f>
        <v>new</v>
      </c>
      <c r="R655">
        <f t="shared" si="20"/>
        <v>0.3868272314458478</v>
      </c>
      <c r="S655">
        <f>IF(Q655="new",1.5,1)*(K655/10)*(1-(MIN(F655,180)/180))</f>
        <v>0.47033333333333338</v>
      </c>
      <c r="T655" t="str">
        <f t="shared" si="21"/>
        <v>Scenario 3: Strong Convenience</v>
      </c>
    </row>
    <row r="656" spans="1:20" x14ac:dyDescent="0.35">
      <c r="A656" t="s">
        <v>841</v>
      </c>
      <c r="B656" s="1">
        <v>45630</v>
      </c>
      <c r="C656">
        <v>2024</v>
      </c>
      <c r="D656">
        <v>12</v>
      </c>
      <c r="E656" t="s">
        <v>14</v>
      </c>
      <c r="F656">
        <v>106</v>
      </c>
      <c r="G656" t="s">
        <v>761</v>
      </c>
      <c r="H656" t="s">
        <v>56</v>
      </c>
      <c r="I656">
        <v>0</v>
      </c>
      <c r="J656">
        <v>0</v>
      </c>
      <c r="K656">
        <v>7.4</v>
      </c>
      <c r="L656">
        <v>9690</v>
      </c>
      <c r="M656" t="s">
        <v>88</v>
      </c>
      <c r="N656" t="str">
        <f>IF(ISNUMBER(SEARCH("Streaming", M656)), "streaming", "cinema")</f>
        <v>streaming</v>
      </c>
      <c r="O656" t="str">
        <f>IF(I656=1, "non-original", "original")</f>
        <v>original</v>
      </c>
      <c r="P656" t="str">
        <f>IF(J656 = 1, "franchise", "non-franchise")</f>
        <v>non-franchise</v>
      </c>
      <c r="Q656" t="str">
        <f>IF(OR(I656 = 1,J656 =1), "old", "new")</f>
        <v>new</v>
      </c>
      <c r="R656">
        <f t="shared" si="20"/>
        <v>0.39102174044280269</v>
      </c>
      <c r="S656">
        <f>IF(Q656="new",1.5,1)*(K656/10)*(1-(MIN(F656,180)/180))</f>
        <v>0.45633333333333326</v>
      </c>
      <c r="T656" t="str">
        <f t="shared" si="21"/>
        <v>Scenario 3: Strong Convenience</v>
      </c>
    </row>
    <row r="657" spans="1:20" x14ac:dyDescent="0.35">
      <c r="A657" t="s">
        <v>842</v>
      </c>
      <c r="B657" s="1">
        <v>45632</v>
      </c>
      <c r="C657">
        <v>2024</v>
      </c>
      <c r="D657">
        <v>12</v>
      </c>
      <c r="E657" t="s">
        <v>14</v>
      </c>
      <c r="F657">
        <v>95</v>
      </c>
      <c r="G657" t="s">
        <v>21</v>
      </c>
      <c r="H657" t="s">
        <v>27</v>
      </c>
      <c r="I657">
        <v>0</v>
      </c>
      <c r="J657">
        <v>0</v>
      </c>
      <c r="K657">
        <v>5.5</v>
      </c>
      <c r="L657">
        <v>977</v>
      </c>
      <c r="M657" t="s">
        <v>17</v>
      </c>
      <c r="N657" t="str">
        <f>IF(ISNUMBER(SEARCH("Streaming", M657)), "streaming", "cinema")</f>
        <v>streaming</v>
      </c>
      <c r="O657" t="str">
        <f>IF(I657=1, "non-original", "original")</f>
        <v>original</v>
      </c>
      <c r="P657" t="str">
        <f>IF(J657 = 1, "franchise", "non-franchise")</f>
        <v>non-franchise</v>
      </c>
      <c r="Q657" t="str">
        <f>IF(OR(I657 = 1,J657 =1), "old", "new")</f>
        <v>new</v>
      </c>
      <c r="R657">
        <f t="shared" si="20"/>
        <v>0.26284634840126297</v>
      </c>
      <c r="S657">
        <f>IF(Q657="new",1.5,1)*(K657/10)*(1-(MIN(F657,180)/180))</f>
        <v>0.38958333333333334</v>
      </c>
      <c r="T657" t="str">
        <f t="shared" si="21"/>
        <v>Scenario 3: Strong Convenience</v>
      </c>
    </row>
    <row r="658" spans="1:20" x14ac:dyDescent="0.35">
      <c r="A658" t="s">
        <v>843</v>
      </c>
      <c r="B658" s="1">
        <v>45632</v>
      </c>
      <c r="C658">
        <v>2024</v>
      </c>
      <c r="D658">
        <v>12</v>
      </c>
      <c r="E658" t="s">
        <v>14</v>
      </c>
      <c r="F658">
        <v>112</v>
      </c>
      <c r="G658" t="s">
        <v>761</v>
      </c>
      <c r="H658" t="s">
        <v>27</v>
      </c>
      <c r="I658">
        <v>0</v>
      </c>
      <c r="J658">
        <v>0</v>
      </c>
      <c r="K658">
        <v>5.2</v>
      </c>
      <c r="L658">
        <v>9053</v>
      </c>
      <c r="M658" t="s">
        <v>17</v>
      </c>
      <c r="N658" t="str">
        <f>IF(ISNUMBER(SEARCH("Streaming", M658)), "streaming", "cinema")</f>
        <v>streaming</v>
      </c>
      <c r="O658" t="str">
        <f>IF(I658=1, "non-original", "original")</f>
        <v>original</v>
      </c>
      <c r="P658" t="str">
        <f>IF(J658 = 1, "franchise", "non-franchise")</f>
        <v>non-franchise</v>
      </c>
      <c r="Q658" t="str">
        <f>IF(OR(I658 = 1,J658 =1), "old", "new")</f>
        <v>new</v>
      </c>
      <c r="R658">
        <f t="shared" si="20"/>
        <v>0.41009433483001168</v>
      </c>
      <c r="S658">
        <f>IF(Q658="new",1.5,1)*(K658/10)*(1-(MIN(F658,180)/180))</f>
        <v>0.29466666666666669</v>
      </c>
      <c r="T658" t="str">
        <f t="shared" si="21"/>
        <v>Scenario 2: Weak Commitment/Convenience</v>
      </c>
    </row>
    <row r="659" spans="1:20" x14ac:dyDescent="0.35">
      <c r="A659" t="s">
        <v>844</v>
      </c>
      <c r="B659" s="1">
        <v>45639</v>
      </c>
      <c r="C659">
        <v>2024</v>
      </c>
      <c r="D659">
        <v>12</v>
      </c>
      <c r="E659" t="s">
        <v>14</v>
      </c>
      <c r="F659">
        <v>119</v>
      </c>
      <c r="G659" t="s">
        <v>49</v>
      </c>
      <c r="H659" t="s">
        <v>27</v>
      </c>
      <c r="I659">
        <v>0</v>
      </c>
      <c r="J659">
        <v>0</v>
      </c>
      <c r="K659">
        <v>6.5</v>
      </c>
      <c r="L659">
        <v>190818</v>
      </c>
      <c r="M659" t="s">
        <v>88</v>
      </c>
      <c r="N659" t="str">
        <f>IF(ISNUMBER(SEARCH("Streaming", M659)), "streaming", "cinema")</f>
        <v>streaming</v>
      </c>
      <c r="O659" t="str">
        <f>IF(I659=1, "non-original", "original")</f>
        <v>original</v>
      </c>
      <c r="P659" t="str">
        <f>IF(J659 = 1, "franchise", "non-franchise")</f>
        <v>non-franchise</v>
      </c>
      <c r="Q659" t="str">
        <f>IF(OR(I659 = 1,J659 =1), "old", "new")</f>
        <v>new</v>
      </c>
      <c r="R659">
        <f t="shared" si="20"/>
        <v>0.58150612357020159</v>
      </c>
      <c r="S659">
        <f>IF(Q659="new",1.5,1)*(K659/10)*(1-(MIN(F659,180)/180))</f>
        <v>0.33041666666666669</v>
      </c>
      <c r="T659" t="str">
        <f t="shared" si="21"/>
        <v>Scenario 4: Hybrid Logic</v>
      </c>
    </row>
    <row r="660" spans="1:20" x14ac:dyDescent="0.35">
      <c r="A660" t="s">
        <v>845</v>
      </c>
      <c r="B660" s="1">
        <v>45639</v>
      </c>
      <c r="C660">
        <v>2024</v>
      </c>
      <c r="D660">
        <v>12</v>
      </c>
      <c r="E660" t="s">
        <v>14</v>
      </c>
      <c r="F660">
        <v>93</v>
      </c>
      <c r="G660" t="s">
        <v>21</v>
      </c>
      <c r="H660" t="s">
        <v>56</v>
      </c>
      <c r="I660">
        <v>0</v>
      </c>
      <c r="J660">
        <v>0</v>
      </c>
      <c r="K660">
        <v>4.9000000000000004</v>
      </c>
      <c r="L660">
        <v>901</v>
      </c>
      <c r="M660" t="s">
        <v>17</v>
      </c>
      <c r="N660" t="str">
        <f>IF(ISNUMBER(SEARCH("Streaming", M660)), "streaming", "cinema")</f>
        <v>streaming</v>
      </c>
      <c r="O660" t="str">
        <f>IF(I660=1, "non-original", "original")</f>
        <v>original</v>
      </c>
      <c r="P660" t="str">
        <f>IF(J660 = 1, "franchise", "non-franchise")</f>
        <v>non-franchise</v>
      </c>
      <c r="Q660" t="str">
        <f>IF(OR(I660 = 1,J660 =1), "old", "new")</f>
        <v>new</v>
      </c>
      <c r="R660">
        <f t="shared" si="20"/>
        <v>0.25428600201818846</v>
      </c>
      <c r="S660">
        <f>IF(Q660="new",1.5,1)*(K660/10)*(1-(MIN(F660,180)/180))</f>
        <v>0.35525000000000001</v>
      </c>
      <c r="T660" t="str">
        <f t="shared" si="21"/>
        <v>Scenario 3: Strong Convenience</v>
      </c>
    </row>
    <row r="661" spans="1:20" x14ac:dyDescent="0.35">
      <c r="A661" t="s">
        <v>846</v>
      </c>
      <c r="B661" s="1">
        <v>45646</v>
      </c>
      <c r="C661">
        <v>2024</v>
      </c>
      <c r="D661">
        <v>12</v>
      </c>
      <c r="E661" t="s">
        <v>14</v>
      </c>
      <c r="F661">
        <v>95</v>
      </c>
      <c r="G661" t="s">
        <v>43</v>
      </c>
      <c r="H661" t="s">
        <v>24</v>
      </c>
      <c r="I661">
        <v>0</v>
      </c>
      <c r="J661">
        <v>1</v>
      </c>
      <c r="K661">
        <v>5.6</v>
      </c>
      <c r="L661">
        <v>4266</v>
      </c>
      <c r="M661" t="s">
        <v>17</v>
      </c>
      <c r="N661" t="str">
        <f>IF(ISNUMBER(SEARCH("Streaming", M661)), "streaming", "cinema")</f>
        <v>streaming</v>
      </c>
      <c r="O661" t="str">
        <f>IF(I661=1, "non-original", "original")</f>
        <v>original</v>
      </c>
      <c r="P661" t="str">
        <f>IF(J661 = 1, "franchise", "non-franchise")</f>
        <v>franchise</v>
      </c>
      <c r="Q661" t="str">
        <f>IF(OR(I661 = 1,J661 =1), "old", "new")</f>
        <v>old</v>
      </c>
      <c r="R661">
        <f t="shared" si="20"/>
        <v>0.47868129042761282</v>
      </c>
      <c r="S661">
        <f>IF(Q661="new",1.5,1)*(K661/10)*(1-(MIN(F661,180)/180))</f>
        <v>0.26444444444444443</v>
      </c>
      <c r="T661" t="str">
        <f t="shared" si="21"/>
        <v>Scenario 1: Strong Commitment</v>
      </c>
    </row>
    <row r="662" spans="1:20" x14ac:dyDescent="0.35">
      <c r="A662" t="s">
        <v>847</v>
      </c>
      <c r="B662" s="1">
        <v>45646</v>
      </c>
      <c r="C662">
        <v>2024</v>
      </c>
      <c r="D662">
        <v>12</v>
      </c>
      <c r="E662" t="s">
        <v>14</v>
      </c>
      <c r="F662">
        <v>129</v>
      </c>
      <c r="G662" t="s">
        <v>761</v>
      </c>
      <c r="H662" t="s">
        <v>27</v>
      </c>
      <c r="I662">
        <v>0</v>
      </c>
      <c r="J662">
        <v>0</v>
      </c>
      <c r="K662">
        <v>6.7</v>
      </c>
      <c r="L662">
        <v>31385</v>
      </c>
      <c r="M662" t="s">
        <v>88</v>
      </c>
      <c r="N662" t="str">
        <f>IF(ISNUMBER(SEARCH("Streaming", M662)), "streaming", "cinema")</f>
        <v>streaming</v>
      </c>
      <c r="O662" t="str">
        <f>IF(I662=1, "non-original", "original")</f>
        <v>original</v>
      </c>
      <c r="P662" t="str">
        <f>IF(J662 = 1, "franchise", "non-franchise")</f>
        <v>non-franchise</v>
      </c>
      <c r="Q662" t="str">
        <f>IF(OR(I662 = 1,J662 =1), "old", "new")</f>
        <v>new</v>
      </c>
      <c r="R662">
        <f t="shared" si="20"/>
        <v>0.53679471501221954</v>
      </c>
      <c r="S662">
        <f>IF(Q662="new",1.5,1)*(K662/10)*(1-(MIN(F662,180)/180))</f>
        <v>0.28475</v>
      </c>
      <c r="T662" t="str">
        <f t="shared" si="21"/>
        <v>Scenario 1: Strong Commitment</v>
      </c>
    </row>
    <row r="663" spans="1:20" x14ac:dyDescent="0.35">
      <c r="A663" t="s">
        <v>848</v>
      </c>
      <c r="B663" s="1">
        <v>45646</v>
      </c>
      <c r="C663">
        <v>2024</v>
      </c>
      <c r="D663">
        <v>12</v>
      </c>
      <c r="E663" t="s">
        <v>14</v>
      </c>
      <c r="F663">
        <v>86</v>
      </c>
      <c r="G663" t="s">
        <v>29</v>
      </c>
      <c r="H663" t="s">
        <v>24</v>
      </c>
      <c r="I663">
        <v>0</v>
      </c>
      <c r="J663">
        <v>0</v>
      </c>
      <c r="K663">
        <v>4.3</v>
      </c>
      <c r="L663">
        <v>174</v>
      </c>
      <c r="M663" t="s">
        <v>17</v>
      </c>
      <c r="N663" t="str">
        <f>IF(ISNUMBER(SEARCH("Streaming", M663)), "streaming", "cinema")</f>
        <v>streaming</v>
      </c>
      <c r="O663" t="str">
        <f>IF(I663=1, "non-original", "original")</f>
        <v>original</v>
      </c>
      <c r="P663" t="str">
        <f>IF(J663 = 1, "franchise", "non-franchise")</f>
        <v>non-franchise</v>
      </c>
      <c r="Q663" t="str">
        <f>IF(OR(I663 = 1,J663 =1), "old", "new")</f>
        <v>new</v>
      </c>
      <c r="R663">
        <f t="shared" si="20"/>
        <v>0.17830988286332858</v>
      </c>
      <c r="S663">
        <f>IF(Q663="new",1.5,1)*(K663/10)*(1-(MIN(F663,180)/180))</f>
        <v>0.33683333333333332</v>
      </c>
      <c r="T663" t="str">
        <f t="shared" si="21"/>
        <v>Scenario 3: Strong Convenience</v>
      </c>
    </row>
    <row r="664" spans="1:20" x14ac:dyDescent="0.35">
      <c r="A664" t="s">
        <v>849</v>
      </c>
      <c r="B664" s="1">
        <v>45658</v>
      </c>
      <c r="C664">
        <v>2025</v>
      </c>
      <c r="D664">
        <v>1</v>
      </c>
      <c r="E664" t="s">
        <v>14</v>
      </c>
      <c r="F664">
        <v>101</v>
      </c>
      <c r="G664" t="s">
        <v>29</v>
      </c>
      <c r="H664" t="s">
        <v>24</v>
      </c>
      <c r="I664">
        <v>0</v>
      </c>
      <c r="J664">
        <v>0</v>
      </c>
      <c r="K664">
        <v>6.1</v>
      </c>
      <c r="L664">
        <v>1734</v>
      </c>
      <c r="M664" t="s">
        <v>17</v>
      </c>
      <c r="N664" t="str">
        <f>IF(ISNUMBER(SEARCH("Streaming", M664)), "streaming", "cinema")</f>
        <v>streaming</v>
      </c>
      <c r="O664" t="str">
        <f>IF(I664=1, "non-original", "original")</f>
        <v>original</v>
      </c>
      <c r="P664" t="str">
        <f>IF(J664 = 1, "franchise", "non-franchise")</f>
        <v>non-franchise</v>
      </c>
      <c r="Q664" t="str">
        <f>IF(OR(I664 = 1,J664 =1), "old", "new")</f>
        <v>new</v>
      </c>
      <c r="R664">
        <f t="shared" si="20"/>
        <v>0.30273412141895073</v>
      </c>
      <c r="S664">
        <f>IF(Q664="new",1.5,1)*(K664/10)*(1-(MIN(F664,180)/180))</f>
        <v>0.40158333333333335</v>
      </c>
      <c r="T664" t="str">
        <f t="shared" si="21"/>
        <v>Scenario 3: Strong Convenience</v>
      </c>
    </row>
    <row r="665" spans="1:20" x14ac:dyDescent="0.35">
      <c r="A665" t="s">
        <v>850</v>
      </c>
      <c r="B665" s="1">
        <v>45667</v>
      </c>
      <c r="C665">
        <v>2025</v>
      </c>
      <c r="D665">
        <v>1</v>
      </c>
      <c r="E665" t="s">
        <v>14</v>
      </c>
      <c r="F665">
        <v>98</v>
      </c>
      <c r="G665" t="s">
        <v>49</v>
      </c>
      <c r="H665" t="s">
        <v>24</v>
      </c>
      <c r="I665">
        <v>0</v>
      </c>
      <c r="J665">
        <v>0</v>
      </c>
      <c r="K665">
        <v>5.9</v>
      </c>
      <c r="L665">
        <v>11121</v>
      </c>
      <c r="M665" t="s">
        <v>88</v>
      </c>
      <c r="N665" t="str">
        <f>IF(ISNUMBER(SEARCH("Streaming", M665)), "streaming", "cinema")</f>
        <v>streaming</v>
      </c>
      <c r="O665" t="str">
        <f>IF(I665=1, "non-original", "original")</f>
        <v>original</v>
      </c>
      <c r="P665" t="str">
        <f>IF(J665 = 1, "franchise", "non-franchise")</f>
        <v>non-franchise</v>
      </c>
      <c r="Q665" t="str">
        <f>IF(OR(I665 = 1,J665 =1), "old", "new")</f>
        <v>new</v>
      </c>
      <c r="R665">
        <f t="shared" si="20"/>
        <v>0.36693561164734245</v>
      </c>
      <c r="S665">
        <f>IF(Q665="new",1.5,1)*(K665/10)*(1-(MIN(F665,180)/180))</f>
        <v>0.40316666666666678</v>
      </c>
      <c r="T665" t="str">
        <f t="shared" si="21"/>
        <v>Scenario 3: Strong Convenience</v>
      </c>
    </row>
    <row r="666" spans="1:20" x14ac:dyDescent="0.35">
      <c r="A666" t="s">
        <v>851</v>
      </c>
      <c r="B666" s="1">
        <v>45674</v>
      </c>
      <c r="C666">
        <v>2025</v>
      </c>
      <c r="D666">
        <v>1</v>
      </c>
      <c r="E666" t="s">
        <v>14</v>
      </c>
      <c r="F666">
        <v>114</v>
      </c>
      <c r="G666" t="s">
        <v>41</v>
      </c>
      <c r="H666" t="s">
        <v>27</v>
      </c>
      <c r="I666">
        <v>0</v>
      </c>
      <c r="J666">
        <v>0</v>
      </c>
      <c r="K666">
        <v>5.9</v>
      </c>
      <c r="L666">
        <v>65650</v>
      </c>
      <c r="M666" t="s">
        <v>88</v>
      </c>
      <c r="N666" t="str">
        <f>IF(ISNUMBER(SEARCH("Streaming", M666)), "streaming", "cinema")</f>
        <v>streaming</v>
      </c>
      <c r="O666" t="str">
        <f>IF(I666=1, "non-original", "original")</f>
        <v>original</v>
      </c>
      <c r="P666" t="str">
        <f>IF(J666 = 1, "franchise", "non-franchise")</f>
        <v>non-franchise</v>
      </c>
      <c r="Q666" t="str">
        <f>IF(OR(I666 = 1,J666 =1), "old", "new")</f>
        <v>new</v>
      </c>
      <c r="R666">
        <f t="shared" si="20"/>
        <v>0.50818884664985053</v>
      </c>
      <c r="S666">
        <f>IF(Q666="new",1.5,1)*(K666/10)*(1-(MIN(F666,180)/180))</f>
        <v>0.32450000000000007</v>
      </c>
      <c r="T666" t="str">
        <f t="shared" si="21"/>
        <v>Scenario 4: Hybrid Logic</v>
      </c>
    </row>
    <row r="667" spans="1:20" x14ac:dyDescent="0.35">
      <c r="A667" t="s">
        <v>852</v>
      </c>
      <c r="B667" s="1">
        <v>45688</v>
      </c>
      <c r="C667">
        <v>2025</v>
      </c>
      <c r="D667">
        <v>1</v>
      </c>
      <c r="E667" t="s">
        <v>14</v>
      </c>
      <c r="F667">
        <v>96</v>
      </c>
      <c r="G667" t="s">
        <v>34</v>
      </c>
      <c r="H667" t="s">
        <v>27</v>
      </c>
      <c r="I667">
        <v>0</v>
      </c>
      <c r="J667">
        <v>0</v>
      </c>
      <c r="K667">
        <v>6.9</v>
      </c>
      <c r="L667">
        <v>1784</v>
      </c>
      <c r="M667" t="s">
        <v>88</v>
      </c>
      <c r="N667" t="str">
        <f>IF(ISNUMBER(SEARCH("Streaming", M667)), "streaming", "cinema")</f>
        <v>streaming</v>
      </c>
      <c r="O667" t="str">
        <f>IF(I667=1, "non-original", "original")</f>
        <v>original</v>
      </c>
      <c r="P667" t="str">
        <f>IF(J667 = 1, "franchise", "non-franchise")</f>
        <v>non-franchise</v>
      </c>
      <c r="Q667" t="str">
        <f>IF(OR(I667 = 1,J667 =1), "old", "new")</f>
        <v>new</v>
      </c>
      <c r="R667">
        <f t="shared" si="20"/>
        <v>0.28884404327113289</v>
      </c>
      <c r="S667">
        <f>IF(Q667="new",1.5,1)*(K667/10)*(1-(MIN(F667,180)/180))</f>
        <v>0.4830000000000001</v>
      </c>
      <c r="T667" t="str">
        <f t="shared" si="21"/>
        <v>Scenario 3: Strong Convenience</v>
      </c>
    </row>
    <row r="668" spans="1:20" x14ac:dyDescent="0.35">
      <c r="A668" t="s">
        <v>853</v>
      </c>
      <c r="B668" s="1">
        <v>45693</v>
      </c>
      <c r="C668">
        <v>2025</v>
      </c>
      <c r="D668">
        <v>2</v>
      </c>
      <c r="E668" t="s">
        <v>14</v>
      </c>
      <c r="F668">
        <v>100</v>
      </c>
      <c r="G668" t="s">
        <v>21</v>
      </c>
      <c r="H668" t="s">
        <v>24</v>
      </c>
      <c r="I668">
        <v>0</v>
      </c>
      <c r="J668">
        <v>0</v>
      </c>
      <c r="K668">
        <v>4.9000000000000004</v>
      </c>
      <c r="L668">
        <v>18012</v>
      </c>
      <c r="M668" t="s">
        <v>17</v>
      </c>
      <c r="N668" t="str">
        <f>IF(ISNUMBER(SEARCH("Streaming", M668)), "streaming", "cinema")</f>
        <v>streaming</v>
      </c>
      <c r="O668" t="str">
        <f>IF(I668=1, "non-original", "original")</f>
        <v>original</v>
      </c>
      <c r="P668" t="str">
        <f>IF(J668 = 1, "franchise", "non-franchise")</f>
        <v>non-franchise</v>
      </c>
      <c r="Q668" t="str">
        <f>IF(OR(I668 = 1,J668 =1), "old", "new")</f>
        <v>new</v>
      </c>
      <c r="R668">
        <f t="shared" si="20"/>
        <v>0.39380333074316298</v>
      </c>
      <c r="S668">
        <f>IF(Q668="new",1.5,1)*(K668/10)*(1-(MIN(F668,180)/180))</f>
        <v>0.32666666666666672</v>
      </c>
      <c r="T668" t="str">
        <f t="shared" si="21"/>
        <v>Scenario 3: Strong Convenience</v>
      </c>
    </row>
    <row r="669" spans="1:20" x14ac:dyDescent="0.35">
      <c r="A669" t="s">
        <v>854</v>
      </c>
      <c r="B669" s="1">
        <v>45699</v>
      </c>
      <c r="C669">
        <v>2025</v>
      </c>
      <c r="D669">
        <v>2</v>
      </c>
      <c r="E669" t="s">
        <v>14</v>
      </c>
      <c r="F669">
        <v>91</v>
      </c>
      <c r="G669" t="s">
        <v>855</v>
      </c>
      <c r="H669" t="s">
        <v>24</v>
      </c>
      <c r="I669">
        <v>0</v>
      </c>
      <c r="J669">
        <v>0</v>
      </c>
      <c r="K669">
        <v>6.1</v>
      </c>
      <c r="L669">
        <v>11057</v>
      </c>
      <c r="M669" t="s">
        <v>17</v>
      </c>
      <c r="N669" t="str">
        <f>IF(ISNUMBER(SEARCH("Streaming", M669)), "streaming", "cinema")</f>
        <v>streaming</v>
      </c>
      <c r="O669" t="str">
        <f>IF(I669=1, "non-original", "original")</f>
        <v>original</v>
      </c>
      <c r="P669" t="str">
        <f>IF(J669 = 1, "franchise", "non-franchise")</f>
        <v>non-franchise</v>
      </c>
      <c r="Q669" t="str">
        <f>IF(OR(I669 = 1,J669 =1), "old", "new")</f>
        <v>new</v>
      </c>
      <c r="R669">
        <f t="shared" si="20"/>
        <v>0.34051485001807152</v>
      </c>
      <c r="S669">
        <f>IF(Q669="new",1.5,1)*(K669/10)*(1-(MIN(F669,180)/180))</f>
        <v>0.45241666666666669</v>
      </c>
      <c r="T669" t="str">
        <f t="shared" si="21"/>
        <v>Scenario 3: Strong Convenience</v>
      </c>
    </row>
    <row r="670" spans="1:20" x14ac:dyDescent="0.35">
      <c r="A670" t="s">
        <v>856</v>
      </c>
      <c r="B670" s="1">
        <v>45700</v>
      </c>
      <c r="C670">
        <v>2025</v>
      </c>
      <c r="D670">
        <v>2</v>
      </c>
      <c r="E670" t="s">
        <v>14</v>
      </c>
      <c r="F670">
        <v>106</v>
      </c>
      <c r="G670" t="s">
        <v>21</v>
      </c>
      <c r="H670" t="s">
        <v>27</v>
      </c>
      <c r="I670">
        <v>0</v>
      </c>
      <c r="J670">
        <v>0</v>
      </c>
      <c r="K670">
        <v>4.8</v>
      </c>
      <c r="L670">
        <v>696</v>
      </c>
      <c r="M670" t="s">
        <v>17</v>
      </c>
      <c r="N670" t="str">
        <f>IF(ISNUMBER(SEARCH("Streaming", M670)), "streaming", "cinema")</f>
        <v>streaming</v>
      </c>
      <c r="O670" t="str">
        <f>IF(I670=1, "non-original", "original")</f>
        <v>original</v>
      </c>
      <c r="P670" t="str">
        <f>IF(J670 = 1, "franchise", "non-franchise")</f>
        <v>non-franchise</v>
      </c>
      <c r="Q670" t="str">
        <f>IF(OR(I670 = 1,J670 =1), "old", "new")</f>
        <v>new</v>
      </c>
      <c r="R670">
        <f t="shared" si="20"/>
        <v>0.27883385154771861</v>
      </c>
      <c r="S670">
        <f>IF(Q670="new",1.5,1)*(K670/10)*(1-(MIN(F670,180)/180))</f>
        <v>0.29599999999999999</v>
      </c>
      <c r="T670" t="str">
        <f t="shared" si="21"/>
        <v>Scenario 2: Weak Commitment/Convenience</v>
      </c>
    </row>
    <row r="671" spans="1:20" x14ac:dyDescent="0.35">
      <c r="A671" t="s">
        <v>857</v>
      </c>
      <c r="B671" s="1">
        <v>45700</v>
      </c>
      <c r="C671">
        <v>2025</v>
      </c>
      <c r="D671">
        <v>2</v>
      </c>
      <c r="E671" t="s">
        <v>14</v>
      </c>
      <c r="F671">
        <v>95</v>
      </c>
      <c r="G671" t="s">
        <v>21</v>
      </c>
      <c r="H671" t="s">
        <v>24</v>
      </c>
      <c r="I671">
        <v>0</v>
      </c>
      <c r="J671">
        <v>0</v>
      </c>
      <c r="K671">
        <v>5.6</v>
      </c>
      <c r="L671">
        <v>3624</v>
      </c>
      <c r="M671" t="s">
        <v>17</v>
      </c>
      <c r="N671" t="str">
        <f>IF(ISNUMBER(SEARCH("Streaming", M671)), "streaming", "cinema")</f>
        <v>streaming</v>
      </c>
      <c r="O671" t="str">
        <f>IF(I671=1, "non-original", "original")</f>
        <v>original</v>
      </c>
      <c r="P671" t="str">
        <f>IF(J671 = 1, "franchise", "non-franchise")</f>
        <v>non-franchise</v>
      </c>
      <c r="Q671" t="str">
        <f>IF(OR(I671 = 1,J671 =1), "old", "new")</f>
        <v>new</v>
      </c>
      <c r="R671">
        <f t="shared" si="20"/>
        <v>0.31289384920290575</v>
      </c>
      <c r="S671">
        <f>IF(Q671="new",1.5,1)*(K671/10)*(1-(MIN(F671,180)/180))</f>
        <v>0.39666666666666661</v>
      </c>
      <c r="T671" t="str">
        <f t="shared" si="21"/>
        <v>Scenario 3: Strong Convenience</v>
      </c>
    </row>
    <row r="672" spans="1:20" x14ac:dyDescent="0.35">
      <c r="A672" t="s">
        <v>858</v>
      </c>
      <c r="B672" s="1">
        <v>45701</v>
      </c>
      <c r="C672">
        <v>2025</v>
      </c>
      <c r="D672">
        <v>2</v>
      </c>
      <c r="E672" t="s">
        <v>14</v>
      </c>
      <c r="F672">
        <v>99</v>
      </c>
      <c r="G672" t="s">
        <v>29</v>
      </c>
      <c r="H672" t="s">
        <v>56</v>
      </c>
      <c r="I672">
        <v>0</v>
      </c>
      <c r="J672">
        <v>0</v>
      </c>
      <c r="K672">
        <v>6</v>
      </c>
      <c r="L672">
        <v>12445</v>
      </c>
      <c r="M672" t="s">
        <v>17</v>
      </c>
      <c r="N672" t="str">
        <f>IF(ISNUMBER(SEARCH("Streaming", M672)), "streaming", "cinema")</f>
        <v>streaming</v>
      </c>
      <c r="O672" t="str">
        <f>IF(I672=1, "non-original", "original")</f>
        <v>original</v>
      </c>
      <c r="P672" t="str">
        <f>IF(J672 = 1, "franchise", "non-franchise")</f>
        <v>non-franchise</v>
      </c>
      <c r="Q672" t="str">
        <f>IF(OR(I672 = 1,J672 =1), "old", "new")</f>
        <v>new</v>
      </c>
      <c r="R672">
        <f t="shared" si="20"/>
        <v>0.37515525051804421</v>
      </c>
      <c r="S672">
        <f>IF(Q672="new",1.5,1)*(K672/10)*(1-(MIN(F672,180)/180))</f>
        <v>0.40499999999999992</v>
      </c>
      <c r="T672" t="str">
        <f t="shared" si="21"/>
        <v>Scenario 3: Strong Convenience</v>
      </c>
    </row>
    <row r="673" spans="1:20" x14ac:dyDescent="0.35">
      <c r="A673" t="s">
        <v>859</v>
      </c>
      <c r="B673" s="1">
        <v>45702</v>
      </c>
      <c r="C673">
        <v>2025</v>
      </c>
      <c r="D673">
        <v>2</v>
      </c>
      <c r="E673" t="s">
        <v>14</v>
      </c>
      <c r="F673">
        <v>108</v>
      </c>
      <c r="G673" t="s">
        <v>29</v>
      </c>
      <c r="H673" t="s">
        <v>24</v>
      </c>
      <c r="I673">
        <v>0</v>
      </c>
      <c r="J673">
        <v>0</v>
      </c>
      <c r="K673">
        <v>6.4</v>
      </c>
      <c r="L673">
        <v>8485</v>
      </c>
      <c r="M673" t="s">
        <v>17</v>
      </c>
      <c r="N673" t="str">
        <f>IF(ISNUMBER(SEARCH("Streaming", M673)), "streaming", "cinema")</f>
        <v>streaming</v>
      </c>
      <c r="O673" t="str">
        <f>IF(I673=1, "non-original", "original")</f>
        <v>original</v>
      </c>
      <c r="P673" t="str">
        <f>IF(J673 = 1, "franchise", "non-franchise")</f>
        <v>non-franchise</v>
      </c>
      <c r="Q673" t="str">
        <f>IF(OR(I673 = 1,J673 =1), "old", "new")</f>
        <v>new</v>
      </c>
      <c r="R673">
        <f t="shared" si="20"/>
        <v>0.39263568510459951</v>
      </c>
      <c r="S673">
        <f>IF(Q673="new",1.5,1)*(K673/10)*(1-(MIN(F673,180)/180))</f>
        <v>0.38400000000000001</v>
      </c>
      <c r="T673" t="str">
        <f t="shared" si="21"/>
        <v>Scenario 3: Strong Convenience</v>
      </c>
    </row>
    <row r="674" spans="1:20" x14ac:dyDescent="0.35">
      <c r="A674" t="s">
        <v>860</v>
      </c>
      <c r="B674" s="1">
        <v>45702</v>
      </c>
      <c r="C674">
        <v>2025</v>
      </c>
      <c r="D674">
        <v>2</v>
      </c>
      <c r="E674" t="s">
        <v>14</v>
      </c>
      <c r="F674">
        <v>96</v>
      </c>
      <c r="G674" t="s">
        <v>29</v>
      </c>
      <c r="H674" t="s">
        <v>24</v>
      </c>
      <c r="I674">
        <v>0</v>
      </c>
      <c r="J674">
        <v>0</v>
      </c>
      <c r="K674">
        <v>5.2</v>
      </c>
      <c r="L674">
        <v>1915</v>
      </c>
      <c r="M674" t="s">
        <v>17</v>
      </c>
      <c r="N674" t="str">
        <f>IF(ISNUMBER(SEARCH("Streaming", M674)), "streaming", "cinema")</f>
        <v>streaming</v>
      </c>
      <c r="O674" t="str">
        <f>IF(I674=1, "non-original", "original")</f>
        <v>original</v>
      </c>
      <c r="P674" t="str">
        <f>IF(J674 = 1, "franchise", "non-franchise")</f>
        <v>non-franchise</v>
      </c>
      <c r="Q674" t="str">
        <f>IF(OR(I674 = 1,J674 =1), "old", "new")</f>
        <v>new</v>
      </c>
      <c r="R674">
        <f t="shared" si="20"/>
        <v>0.29157790559091706</v>
      </c>
      <c r="S674">
        <f>IF(Q674="new",1.5,1)*(K674/10)*(1-(MIN(F674,180)/180))</f>
        <v>0.36400000000000005</v>
      </c>
      <c r="T674" t="str">
        <f t="shared" si="21"/>
        <v>Scenario 3: Strong Convenience</v>
      </c>
    </row>
    <row r="675" spans="1:20" x14ac:dyDescent="0.35">
      <c r="A675" t="s">
        <v>861</v>
      </c>
      <c r="B675" s="1">
        <v>45702</v>
      </c>
      <c r="C675">
        <v>2025</v>
      </c>
      <c r="D675">
        <v>2</v>
      </c>
      <c r="E675" t="s">
        <v>14</v>
      </c>
      <c r="F675">
        <v>122</v>
      </c>
      <c r="G675" t="s">
        <v>29</v>
      </c>
      <c r="H675" t="s">
        <v>27</v>
      </c>
      <c r="I675">
        <v>0</v>
      </c>
      <c r="J675">
        <v>0</v>
      </c>
      <c r="K675">
        <v>6.2</v>
      </c>
      <c r="L675">
        <v>1107</v>
      </c>
      <c r="M675" t="s">
        <v>17</v>
      </c>
      <c r="N675" t="str">
        <f>IF(ISNUMBER(SEARCH("Streaming", M675)), "streaming", "cinema")</f>
        <v>streaming</v>
      </c>
      <c r="O675" t="str">
        <f>IF(I675=1, "non-original", "original")</f>
        <v>original</v>
      </c>
      <c r="P675" t="str">
        <f>IF(J675 = 1, "franchise", "non-franchise")</f>
        <v>non-franchise</v>
      </c>
      <c r="Q675" t="str">
        <f>IF(OR(I675 = 1,J675 =1), "old", "new")</f>
        <v>new</v>
      </c>
      <c r="R675">
        <f t="shared" si="20"/>
        <v>0.34367505337873072</v>
      </c>
      <c r="S675">
        <f>IF(Q675="new",1.5,1)*(K675/10)*(1-(MIN(F675,180)/180))</f>
        <v>0.29966666666666664</v>
      </c>
      <c r="T675" t="str">
        <f t="shared" si="21"/>
        <v>Scenario 2: Weak Commitment/Convenience</v>
      </c>
    </row>
    <row r="676" spans="1:20" x14ac:dyDescent="0.35">
      <c r="A676" t="s">
        <v>862</v>
      </c>
      <c r="B676" s="1">
        <v>45702</v>
      </c>
      <c r="C676">
        <v>2025</v>
      </c>
      <c r="D676">
        <v>2</v>
      </c>
      <c r="E676" t="s">
        <v>14</v>
      </c>
      <c r="F676">
        <v>78</v>
      </c>
      <c r="G676" t="s">
        <v>29</v>
      </c>
      <c r="H676" t="s">
        <v>24</v>
      </c>
      <c r="I676">
        <v>0</v>
      </c>
      <c r="J676">
        <v>0</v>
      </c>
      <c r="K676">
        <v>4.0999999999999996</v>
      </c>
      <c r="L676">
        <v>170</v>
      </c>
      <c r="M676" t="s">
        <v>17</v>
      </c>
      <c r="N676" t="str">
        <f>IF(ISNUMBER(SEARCH("Streaming", M676)), "streaming", "cinema")</f>
        <v>streaming</v>
      </c>
      <c r="O676" t="str">
        <f>IF(I676=1, "non-original", "original")</f>
        <v>original</v>
      </c>
      <c r="P676" t="str">
        <f>IF(J676 = 1, "franchise", "non-franchise")</f>
        <v>non-franchise</v>
      </c>
      <c r="Q676" t="str">
        <f>IF(OR(I676 = 1,J676 =1), "old", "new")</f>
        <v>new</v>
      </c>
      <c r="R676">
        <f t="shared" si="20"/>
        <v>0.16099387509381144</v>
      </c>
      <c r="S676">
        <f>IF(Q676="new",1.5,1)*(K676/10)*(1-(MIN(F676,180)/180))</f>
        <v>0.34849999999999998</v>
      </c>
      <c r="T676" t="str">
        <f t="shared" si="21"/>
        <v>Scenario 3: Strong Convenience</v>
      </c>
    </row>
    <row r="677" spans="1:20" x14ac:dyDescent="0.35">
      <c r="A677" t="s">
        <v>863</v>
      </c>
      <c r="B677" s="1">
        <v>45714</v>
      </c>
      <c r="C677">
        <v>2025</v>
      </c>
      <c r="D677">
        <v>2</v>
      </c>
      <c r="E677" t="s">
        <v>14</v>
      </c>
      <c r="F677">
        <v>105</v>
      </c>
      <c r="G677" t="s">
        <v>269</v>
      </c>
      <c r="H677" t="s">
        <v>24</v>
      </c>
      <c r="I677">
        <v>0</v>
      </c>
      <c r="J677">
        <v>0</v>
      </c>
      <c r="K677">
        <v>6.3</v>
      </c>
      <c r="L677">
        <v>2265</v>
      </c>
      <c r="M677" t="s">
        <v>17</v>
      </c>
      <c r="N677" t="str">
        <f>IF(ISNUMBER(SEARCH("Streaming", M677)), "streaming", "cinema")</f>
        <v>streaming</v>
      </c>
      <c r="O677" t="str">
        <f>IF(I677=1, "non-original", "original")</f>
        <v>original</v>
      </c>
      <c r="P677" t="str">
        <f>IF(J677 = 1, "franchise", "non-franchise")</f>
        <v>non-franchise</v>
      </c>
      <c r="Q677" t="str">
        <f>IF(OR(I677 = 1,J677 =1), "old", "new")</f>
        <v>new</v>
      </c>
      <c r="R677">
        <f t="shared" si="20"/>
        <v>0.3259966383697761</v>
      </c>
      <c r="S677">
        <f>IF(Q677="new",1.5,1)*(K677/10)*(1-(MIN(F677,180)/180))</f>
        <v>0.39374999999999999</v>
      </c>
      <c r="T677" t="str">
        <f t="shared" si="21"/>
        <v>Scenario 3: Strong Convenience</v>
      </c>
    </row>
    <row r="678" spans="1:20" x14ac:dyDescent="0.35">
      <c r="A678" t="s">
        <v>864</v>
      </c>
      <c r="B678" s="1">
        <v>45715</v>
      </c>
      <c r="C678">
        <v>2025</v>
      </c>
      <c r="D678">
        <v>2</v>
      </c>
      <c r="E678" t="s">
        <v>14</v>
      </c>
      <c r="F678">
        <v>107</v>
      </c>
      <c r="G678" t="s">
        <v>865</v>
      </c>
      <c r="H678" t="s">
        <v>24</v>
      </c>
      <c r="I678">
        <v>1</v>
      </c>
      <c r="J678">
        <v>0</v>
      </c>
      <c r="K678">
        <v>5.4</v>
      </c>
      <c r="L678">
        <v>6246</v>
      </c>
      <c r="M678" t="s">
        <v>88</v>
      </c>
      <c r="N678" t="str">
        <f>IF(ISNUMBER(SEARCH("Streaming", M678)), "streaming", "cinema")</f>
        <v>streaming</v>
      </c>
      <c r="O678" t="str">
        <f>IF(I678=1, "non-original", "original")</f>
        <v>non-original</v>
      </c>
      <c r="P678" t="str">
        <f>IF(J678 = 1, "franchise", "non-franchise")</f>
        <v>non-franchise</v>
      </c>
      <c r="Q678" t="str">
        <f>IF(OR(I678 = 1,J678 =1), "old", "new")</f>
        <v>old</v>
      </c>
      <c r="R678">
        <f t="shared" si="20"/>
        <v>0.56373911630694129</v>
      </c>
      <c r="S678">
        <f>IF(Q678="new",1.5,1)*(K678/10)*(1-(MIN(F678,180)/180))</f>
        <v>0.21900000000000003</v>
      </c>
      <c r="T678" t="str">
        <f t="shared" si="21"/>
        <v>Scenario 1: Strong Commitment</v>
      </c>
    </row>
    <row r="679" spans="1:20" x14ac:dyDescent="0.35">
      <c r="A679" t="s">
        <v>866</v>
      </c>
      <c r="B679" s="1">
        <v>45715</v>
      </c>
      <c r="C679">
        <v>2025</v>
      </c>
      <c r="D679">
        <v>2</v>
      </c>
      <c r="E679" t="s">
        <v>14</v>
      </c>
      <c r="F679">
        <v>94</v>
      </c>
      <c r="G679" t="s">
        <v>34</v>
      </c>
      <c r="H679" t="s">
        <v>30</v>
      </c>
      <c r="I679">
        <v>0</v>
      </c>
      <c r="J679">
        <v>0</v>
      </c>
      <c r="K679">
        <v>6</v>
      </c>
      <c r="L679">
        <v>1267</v>
      </c>
      <c r="M679" t="s">
        <v>17</v>
      </c>
      <c r="N679" t="str">
        <f>IF(ISNUMBER(SEARCH("Streaming", M679)), "streaming", "cinema")</f>
        <v>streaming</v>
      </c>
      <c r="O679" t="str">
        <f>IF(I679=1, "non-original", "original")</f>
        <v>original</v>
      </c>
      <c r="P679" t="str">
        <f>IF(J679 = 1, "franchise", "non-franchise")</f>
        <v>non-franchise</v>
      </c>
      <c r="Q679" t="str">
        <f>IF(OR(I679 = 1,J679 =1), "old", "new")</f>
        <v>new</v>
      </c>
      <c r="R679">
        <f t="shared" si="20"/>
        <v>0.26989872459118647</v>
      </c>
      <c r="S679">
        <f>IF(Q679="new",1.5,1)*(K679/10)*(1-(MIN(F679,180)/180))</f>
        <v>0.42999999999999994</v>
      </c>
      <c r="T679" t="str">
        <f t="shared" si="21"/>
        <v>Scenario 3: Strong Convenience</v>
      </c>
    </row>
    <row r="680" spans="1:20" x14ac:dyDescent="0.35">
      <c r="A680" t="s">
        <v>867</v>
      </c>
      <c r="B680" s="1">
        <v>45715</v>
      </c>
      <c r="C680">
        <v>2025</v>
      </c>
      <c r="D680">
        <v>2</v>
      </c>
      <c r="E680" t="s">
        <v>14</v>
      </c>
      <c r="F680">
        <v>103</v>
      </c>
      <c r="G680" t="s">
        <v>29</v>
      </c>
      <c r="H680" t="s">
        <v>24</v>
      </c>
      <c r="I680">
        <v>0</v>
      </c>
      <c r="J680">
        <v>0</v>
      </c>
      <c r="K680">
        <v>5</v>
      </c>
      <c r="L680">
        <v>389</v>
      </c>
      <c r="M680" t="s">
        <v>17</v>
      </c>
      <c r="N680" t="str">
        <f>IF(ISNUMBER(SEARCH("Streaming", M680)), "streaming", "cinema")</f>
        <v>streaming</v>
      </c>
      <c r="O680" t="str">
        <f>IF(I680=1, "non-original", "original")</f>
        <v>original</v>
      </c>
      <c r="P680" t="str">
        <f>IF(J680 = 1, "franchise", "non-franchise")</f>
        <v>non-franchise</v>
      </c>
      <c r="Q680" t="str">
        <f>IF(OR(I680 = 1,J680 =1), "old", "new")</f>
        <v>new</v>
      </c>
      <c r="R680">
        <f t="shared" si="20"/>
        <v>0.24686016043856956</v>
      </c>
      <c r="S680">
        <f>IF(Q680="new",1.5,1)*(K680/10)*(1-(MIN(F680,180)/180))</f>
        <v>0.32083333333333336</v>
      </c>
      <c r="T680" t="str">
        <f t="shared" si="21"/>
        <v>Scenario 3: Strong Convenience</v>
      </c>
    </row>
    <row r="681" spans="1:20" x14ac:dyDescent="0.35">
      <c r="A681" t="s">
        <v>868</v>
      </c>
      <c r="B681" s="1">
        <v>45716</v>
      </c>
      <c r="C681">
        <v>2025</v>
      </c>
      <c r="D681">
        <v>2</v>
      </c>
      <c r="E681" t="s">
        <v>14</v>
      </c>
      <c r="F681">
        <v>124</v>
      </c>
      <c r="G681" t="s">
        <v>76</v>
      </c>
      <c r="H681" t="s">
        <v>24</v>
      </c>
      <c r="I681">
        <v>0</v>
      </c>
      <c r="J681">
        <v>0</v>
      </c>
      <c r="K681">
        <v>5.5</v>
      </c>
      <c r="L681">
        <v>3144</v>
      </c>
      <c r="M681" t="s">
        <v>88</v>
      </c>
      <c r="N681" t="str">
        <f>IF(ISNUMBER(SEARCH("Streaming", M681)), "streaming", "cinema")</f>
        <v>streaming</v>
      </c>
      <c r="O681" t="str">
        <f>IF(I681=1, "non-original", "original")</f>
        <v>original</v>
      </c>
      <c r="P681" t="str">
        <f>IF(J681 = 1, "franchise", "non-franchise")</f>
        <v>non-franchise</v>
      </c>
      <c r="Q681" t="str">
        <f>IF(OR(I681 = 1,J681 =1), "old", "new")</f>
        <v>new</v>
      </c>
      <c r="R681">
        <f t="shared" si="20"/>
        <v>0.40132822940435176</v>
      </c>
      <c r="S681">
        <f>IF(Q681="new",1.5,1)*(K681/10)*(1-(MIN(F681,180)/180))</f>
        <v>0.25666666666666671</v>
      </c>
      <c r="T681" t="str">
        <f t="shared" si="21"/>
        <v>Scenario 2: Weak Commitment/Convenience</v>
      </c>
    </row>
    <row r="682" spans="1:20" x14ac:dyDescent="0.35">
      <c r="A682" t="s">
        <v>869</v>
      </c>
      <c r="B682" s="1">
        <v>45723</v>
      </c>
      <c r="C682">
        <v>2025</v>
      </c>
      <c r="D682">
        <v>3</v>
      </c>
      <c r="E682" t="s">
        <v>38</v>
      </c>
      <c r="F682">
        <v>102</v>
      </c>
      <c r="G682" t="s">
        <v>34</v>
      </c>
      <c r="H682" t="s">
        <v>24</v>
      </c>
      <c r="I682">
        <v>0</v>
      </c>
      <c r="J682">
        <v>0</v>
      </c>
      <c r="K682">
        <v>4.4000000000000004</v>
      </c>
      <c r="L682">
        <v>6230</v>
      </c>
      <c r="M682" t="s">
        <v>17</v>
      </c>
      <c r="N682" t="str">
        <f>IF(ISNUMBER(SEARCH("Streaming", M682)), "streaming", "cinema")</f>
        <v>streaming</v>
      </c>
      <c r="O682" t="str">
        <f>IF(I682=1, "non-original", "original")</f>
        <v>original</v>
      </c>
      <c r="P682" t="str">
        <f>IF(J682 = 1, "franchise", "non-franchise")</f>
        <v>non-franchise</v>
      </c>
      <c r="Q682" t="str">
        <f>IF(OR(I682 = 1,J682 =1), "old", "new")</f>
        <v>new</v>
      </c>
      <c r="R682">
        <f t="shared" si="20"/>
        <v>0.35815896794969942</v>
      </c>
      <c r="S682">
        <f>IF(Q682="new",1.5,1)*(K682/10)*(1-(MIN(F682,180)/180))</f>
        <v>0.28600000000000009</v>
      </c>
      <c r="T682" t="str">
        <f t="shared" si="21"/>
        <v>Scenario 2: Weak Commitment/Convenience</v>
      </c>
    </row>
    <row r="683" spans="1:20" x14ac:dyDescent="0.35">
      <c r="A683" t="s">
        <v>870</v>
      </c>
      <c r="B683" s="1">
        <v>45723</v>
      </c>
      <c r="C683">
        <v>2025</v>
      </c>
      <c r="D683">
        <v>3</v>
      </c>
      <c r="E683" t="s">
        <v>38</v>
      </c>
      <c r="F683">
        <v>119</v>
      </c>
      <c r="G683" t="s">
        <v>29</v>
      </c>
      <c r="H683" t="s">
        <v>27</v>
      </c>
      <c r="I683">
        <v>0</v>
      </c>
      <c r="J683">
        <v>0</v>
      </c>
      <c r="K683">
        <v>3</v>
      </c>
      <c r="L683">
        <v>16024</v>
      </c>
      <c r="M683" t="s">
        <v>17</v>
      </c>
      <c r="N683" t="str">
        <f>IF(ISNUMBER(SEARCH("Streaming", M683)), "streaming", "cinema")</f>
        <v>streaming</v>
      </c>
      <c r="O683" t="str">
        <f>IF(I683=1, "non-original", "original")</f>
        <v>original</v>
      </c>
      <c r="P683" t="str">
        <f>IF(J683 = 1, "franchise", "non-franchise")</f>
        <v>non-franchise</v>
      </c>
      <c r="Q683" t="str">
        <f>IF(OR(I683 = 1,J683 =1), "old", "new")</f>
        <v>new</v>
      </c>
      <c r="R683">
        <f t="shared" si="20"/>
        <v>0.46303281687393361</v>
      </c>
      <c r="S683">
        <f>IF(Q683="new",1.5,1)*(K683/10)*(1-(MIN(F683,180)/180))</f>
        <v>0.1525</v>
      </c>
      <c r="T683" t="str">
        <f t="shared" si="21"/>
        <v>Scenario 2: Weak Commitment/Convenience</v>
      </c>
    </row>
    <row r="684" spans="1:20" x14ac:dyDescent="0.35">
      <c r="A684" t="s">
        <v>871</v>
      </c>
      <c r="B684" s="1">
        <v>45723</v>
      </c>
      <c r="C684">
        <v>2025</v>
      </c>
      <c r="D684">
        <v>3</v>
      </c>
      <c r="E684" t="s">
        <v>38</v>
      </c>
      <c r="F684">
        <v>87</v>
      </c>
      <c r="G684" t="s">
        <v>872</v>
      </c>
      <c r="H684" t="s">
        <v>86</v>
      </c>
      <c r="I684">
        <v>0</v>
      </c>
      <c r="J684">
        <v>0</v>
      </c>
      <c r="K684">
        <v>5.3</v>
      </c>
      <c r="L684">
        <v>4553</v>
      </c>
      <c r="M684" t="s">
        <v>88</v>
      </c>
      <c r="N684" t="str">
        <f>IF(ISNUMBER(SEARCH("Streaming", M684)), "streaming", "cinema")</f>
        <v>streaming</v>
      </c>
      <c r="O684" t="str">
        <f>IF(I684=1, "non-original", "original")</f>
        <v>original</v>
      </c>
      <c r="P684" t="str">
        <f>IF(J684 = 1, "franchise", "non-franchise")</f>
        <v>non-franchise</v>
      </c>
      <c r="Q684" t="str">
        <f>IF(OR(I684 = 1,J684 =1), "old", "new")</f>
        <v>new</v>
      </c>
      <c r="R684">
        <f t="shared" si="20"/>
        <v>0.29452404729991116</v>
      </c>
      <c r="S684">
        <f>IF(Q684="new",1.5,1)*(K684/10)*(1-(MIN(F684,180)/180))</f>
        <v>0.41074999999999995</v>
      </c>
      <c r="T684" t="str">
        <f t="shared" si="21"/>
        <v>Scenario 3: Strong Convenience</v>
      </c>
    </row>
    <row r="685" spans="1:20" x14ac:dyDescent="0.35">
      <c r="A685" t="s">
        <v>873</v>
      </c>
      <c r="B685" s="1">
        <v>45730</v>
      </c>
      <c r="C685">
        <v>2025</v>
      </c>
      <c r="D685">
        <v>3</v>
      </c>
      <c r="E685" t="s">
        <v>38</v>
      </c>
      <c r="F685">
        <v>128</v>
      </c>
      <c r="G685" t="s">
        <v>874</v>
      </c>
      <c r="H685" t="s">
        <v>27</v>
      </c>
      <c r="I685">
        <v>0</v>
      </c>
      <c r="J685">
        <v>0</v>
      </c>
      <c r="K685">
        <v>5.9</v>
      </c>
      <c r="L685">
        <v>82982</v>
      </c>
      <c r="M685" t="s">
        <v>88</v>
      </c>
      <c r="N685" t="str">
        <f>IF(ISNUMBER(SEARCH("Streaming", M685)), "streaming", "cinema")</f>
        <v>streaming</v>
      </c>
      <c r="O685" t="str">
        <f>IF(I685=1, "non-original", "original")</f>
        <v>original</v>
      </c>
      <c r="P685" t="str">
        <f>IF(J685 = 1, "franchise", "non-franchise")</f>
        <v>non-franchise</v>
      </c>
      <c r="Q685" t="str">
        <f>IF(OR(I685 = 1,J685 =1), "old", "new")</f>
        <v>new</v>
      </c>
      <c r="R685">
        <f t="shared" si="20"/>
        <v>0.58265011925096322</v>
      </c>
      <c r="S685">
        <f>IF(Q685="new",1.5,1)*(K685/10)*(1-(MIN(F685,180)/180))</f>
        <v>0.25566666666666665</v>
      </c>
      <c r="T685" t="str">
        <f t="shared" si="21"/>
        <v>Scenario 1: Strong Commitment</v>
      </c>
    </row>
    <row r="686" spans="1:20" x14ac:dyDescent="0.35">
      <c r="A686" t="s">
        <v>875</v>
      </c>
      <c r="B686" s="1">
        <v>45737</v>
      </c>
      <c r="C686">
        <v>2025</v>
      </c>
      <c r="D686">
        <v>3</v>
      </c>
      <c r="E686" t="s">
        <v>38</v>
      </c>
      <c r="F686">
        <v>106</v>
      </c>
      <c r="G686" t="s">
        <v>116</v>
      </c>
      <c r="H686" t="s">
        <v>24</v>
      </c>
      <c r="I686">
        <v>0</v>
      </c>
      <c r="J686">
        <v>0</v>
      </c>
      <c r="K686">
        <v>5.2</v>
      </c>
      <c r="L686">
        <v>1851</v>
      </c>
      <c r="M686" t="s">
        <v>17</v>
      </c>
      <c r="N686" t="str">
        <f>IF(ISNUMBER(SEARCH("Streaming", M686)), "streaming", "cinema")</f>
        <v>streaming</v>
      </c>
      <c r="O686" t="str">
        <f>IF(I686=1, "non-original", "original")</f>
        <v>original</v>
      </c>
      <c r="P686" t="str">
        <f>IF(J686 = 1, "franchise", "non-franchise")</f>
        <v>non-franchise</v>
      </c>
      <c r="Q686" t="str">
        <f>IF(OR(I686 = 1,J686 =1), "old", "new")</f>
        <v>new</v>
      </c>
      <c r="R686">
        <f t="shared" si="20"/>
        <v>0.32050255223874036</v>
      </c>
      <c r="S686">
        <f>IF(Q686="new",1.5,1)*(K686/10)*(1-(MIN(F686,180)/180))</f>
        <v>0.32066666666666666</v>
      </c>
      <c r="T686" t="str">
        <f t="shared" si="21"/>
        <v>Scenario 3: Strong Convenience</v>
      </c>
    </row>
    <row r="687" spans="1:20" x14ac:dyDescent="0.35">
      <c r="A687" t="s">
        <v>876</v>
      </c>
      <c r="B687" s="1">
        <v>45737</v>
      </c>
      <c r="C687">
        <v>2025</v>
      </c>
      <c r="D687">
        <v>3</v>
      </c>
      <c r="E687" t="s">
        <v>38</v>
      </c>
      <c r="F687">
        <v>122</v>
      </c>
      <c r="G687" t="s">
        <v>19</v>
      </c>
      <c r="H687" t="s">
        <v>24</v>
      </c>
      <c r="I687">
        <v>0</v>
      </c>
      <c r="J687">
        <v>0</v>
      </c>
      <c r="K687">
        <v>6</v>
      </c>
      <c r="L687">
        <v>5286</v>
      </c>
      <c r="M687" t="s">
        <v>17</v>
      </c>
      <c r="N687" t="str">
        <f>IF(ISNUMBER(SEARCH("Streaming", M687)), "streaming", "cinema")</f>
        <v>streaming</v>
      </c>
      <c r="O687" t="str">
        <f>IF(I687=1, "non-original", "original")</f>
        <v>original</v>
      </c>
      <c r="P687" t="str">
        <f>IF(J687 = 1, "franchise", "non-franchise")</f>
        <v>non-franchise</v>
      </c>
      <c r="Q687" t="str">
        <f>IF(OR(I687 = 1,J687 =1), "old", "new")</f>
        <v>new</v>
      </c>
      <c r="R687">
        <f t="shared" si="20"/>
        <v>0.42032978829901746</v>
      </c>
      <c r="S687">
        <f>IF(Q687="new",1.5,1)*(K687/10)*(1-(MIN(F687,180)/180))</f>
        <v>0.28999999999999992</v>
      </c>
      <c r="T687" t="str">
        <f t="shared" si="21"/>
        <v>Scenario 2: Weak Commitment/Convenience</v>
      </c>
    </row>
    <row r="688" spans="1:20" x14ac:dyDescent="0.35">
      <c r="A688" t="s">
        <v>877</v>
      </c>
      <c r="B688" s="1">
        <v>45744</v>
      </c>
      <c r="C688">
        <v>2025</v>
      </c>
      <c r="D688">
        <v>3</v>
      </c>
      <c r="E688" t="s">
        <v>38</v>
      </c>
      <c r="F688">
        <v>125</v>
      </c>
      <c r="G688" t="s">
        <v>29</v>
      </c>
      <c r="H688" t="s">
        <v>27</v>
      </c>
      <c r="I688">
        <v>0</v>
      </c>
      <c r="J688">
        <v>0</v>
      </c>
      <c r="K688">
        <v>6.8</v>
      </c>
      <c r="L688">
        <v>39203</v>
      </c>
      <c r="M688" t="s">
        <v>88</v>
      </c>
      <c r="N688" t="str">
        <f>IF(ISNUMBER(SEARCH("Streaming", M688)), "streaming", "cinema")</f>
        <v>streaming</v>
      </c>
      <c r="O688" t="str">
        <f>IF(I688=1, "non-original", "original")</f>
        <v>original</v>
      </c>
      <c r="P688" t="str">
        <f>IF(J688 = 1, "franchise", "non-franchise")</f>
        <v>non-franchise</v>
      </c>
      <c r="Q688" t="str">
        <f>IF(OR(I688 = 1,J688 =1), "old", "new")</f>
        <v>new</v>
      </c>
      <c r="R688">
        <f t="shared" si="20"/>
        <v>0.53132361446897147</v>
      </c>
      <c r="S688">
        <f>IF(Q688="new",1.5,1)*(K688/10)*(1-(MIN(F688,180)/180))</f>
        <v>0.3116666666666667</v>
      </c>
      <c r="T688" t="str">
        <f t="shared" si="21"/>
        <v>Scenario 1: Strong Commitment</v>
      </c>
    </row>
    <row r="689" spans="1:20" x14ac:dyDescent="0.35">
      <c r="A689" t="s">
        <v>878</v>
      </c>
      <c r="B689" s="1">
        <v>45747</v>
      </c>
      <c r="C689">
        <v>2025</v>
      </c>
      <c r="D689">
        <v>3</v>
      </c>
      <c r="E689" t="s">
        <v>38</v>
      </c>
      <c r="F689">
        <v>109</v>
      </c>
      <c r="G689" t="s">
        <v>879</v>
      </c>
      <c r="H689" t="s">
        <v>27</v>
      </c>
      <c r="I689">
        <v>0</v>
      </c>
      <c r="J689">
        <v>0</v>
      </c>
      <c r="K689">
        <v>5.2</v>
      </c>
      <c r="L689">
        <v>374</v>
      </c>
      <c r="M689" t="s">
        <v>17</v>
      </c>
      <c r="N689" t="str">
        <f>IF(ISNUMBER(SEARCH("Streaming", M689)), "streaming", "cinema")</f>
        <v>streaming</v>
      </c>
      <c r="O689" t="str">
        <f>IF(I689=1, "non-original", "original")</f>
        <v>original</v>
      </c>
      <c r="P689" t="str">
        <f>IF(J689 = 1, "franchise", "non-franchise")</f>
        <v>non-franchise</v>
      </c>
      <c r="Q689" t="str">
        <f>IF(OR(I689 = 1,J689 =1), "old", "new")</f>
        <v>new</v>
      </c>
      <c r="R689">
        <f t="shared" si="20"/>
        <v>0.2595177579653522</v>
      </c>
      <c r="S689">
        <f>IF(Q689="new",1.5,1)*(K689/10)*(1-(MIN(F689,180)/180))</f>
        <v>0.3076666666666667</v>
      </c>
      <c r="T689" t="str">
        <f t="shared" si="21"/>
        <v>Scenario 2: Weak Commitment/Convenience</v>
      </c>
    </row>
    <row r="690" spans="1:20" x14ac:dyDescent="0.35">
      <c r="A690" t="s">
        <v>880</v>
      </c>
      <c r="B690" s="1">
        <v>45749</v>
      </c>
      <c r="C690">
        <v>2025</v>
      </c>
      <c r="D690">
        <v>4</v>
      </c>
      <c r="E690" t="s">
        <v>38</v>
      </c>
      <c r="F690">
        <v>91</v>
      </c>
      <c r="G690" t="s">
        <v>881</v>
      </c>
      <c r="H690" t="s">
        <v>24</v>
      </c>
      <c r="I690">
        <v>0</v>
      </c>
      <c r="J690">
        <v>0</v>
      </c>
      <c r="K690">
        <v>4.9000000000000004</v>
      </c>
      <c r="L690">
        <v>1360</v>
      </c>
      <c r="M690" t="s">
        <v>17</v>
      </c>
      <c r="N690" t="str">
        <f>IF(ISNUMBER(SEARCH("Streaming", M690)), "streaming", "cinema")</f>
        <v>streaming</v>
      </c>
      <c r="O690" t="str">
        <f>IF(I690=1, "non-original", "original")</f>
        <v>original</v>
      </c>
      <c r="P690" t="str">
        <f>IF(J690 = 1, "franchise", "non-franchise")</f>
        <v>non-franchise</v>
      </c>
      <c r="Q690" t="str">
        <f>IF(OR(I690 = 1,J690 =1), "old", "new")</f>
        <v>new</v>
      </c>
      <c r="R690">
        <f t="shared" si="20"/>
        <v>0.26387542940071124</v>
      </c>
      <c r="S690">
        <f>IF(Q690="new",1.5,1)*(K690/10)*(1-(MIN(F690,180)/180))</f>
        <v>0.36341666666666672</v>
      </c>
      <c r="T690" t="str">
        <f t="shared" si="21"/>
        <v>Scenario 3: Strong Convenience</v>
      </c>
    </row>
    <row r="691" spans="1:20" x14ac:dyDescent="0.35">
      <c r="A691" t="s">
        <v>882</v>
      </c>
      <c r="B691" s="1">
        <v>45751</v>
      </c>
      <c r="C691">
        <v>2025</v>
      </c>
      <c r="D691">
        <v>4</v>
      </c>
      <c r="E691" t="s">
        <v>38</v>
      </c>
      <c r="F691">
        <v>145</v>
      </c>
      <c r="G691" t="s">
        <v>791</v>
      </c>
      <c r="H691" t="s">
        <v>27</v>
      </c>
      <c r="I691">
        <v>0</v>
      </c>
      <c r="J691">
        <v>0</v>
      </c>
      <c r="K691">
        <v>5.0999999999999996</v>
      </c>
      <c r="L691">
        <v>2765</v>
      </c>
      <c r="M691" t="s">
        <v>17</v>
      </c>
      <c r="N691" t="str">
        <f>IF(ISNUMBER(SEARCH("Streaming", M691)), "streaming", "cinema")</f>
        <v>streaming</v>
      </c>
      <c r="O691" t="str">
        <f>IF(I691=1, "non-original", "original")</f>
        <v>original</v>
      </c>
      <c r="P691" t="str">
        <f>IF(J691 = 1, "franchise", "non-franchise")</f>
        <v>non-franchise</v>
      </c>
      <c r="Q691" t="str">
        <f>IF(OR(I691 = 1,J691 =1), "old", "new")</f>
        <v>new</v>
      </c>
      <c r="R691">
        <f t="shared" si="20"/>
        <v>0.46180950714235708</v>
      </c>
      <c r="S691">
        <f>IF(Q691="new",1.5,1)*(K691/10)*(1-(MIN(F691,180)/180))</f>
        <v>0.14874999999999999</v>
      </c>
      <c r="T691" t="str">
        <f t="shared" si="21"/>
        <v>Scenario 2: Weak Commitment/Convenience</v>
      </c>
    </row>
    <row r="692" spans="1:20" x14ac:dyDescent="0.35">
      <c r="A692" t="s">
        <v>883</v>
      </c>
      <c r="B692" s="1">
        <v>45756</v>
      </c>
      <c r="C692">
        <v>2025</v>
      </c>
      <c r="D692">
        <v>4</v>
      </c>
      <c r="E692" t="s">
        <v>38</v>
      </c>
      <c r="F692">
        <v>84</v>
      </c>
      <c r="G692" t="s">
        <v>34</v>
      </c>
      <c r="H692" t="s">
        <v>27</v>
      </c>
      <c r="I692">
        <v>0</v>
      </c>
      <c r="J692">
        <v>0</v>
      </c>
      <c r="K692">
        <v>5.5</v>
      </c>
      <c r="L692">
        <v>628</v>
      </c>
      <c r="M692" t="s">
        <v>17</v>
      </c>
      <c r="N692" t="str">
        <f>IF(ISNUMBER(SEARCH("Streaming", M692)), "streaming", "cinema")</f>
        <v>streaming</v>
      </c>
      <c r="O692" t="str">
        <f>IF(I692=1, "non-original", "original")</f>
        <v>original</v>
      </c>
      <c r="P692" t="str">
        <f>IF(J692 = 1, "franchise", "non-franchise")</f>
        <v>non-franchise</v>
      </c>
      <c r="Q692" t="str">
        <f>IF(OR(I692 = 1,J692 =1), "old", "new")</f>
        <v>new</v>
      </c>
      <c r="R692">
        <f t="shared" si="20"/>
        <v>0.21749195713555805</v>
      </c>
      <c r="S692">
        <f>IF(Q692="new",1.5,1)*(K692/10)*(1-(MIN(F692,180)/180))</f>
        <v>0.44</v>
      </c>
      <c r="T692" t="str">
        <f t="shared" si="21"/>
        <v>Scenario 3: Strong Convenience</v>
      </c>
    </row>
    <row r="693" spans="1:20" x14ac:dyDescent="0.35">
      <c r="A693" t="s">
        <v>884</v>
      </c>
      <c r="B693" s="1">
        <v>45757</v>
      </c>
      <c r="C693">
        <v>2025</v>
      </c>
      <c r="D693">
        <v>4</v>
      </c>
      <c r="E693" t="s">
        <v>38</v>
      </c>
      <c r="F693">
        <v>118</v>
      </c>
      <c r="G693" t="s">
        <v>34</v>
      </c>
      <c r="H693" t="s">
        <v>30</v>
      </c>
      <c r="I693">
        <v>0</v>
      </c>
      <c r="J693">
        <v>0</v>
      </c>
      <c r="K693">
        <v>6.2</v>
      </c>
      <c r="L693">
        <v>484</v>
      </c>
      <c r="M693" t="s">
        <v>17</v>
      </c>
      <c r="N693" t="str">
        <f>IF(ISNUMBER(SEARCH("Streaming", M693)), "streaming", "cinema")</f>
        <v>streaming</v>
      </c>
      <c r="O693" t="str">
        <f>IF(I693=1, "non-original", "original")</f>
        <v>original</v>
      </c>
      <c r="P693" t="str">
        <f>IF(J693 = 1, "franchise", "non-franchise")</f>
        <v>non-franchise</v>
      </c>
      <c r="Q693" t="str">
        <f>IF(OR(I693 = 1,J693 =1), "old", "new")</f>
        <v>new</v>
      </c>
      <c r="R693">
        <f t="shared" si="20"/>
        <v>0.29317285291756956</v>
      </c>
      <c r="S693">
        <f>IF(Q693="new",1.5,1)*(K693/10)*(1-(MIN(F693,180)/180))</f>
        <v>0.3203333333333333</v>
      </c>
      <c r="T693" t="str">
        <f t="shared" si="21"/>
        <v>Scenario 3: Strong Convenience</v>
      </c>
    </row>
    <row r="694" spans="1:20" x14ac:dyDescent="0.35">
      <c r="A694" t="s">
        <v>885</v>
      </c>
      <c r="B694" s="1">
        <v>45758</v>
      </c>
      <c r="C694">
        <v>2025</v>
      </c>
      <c r="D694">
        <v>4</v>
      </c>
      <c r="E694" t="s">
        <v>38</v>
      </c>
      <c r="F694">
        <v>93</v>
      </c>
      <c r="G694" t="s">
        <v>21</v>
      </c>
      <c r="H694" t="s">
        <v>27</v>
      </c>
      <c r="I694">
        <v>0</v>
      </c>
      <c r="J694">
        <v>0</v>
      </c>
      <c r="K694">
        <v>5.2</v>
      </c>
      <c r="L694">
        <v>599</v>
      </c>
      <c r="M694" t="s">
        <v>17</v>
      </c>
      <c r="N694" t="str">
        <f>IF(ISNUMBER(SEARCH("Streaming", M694)), "streaming", "cinema")</f>
        <v>streaming</v>
      </c>
      <c r="O694" t="str">
        <f>IF(I694=1, "non-original", "original")</f>
        <v>original</v>
      </c>
      <c r="P694" t="str">
        <f>IF(J694 = 1, "franchise", "non-franchise")</f>
        <v>non-franchise</v>
      </c>
      <c r="Q694" t="str">
        <f>IF(OR(I694 = 1,J694 =1), "old", "new")</f>
        <v>new</v>
      </c>
      <c r="R694">
        <f t="shared" si="20"/>
        <v>0.23902759563926634</v>
      </c>
      <c r="S694">
        <f>IF(Q694="new",1.5,1)*(K694/10)*(1-(MIN(F694,180)/180))</f>
        <v>0.37699999999999995</v>
      </c>
      <c r="T694" t="str">
        <f t="shared" si="21"/>
        <v>Scenario 3: Strong Convenience</v>
      </c>
    </row>
    <row r="695" spans="1:20" x14ac:dyDescent="0.35">
      <c r="A695" t="s">
        <v>886</v>
      </c>
      <c r="B695" s="1">
        <v>45765</v>
      </c>
      <c r="C695">
        <v>2025</v>
      </c>
      <c r="D695">
        <v>4</v>
      </c>
      <c r="E695" t="s">
        <v>38</v>
      </c>
      <c r="F695">
        <v>102</v>
      </c>
      <c r="G695" t="s">
        <v>76</v>
      </c>
      <c r="H695" t="s">
        <v>24</v>
      </c>
      <c r="I695">
        <v>0</v>
      </c>
      <c r="J695">
        <v>0</v>
      </c>
      <c r="K695">
        <v>5.7</v>
      </c>
      <c r="L695">
        <v>13163</v>
      </c>
      <c r="M695" t="s">
        <v>88</v>
      </c>
      <c r="N695" t="str">
        <f>IF(ISNUMBER(SEARCH("Streaming", M695)), "streaming", "cinema")</f>
        <v>streaming</v>
      </c>
      <c r="O695" t="str">
        <f>IF(I695=1, "non-original", "original")</f>
        <v>original</v>
      </c>
      <c r="P695" t="str">
        <f>IF(J695 = 1, "franchise", "non-franchise")</f>
        <v>non-franchise</v>
      </c>
      <c r="Q695" t="str">
        <f>IF(OR(I695 = 1,J695 =1), "old", "new")</f>
        <v>new</v>
      </c>
      <c r="R695">
        <f t="shared" si="20"/>
        <v>0.38882291227736931</v>
      </c>
      <c r="S695">
        <f>IF(Q695="new",1.5,1)*(K695/10)*(1-(MIN(F695,180)/180))</f>
        <v>0.37050000000000005</v>
      </c>
      <c r="T695" t="str">
        <f t="shared" si="21"/>
        <v>Scenario 3: Strong Convenience</v>
      </c>
    </row>
    <row r="696" spans="1:20" x14ac:dyDescent="0.35">
      <c r="A696" t="s">
        <v>887</v>
      </c>
      <c r="B696" s="1">
        <v>45770</v>
      </c>
      <c r="C696">
        <v>2025</v>
      </c>
      <c r="D696">
        <v>4</v>
      </c>
      <c r="E696" t="s">
        <v>38</v>
      </c>
      <c r="F696">
        <v>137</v>
      </c>
      <c r="G696" t="s">
        <v>49</v>
      </c>
      <c r="H696" t="s">
        <v>27</v>
      </c>
      <c r="I696">
        <v>1</v>
      </c>
      <c r="J696">
        <v>1</v>
      </c>
      <c r="K696">
        <v>6.2</v>
      </c>
      <c r="L696">
        <v>9006</v>
      </c>
      <c r="M696" t="s">
        <v>88</v>
      </c>
      <c r="N696" t="str">
        <f>IF(ISNUMBER(SEARCH("Streaming", M696)), "streaming", "cinema")</f>
        <v>streaming</v>
      </c>
      <c r="O696" t="str">
        <f>IF(I696=1, "non-original", "original")</f>
        <v>non-original</v>
      </c>
      <c r="P696" t="str">
        <f>IF(J696 = 1, "franchise", "non-franchise")</f>
        <v>franchise</v>
      </c>
      <c r="Q696" t="str">
        <f>IF(OR(I696 = 1,J696 =1), "old", "new")</f>
        <v>old</v>
      </c>
      <c r="R696">
        <f t="shared" si="20"/>
        <v>0.75201998684531401</v>
      </c>
      <c r="S696">
        <f>IF(Q696="new",1.5,1)*(K696/10)*(1-(MIN(F696,180)/180))</f>
        <v>0.14811111111111114</v>
      </c>
      <c r="T696" t="str">
        <f t="shared" si="21"/>
        <v>Scenario 1: Strong Commitment</v>
      </c>
    </row>
    <row r="697" spans="1:20" x14ac:dyDescent="0.35">
      <c r="A697" t="s">
        <v>888</v>
      </c>
      <c r="B697" s="1">
        <v>45772</v>
      </c>
      <c r="C697">
        <v>2025</v>
      </c>
      <c r="D697">
        <v>4</v>
      </c>
      <c r="E697" t="s">
        <v>38</v>
      </c>
      <c r="F697">
        <v>107</v>
      </c>
      <c r="G697" t="s">
        <v>49</v>
      </c>
      <c r="H697" t="s">
        <v>24</v>
      </c>
      <c r="I697">
        <v>0</v>
      </c>
      <c r="J697">
        <v>0</v>
      </c>
      <c r="K697">
        <v>5.6</v>
      </c>
      <c r="L697">
        <v>67561</v>
      </c>
      <c r="M697" t="s">
        <v>88</v>
      </c>
      <c r="N697" t="str">
        <f>IF(ISNUMBER(SEARCH("Streaming", M697)), "streaming", "cinema")</f>
        <v>streaming</v>
      </c>
      <c r="O697" t="str">
        <f>IF(I697=1, "non-original", "original")</f>
        <v>original</v>
      </c>
      <c r="P697" t="str">
        <f>IF(J697 = 1, "franchise", "non-franchise")</f>
        <v>non-franchise</v>
      </c>
      <c r="Q697" t="str">
        <f>IF(OR(I697 = 1,J697 =1), "old", "new")</f>
        <v>new</v>
      </c>
      <c r="R697">
        <f t="shared" si="20"/>
        <v>0.47821814272847624</v>
      </c>
      <c r="S697">
        <f>IF(Q697="new",1.5,1)*(K697/10)*(1-(MIN(F697,180)/180))</f>
        <v>0.34066666666666662</v>
      </c>
      <c r="T697" t="str">
        <f t="shared" si="21"/>
        <v>Scenario 4: Hybrid Logic</v>
      </c>
    </row>
    <row r="698" spans="1:20" x14ac:dyDescent="0.35">
      <c r="A698" t="s">
        <v>889</v>
      </c>
      <c r="B698" s="1">
        <v>45777</v>
      </c>
      <c r="C698">
        <v>2025</v>
      </c>
      <c r="D698">
        <v>4</v>
      </c>
      <c r="E698" t="s">
        <v>38</v>
      </c>
      <c r="F698">
        <v>109</v>
      </c>
      <c r="G698" t="s">
        <v>49</v>
      </c>
      <c r="H698" t="s">
        <v>24</v>
      </c>
      <c r="I698">
        <v>0</v>
      </c>
      <c r="J698">
        <v>0</v>
      </c>
      <c r="K698">
        <v>5.8</v>
      </c>
      <c r="L698">
        <v>17912</v>
      </c>
      <c r="M698" t="s">
        <v>88</v>
      </c>
      <c r="N698" t="str">
        <f>IF(ISNUMBER(SEARCH("Streaming", M698)), "streaming", "cinema")</f>
        <v>streaming</v>
      </c>
      <c r="O698" t="str">
        <f>IF(I698=1, "non-original", "original")</f>
        <v>original</v>
      </c>
      <c r="P698" t="str">
        <f>IF(J698 = 1, "franchise", "non-franchise")</f>
        <v>non-franchise</v>
      </c>
      <c r="Q698" t="str">
        <f>IF(OR(I698 = 1,J698 =1), "old", "new")</f>
        <v>new</v>
      </c>
      <c r="R698">
        <f t="shared" si="20"/>
        <v>0.42900174853240963</v>
      </c>
      <c r="S698">
        <f>IF(Q698="new",1.5,1)*(K698/10)*(1-(MIN(F698,180)/180))</f>
        <v>0.34316666666666668</v>
      </c>
      <c r="T698" t="str">
        <f t="shared" si="21"/>
        <v>Scenario 3: Strong Convenience</v>
      </c>
    </row>
    <row r="699" spans="1:20" x14ac:dyDescent="0.35">
      <c r="A699" t="s">
        <v>890</v>
      </c>
      <c r="B699" s="1">
        <v>45778</v>
      </c>
      <c r="C699">
        <v>2025</v>
      </c>
      <c r="D699">
        <v>5</v>
      </c>
      <c r="E699" t="s">
        <v>38</v>
      </c>
      <c r="F699">
        <v>92</v>
      </c>
      <c r="G699" t="s">
        <v>21</v>
      </c>
      <c r="H699" t="s">
        <v>24</v>
      </c>
      <c r="I699">
        <v>0</v>
      </c>
      <c r="J699">
        <v>0</v>
      </c>
      <c r="K699">
        <v>4.4000000000000004</v>
      </c>
      <c r="L699">
        <v>436</v>
      </c>
      <c r="M699" t="s">
        <v>17</v>
      </c>
      <c r="N699" t="str">
        <f>IF(ISNUMBER(SEARCH("Streaming", M699)), "streaming", "cinema")</f>
        <v>streaming</v>
      </c>
      <c r="O699" t="str">
        <f>IF(I699=1, "non-original", "original")</f>
        <v>original</v>
      </c>
      <c r="P699" t="str">
        <f>IF(J699 = 1, "franchise", "non-franchise")</f>
        <v>non-franchise</v>
      </c>
      <c r="Q699" t="str">
        <f>IF(OR(I699 = 1,J699 =1), "old", "new")</f>
        <v>new</v>
      </c>
      <c r="R699">
        <f t="shared" si="20"/>
        <v>0.22471379787637696</v>
      </c>
      <c r="S699">
        <f>IF(Q699="new",1.5,1)*(K699/10)*(1-(MIN(F699,180)/180))</f>
        <v>0.32266666666666677</v>
      </c>
      <c r="T699" t="str">
        <f t="shared" si="21"/>
        <v>Scenario 3: Strong Convenience</v>
      </c>
    </row>
    <row r="700" spans="1:20" x14ac:dyDescent="0.35">
      <c r="A700" t="s">
        <v>891</v>
      </c>
      <c r="B700" s="1">
        <v>45784</v>
      </c>
      <c r="C700">
        <v>2025</v>
      </c>
      <c r="D700">
        <v>5</v>
      </c>
      <c r="E700" t="s">
        <v>38</v>
      </c>
      <c r="F700">
        <v>112</v>
      </c>
      <c r="G700" t="s">
        <v>635</v>
      </c>
      <c r="H700" t="s">
        <v>24</v>
      </c>
      <c r="I700">
        <v>0</v>
      </c>
      <c r="J700">
        <v>0</v>
      </c>
      <c r="K700">
        <v>6.3</v>
      </c>
      <c r="L700">
        <v>3901</v>
      </c>
      <c r="M700" t="s">
        <v>88</v>
      </c>
      <c r="N700" t="str">
        <f>IF(ISNUMBER(SEARCH("Streaming", M700)), "streaming", "cinema")</f>
        <v>streaming</v>
      </c>
      <c r="O700" t="str">
        <f>IF(I700=1, "non-original", "original")</f>
        <v>original</v>
      </c>
      <c r="P700" t="str">
        <f>IF(J700 = 1, "franchise", "non-franchise")</f>
        <v>non-franchise</v>
      </c>
      <c r="Q700" t="str">
        <f>IF(OR(I700 = 1,J700 =1), "old", "new")</f>
        <v>new</v>
      </c>
      <c r="R700">
        <f t="shared" si="20"/>
        <v>0.37220069160026381</v>
      </c>
      <c r="S700">
        <f>IF(Q700="new",1.5,1)*(K700/10)*(1-(MIN(F700,180)/180))</f>
        <v>0.35700000000000004</v>
      </c>
      <c r="T700" t="str">
        <f t="shared" si="21"/>
        <v>Scenario 3: Strong Convenience</v>
      </c>
    </row>
    <row r="701" spans="1:20" x14ac:dyDescent="0.35">
      <c r="A701" t="s">
        <v>892</v>
      </c>
      <c r="B701" s="1">
        <v>45786</v>
      </c>
      <c r="C701">
        <v>2025</v>
      </c>
      <c r="D701">
        <v>5</v>
      </c>
      <c r="E701" t="s">
        <v>38</v>
      </c>
      <c r="F701">
        <v>114</v>
      </c>
      <c r="G701" t="s">
        <v>21</v>
      </c>
      <c r="H701" t="s">
        <v>56</v>
      </c>
      <c r="I701">
        <v>0</v>
      </c>
      <c r="J701">
        <v>0</v>
      </c>
      <c r="K701">
        <v>6.8</v>
      </c>
      <c r="L701">
        <v>45450</v>
      </c>
      <c r="M701" t="s">
        <v>88</v>
      </c>
      <c r="N701" t="str">
        <f>IF(ISNUMBER(SEARCH("Streaming", M701)), "streaming", "cinema")</f>
        <v>streaming</v>
      </c>
      <c r="O701" t="str">
        <f>IF(I701=1, "non-original", "original")</f>
        <v>original</v>
      </c>
      <c r="P701" t="str">
        <f>IF(J701 = 1, "franchise", "non-franchise")</f>
        <v>non-franchise</v>
      </c>
      <c r="Q701" t="str">
        <f>IF(OR(I701 = 1,J701 =1), "old", "new")</f>
        <v>new</v>
      </c>
      <c r="R701">
        <f t="shared" si="20"/>
        <v>0.49134138297255509</v>
      </c>
      <c r="S701">
        <f>IF(Q701="new",1.5,1)*(K701/10)*(1-(MIN(F701,180)/180))</f>
        <v>0.37400000000000005</v>
      </c>
      <c r="T701" t="str">
        <f t="shared" si="21"/>
        <v>Scenario 4: Hybrid Logic</v>
      </c>
    </row>
    <row r="702" spans="1:20" x14ac:dyDescent="0.35">
      <c r="A702" t="s">
        <v>893</v>
      </c>
      <c r="B702" s="1">
        <v>45800</v>
      </c>
      <c r="C702">
        <v>2025</v>
      </c>
      <c r="D702">
        <v>5</v>
      </c>
      <c r="E702" t="s">
        <v>38</v>
      </c>
      <c r="F702">
        <v>90</v>
      </c>
      <c r="G702" t="s">
        <v>304</v>
      </c>
      <c r="H702" t="s">
        <v>24</v>
      </c>
      <c r="I702">
        <v>0</v>
      </c>
      <c r="J702">
        <v>0</v>
      </c>
      <c r="K702">
        <v>5.0999999999999996</v>
      </c>
      <c r="L702">
        <v>25493</v>
      </c>
      <c r="M702" t="s">
        <v>17</v>
      </c>
      <c r="N702" t="str">
        <f>IF(ISNUMBER(SEARCH("Streaming", M702)), "streaming", "cinema")</f>
        <v>streaming</v>
      </c>
      <c r="O702" t="str">
        <f>IF(I702=1, "non-original", "original")</f>
        <v>original</v>
      </c>
      <c r="P702" t="str">
        <f>IF(J702 = 1, "franchise", "non-franchise")</f>
        <v>non-franchise</v>
      </c>
      <c r="Q702" t="str">
        <f>IF(OR(I702 = 1,J702 =1), "old", "new")</f>
        <v>new</v>
      </c>
      <c r="R702">
        <f t="shared" si="20"/>
        <v>0.36698723771609348</v>
      </c>
      <c r="S702">
        <f>IF(Q702="new",1.5,1)*(K702/10)*(1-(MIN(F702,180)/180))</f>
        <v>0.38250000000000001</v>
      </c>
      <c r="T702" t="str">
        <f t="shared" si="21"/>
        <v>Scenario 3: Strong Convenience</v>
      </c>
    </row>
    <row r="703" spans="1:20" x14ac:dyDescent="0.35">
      <c r="A703" t="s">
        <v>894</v>
      </c>
      <c r="B703" s="1">
        <v>45800</v>
      </c>
      <c r="C703">
        <v>2025</v>
      </c>
      <c r="D703">
        <v>5</v>
      </c>
      <c r="E703" t="s">
        <v>38</v>
      </c>
      <c r="F703">
        <v>97</v>
      </c>
      <c r="G703" t="s">
        <v>895</v>
      </c>
      <c r="H703" t="s">
        <v>30</v>
      </c>
      <c r="I703">
        <v>0</v>
      </c>
      <c r="J703">
        <v>0</v>
      </c>
      <c r="K703">
        <v>5.5</v>
      </c>
      <c r="L703">
        <v>1124</v>
      </c>
      <c r="M703" t="s">
        <v>17</v>
      </c>
      <c r="N703" t="str">
        <f>IF(ISNUMBER(SEARCH("Streaming", M703)), "streaming", "cinema")</f>
        <v>streaming</v>
      </c>
      <c r="O703" t="str">
        <f>IF(I703=1, "non-original", "original")</f>
        <v>original</v>
      </c>
      <c r="P703" t="str">
        <f>IF(J703 = 1, "franchise", "non-franchise")</f>
        <v>non-franchise</v>
      </c>
      <c r="Q703" t="str">
        <f>IF(OR(I703 = 1,J703 =1), "old", "new")</f>
        <v>new</v>
      </c>
      <c r="R703">
        <f t="shared" si="20"/>
        <v>0.2738439467080474</v>
      </c>
      <c r="S703">
        <f>IF(Q703="new",1.5,1)*(K703/10)*(1-(MIN(F703,180)/180))</f>
        <v>0.38041666666666674</v>
      </c>
      <c r="T703" t="str">
        <f t="shared" si="21"/>
        <v>Scenario 3: Strong Convenience</v>
      </c>
    </row>
    <row r="704" spans="1:20" x14ac:dyDescent="0.35">
      <c r="A704" t="s">
        <v>896</v>
      </c>
      <c r="B704" s="1">
        <v>45807</v>
      </c>
      <c r="C704">
        <v>2025</v>
      </c>
      <c r="D704">
        <v>5</v>
      </c>
      <c r="E704" t="s">
        <v>38</v>
      </c>
      <c r="F704">
        <v>122</v>
      </c>
      <c r="G704" t="s">
        <v>76</v>
      </c>
      <c r="H704" t="s">
        <v>24</v>
      </c>
      <c r="I704">
        <v>0</v>
      </c>
      <c r="J704">
        <v>0</v>
      </c>
      <c r="K704">
        <v>6.2</v>
      </c>
      <c r="L704">
        <v>8589</v>
      </c>
      <c r="M704" t="s">
        <v>88</v>
      </c>
      <c r="N704" t="str">
        <f>IF(ISNUMBER(SEARCH("Streaming", M704)), "streaming", "cinema")</f>
        <v>streaming</v>
      </c>
      <c r="O704" t="str">
        <f>IF(I704=1, "non-original", "original")</f>
        <v>original</v>
      </c>
      <c r="P704" t="str">
        <f>IF(J704 = 1, "franchise", "non-franchise")</f>
        <v>non-franchise</v>
      </c>
      <c r="Q704" t="str">
        <f>IF(OR(I704 = 1,J704 =1), "old", "new")</f>
        <v>new</v>
      </c>
      <c r="R704">
        <f t="shared" si="20"/>
        <v>0.44413021389406149</v>
      </c>
      <c r="S704">
        <f>IF(Q704="new",1.5,1)*(K704/10)*(1-(MIN(F704,180)/180))</f>
        <v>0.29966666666666664</v>
      </c>
      <c r="T704" t="str">
        <f t="shared" si="21"/>
        <v>Scenario 2: Weak Commitment/Convenience</v>
      </c>
    </row>
    <row r="705" spans="1:20" x14ac:dyDescent="0.35">
      <c r="A705" t="s">
        <v>897</v>
      </c>
      <c r="B705" s="1">
        <v>45807</v>
      </c>
      <c r="C705">
        <v>2025</v>
      </c>
      <c r="D705">
        <v>5</v>
      </c>
      <c r="E705" t="s">
        <v>38</v>
      </c>
      <c r="F705">
        <v>98</v>
      </c>
      <c r="G705" t="s">
        <v>898</v>
      </c>
      <c r="H705" t="s">
        <v>56</v>
      </c>
      <c r="I705">
        <v>0</v>
      </c>
      <c r="J705">
        <v>0</v>
      </c>
      <c r="K705">
        <v>7</v>
      </c>
      <c r="L705">
        <v>5495</v>
      </c>
      <c r="M705" t="s">
        <v>17</v>
      </c>
      <c r="N705" t="str">
        <f>IF(ISNUMBER(SEARCH("Streaming", M705)), "streaming", "cinema")</f>
        <v>streaming</v>
      </c>
      <c r="O705" t="str">
        <f>IF(I705=1, "non-original", "original")</f>
        <v>original</v>
      </c>
      <c r="P705" t="str">
        <f>IF(J705 = 1, "franchise", "non-franchise")</f>
        <v>non-franchise</v>
      </c>
      <c r="Q705" t="str">
        <f>IF(OR(I705 = 1,J705 =1), "old", "new")</f>
        <v>new</v>
      </c>
      <c r="R705">
        <f t="shared" si="20"/>
        <v>0.33916919130033657</v>
      </c>
      <c r="S705">
        <f>IF(Q705="new",1.5,1)*(K705/10)*(1-(MIN(F705,180)/180))</f>
        <v>0.47833333333333328</v>
      </c>
      <c r="T705" t="str">
        <f t="shared" si="21"/>
        <v>Scenario 3: Strong Convenience</v>
      </c>
    </row>
    <row r="706" spans="1:20" x14ac:dyDescent="0.35">
      <c r="A706" t="s">
        <v>899</v>
      </c>
      <c r="B706" s="1">
        <v>45807</v>
      </c>
      <c r="C706">
        <v>2025</v>
      </c>
      <c r="D706">
        <v>5</v>
      </c>
      <c r="E706" t="s">
        <v>38</v>
      </c>
      <c r="F706">
        <v>89</v>
      </c>
      <c r="G706" t="s">
        <v>34</v>
      </c>
      <c r="H706" t="s">
        <v>30</v>
      </c>
      <c r="I706">
        <v>0</v>
      </c>
      <c r="J706">
        <v>0</v>
      </c>
      <c r="K706">
        <v>5.8</v>
      </c>
      <c r="L706">
        <v>1131</v>
      </c>
      <c r="M706" t="s">
        <v>17</v>
      </c>
      <c r="N706" t="str">
        <f>IF(ISNUMBER(SEARCH("Streaming", M706)), "streaming", "cinema")</f>
        <v>streaming</v>
      </c>
      <c r="O706" t="str">
        <f>IF(I706=1, "non-original", "original")</f>
        <v>original</v>
      </c>
      <c r="P706" t="str">
        <f>IF(J706 = 1, "franchise", "non-franchise")</f>
        <v>non-franchise</v>
      </c>
      <c r="Q706" t="str">
        <f>IF(OR(I706 = 1,J706 =1), "old", "new")</f>
        <v>new</v>
      </c>
      <c r="R706">
        <f t="shared" si="20"/>
        <v>0.25148094371198815</v>
      </c>
      <c r="S706">
        <f>IF(Q706="new",1.5,1)*(K706/10)*(1-(MIN(F706,180)/180))</f>
        <v>0.43983333333333324</v>
      </c>
      <c r="T706" t="str">
        <f t="shared" si="21"/>
        <v>Scenario 3: Strong Convenience</v>
      </c>
    </row>
    <row r="707" spans="1:20" x14ac:dyDescent="0.35">
      <c r="A707" t="s">
        <v>900</v>
      </c>
      <c r="B707" s="1">
        <v>45814</v>
      </c>
      <c r="C707">
        <v>2025</v>
      </c>
      <c r="D707">
        <v>6</v>
      </c>
      <c r="E707" t="s">
        <v>78</v>
      </c>
      <c r="F707">
        <v>86</v>
      </c>
      <c r="G707" t="s">
        <v>58</v>
      </c>
      <c r="H707" t="s">
        <v>24</v>
      </c>
      <c r="I707">
        <v>0</v>
      </c>
      <c r="J707">
        <v>0</v>
      </c>
      <c r="K707">
        <v>5.8</v>
      </c>
      <c r="L707">
        <v>5099</v>
      </c>
      <c r="M707" t="s">
        <v>88</v>
      </c>
      <c r="N707" t="str">
        <f>IF(ISNUMBER(SEARCH("Streaming", M707)), "streaming", "cinema")</f>
        <v>streaming</v>
      </c>
      <c r="O707" t="str">
        <f>IF(I707=1, "non-original", "original")</f>
        <v>original</v>
      </c>
      <c r="P707" t="str">
        <f>IF(J707 = 1, "franchise", "non-franchise")</f>
        <v>non-franchise</v>
      </c>
      <c r="Q707" t="str">
        <f>IF(OR(I707 = 1,J707 =1), "old", "new")</f>
        <v>new</v>
      </c>
      <c r="R707">
        <f t="shared" ref="R707:R770" si="22">IF(Q707="old",1.5,1)*(LOG10(L707)/LOG10(MAX($L$2:$L$1078)))*(MIN(F707,180)/180)</f>
        <v>0.29505319675887104</v>
      </c>
      <c r="S707">
        <f>IF(Q707="new",1.5,1)*(K707/10)*(1-(MIN(F707,180)/180))</f>
        <v>0.4543333333333332</v>
      </c>
      <c r="T707" t="str">
        <f t="shared" ref="T707:T770" si="23">IF(AND(R707&gt;=AVERAGE($R$2:$R$1078),S707&gt;=AVERAGE($S$2:$S$1078)),"Scenario 4: Hybrid Logic",
 IF(AND(R707&gt;=AVERAGE($R$2:$R$1078),S707&lt;AVERAGE($S$2:$S$1078)),"Scenario 1: Strong Commitment",
  IF(AND(R707&lt;AVERAGE($R$2:$R$1078),S707&gt;=AVERAGE($S$2:$S$1078)),"Scenario 3: Strong Convenience",
   "Scenario 2: Weak Commitment/Convenience")))</f>
        <v>Scenario 3: Strong Convenience</v>
      </c>
    </row>
    <row r="708" spans="1:20" x14ac:dyDescent="0.35">
      <c r="A708" t="s">
        <v>901</v>
      </c>
      <c r="B708" s="1">
        <v>45814</v>
      </c>
      <c r="C708">
        <v>2025</v>
      </c>
      <c r="D708">
        <v>6</v>
      </c>
      <c r="E708" t="s">
        <v>78</v>
      </c>
      <c r="F708">
        <v>107</v>
      </c>
      <c r="G708" t="s">
        <v>34</v>
      </c>
      <c r="H708" t="s">
        <v>24</v>
      </c>
      <c r="I708">
        <v>0</v>
      </c>
      <c r="J708">
        <v>0</v>
      </c>
      <c r="K708">
        <v>6.5</v>
      </c>
      <c r="L708">
        <v>30466</v>
      </c>
      <c r="M708" t="s">
        <v>17</v>
      </c>
      <c r="N708" t="str">
        <f>IF(ISNUMBER(SEARCH("Streaming", M708)), "streaming", "cinema")</f>
        <v>streaming</v>
      </c>
      <c r="O708" t="str">
        <f>IF(I708=1, "non-original", "original")</f>
        <v>original</v>
      </c>
      <c r="P708" t="str">
        <f>IF(J708 = 1, "franchise", "non-franchise")</f>
        <v>non-franchise</v>
      </c>
      <c r="Q708" t="str">
        <f>IF(OR(I708 = 1,J708 =1), "old", "new")</f>
        <v>new</v>
      </c>
      <c r="R708">
        <f t="shared" si="22"/>
        <v>0.44397035761379194</v>
      </c>
      <c r="S708">
        <f>IF(Q708="new",1.5,1)*(K708/10)*(1-(MIN(F708,180)/180))</f>
        <v>0.39541666666666669</v>
      </c>
      <c r="T708" t="str">
        <f t="shared" si="23"/>
        <v>Scenario 3: Strong Convenience</v>
      </c>
    </row>
    <row r="709" spans="1:20" x14ac:dyDescent="0.35">
      <c r="A709" t="s">
        <v>902</v>
      </c>
      <c r="B709" s="1">
        <v>45819</v>
      </c>
      <c r="C709">
        <v>2025</v>
      </c>
      <c r="D709">
        <v>6</v>
      </c>
      <c r="E709" t="s">
        <v>78</v>
      </c>
      <c r="F709">
        <v>90</v>
      </c>
      <c r="G709" t="s">
        <v>21</v>
      </c>
      <c r="H709" t="s">
        <v>27</v>
      </c>
      <c r="I709">
        <v>0</v>
      </c>
      <c r="J709">
        <v>0</v>
      </c>
      <c r="K709">
        <v>5.4</v>
      </c>
      <c r="L709">
        <v>2982</v>
      </c>
      <c r="M709" t="s">
        <v>17</v>
      </c>
      <c r="N709" t="str">
        <f>IF(ISNUMBER(SEARCH("Streaming", M709)), "streaming", "cinema")</f>
        <v>streaming</v>
      </c>
      <c r="O709" t="str">
        <f>IF(I709=1, "non-original", "original")</f>
        <v>original</v>
      </c>
      <c r="P709" t="str">
        <f>IF(J709 = 1, "franchise", "non-franchise")</f>
        <v>non-franchise</v>
      </c>
      <c r="Q709" t="str">
        <f>IF(OR(I709 = 1,J709 =1), "old", "new")</f>
        <v>new</v>
      </c>
      <c r="R709">
        <f t="shared" si="22"/>
        <v>0.28937316169664656</v>
      </c>
      <c r="S709">
        <f>IF(Q709="new",1.5,1)*(K709/10)*(1-(MIN(F709,180)/180))</f>
        <v>0.40500000000000003</v>
      </c>
      <c r="T709" t="str">
        <f t="shared" si="23"/>
        <v>Scenario 3: Strong Convenience</v>
      </c>
    </row>
    <row r="710" spans="1:20" x14ac:dyDescent="0.35">
      <c r="A710" t="s">
        <v>903</v>
      </c>
      <c r="B710" s="1">
        <v>45828</v>
      </c>
      <c r="C710">
        <v>2025</v>
      </c>
      <c r="D710">
        <v>6</v>
      </c>
      <c r="E710" t="s">
        <v>78</v>
      </c>
      <c r="F710">
        <v>99</v>
      </c>
      <c r="G710" t="s">
        <v>154</v>
      </c>
      <c r="H710" t="s">
        <v>56</v>
      </c>
      <c r="I710">
        <v>0</v>
      </c>
      <c r="J710">
        <v>0</v>
      </c>
      <c r="K710">
        <v>7.5</v>
      </c>
      <c r="L710">
        <v>122289</v>
      </c>
      <c r="M710" t="s">
        <v>88</v>
      </c>
      <c r="N710" t="str">
        <f>IF(ISNUMBER(SEARCH("Streaming", M710)), "streaming", "cinema")</f>
        <v>streaming</v>
      </c>
      <c r="O710" t="str">
        <f>IF(I710=1, "non-original", "original")</f>
        <v>original</v>
      </c>
      <c r="P710" t="str">
        <f>IF(J710 = 1, "franchise", "non-franchise")</f>
        <v>non-franchise</v>
      </c>
      <c r="Q710" t="str">
        <f>IF(OR(I710 = 1,J710 =1), "old", "new")</f>
        <v>new</v>
      </c>
      <c r="R710">
        <f t="shared" si="22"/>
        <v>0.46607142091939668</v>
      </c>
      <c r="S710">
        <f>IF(Q710="new",1.5,1)*(K710/10)*(1-(MIN(F710,180)/180))</f>
        <v>0.50624999999999998</v>
      </c>
      <c r="T710" t="str">
        <f t="shared" si="23"/>
        <v>Scenario 3: Strong Convenience</v>
      </c>
    </row>
    <row r="711" spans="1:20" x14ac:dyDescent="0.35">
      <c r="A711" t="s">
        <v>904</v>
      </c>
      <c r="B711" s="1">
        <v>45828</v>
      </c>
      <c r="C711">
        <v>2025</v>
      </c>
      <c r="D711">
        <v>6</v>
      </c>
      <c r="E711" t="s">
        <v>78</v>
      </c>
      <c r="F711">
        <v>92</v>
      </c>
      <c r="G711" t="s">
        <v>21</v>
      </c>
      <c r="H711" t="s">
        <v>56</v>
      </c>
      <c r="I711">
        <v>0</v>
      </c>
      <c r="J711">
        <v>0</v>
      </c>
      <c r="K711">
        <v>4.7</v>
      </c>
      <c r="L711">
        <v>254</v>
      </c>
      <c r="M711" t="s">
        <v>17</v>
      </c>
      <c r="N711" t="str">
        <f>IF(ISNUMBER(SEARCH("Streaming", M711)), "streaming", "cinema")</f>
        <v>streaming</v>
      </c>
      <c r="O711" t="str">
        <f>IF(I711=1, "non-original", "original")</f>
        <v>original</v>
      </c>
      <c r="P711" t="str">
        <f>IF(J711 = 1, "franchise", "non-franchise")</f>
        <v>non-franchise</v>
      </c>
      <c r="Q711" t="str">
        <f>IF(OR(I711 = 1,J711 =1), "old", "new")</f>
        <v>new</v>
      </c>
      <c r="R711">
        <f t="shared" si="22"/>
        <v>0.20473653489795901</v>
      </c>
      <c r="S711">
        <f>IF(Q711="new",1.5,1)*(K711/10)*(1-(MIN(F711,180)/180))</f>
        <v>0.34466666666666673</v>
      </c>
      <c r="T711" t="str">
        <f t="shared" si="23"/>
        <v>Scenario 3: Strong Convenience</v>
      </c>
    </row>
    <row r="712" spans="1:20" x14ac:dyDescent="0.35">
      <c r="A712" t="s">
        <v>905</v>
      </c>
      <c r="B712" s="1">
        <v>45840</v>
      </c>
      <c r="C712">
        <v>2025</v>
      </c>
      <c r="D712">
        <v>7</v>
      </c>
      <c r="E712" t="s">
        <v>78</v>
      </c>
      <c r="F712">
        <v>106</v>
      </c>
      <c r="G712" t="s">
        <v>100</v>
      </c>
      <c r="H712" t="s">
        <v>24</v>
      </c>
      <c r="I712">
        <v>0</v>
      </c>
      <c r="J712">
        <v>0</v>
      </c>
      <c r="K712">
        <v>5.0999999999999996</v>
      </c>
      <c r="L712">
        <v>44796</v>
      </c>
      <c r="M712" t="s">
        <v>88</v>
      </c>
      <c r="N712" t="str">
        <f>IF(ISNUMBER(SEARCH("Streaming", M712)), "streaming", "cinema")</f>
        <v>streaming</v>
      </c>
      <c r="O712" t="str">
        <f>IF(I712=1, "non-original", "original")</f>
        <v>original</v>
      </c>
      <c r="P712" t="str">
        <f>IF(J712 = 1, "franchise", "non-franchise")</f>
        <v>non-franchise</v>
      </c>
      <c r="Q712" t="str">
        <f>IF(OR(I712 = 1,J712 =1), "old", "new")</f>
        <v>new</v>
      </c>
      <c r="R712">
        <f t="shared" si="22"/>
        <v>0.45624383842999028</v>
      </c>
      <c r="S712">
        <f>IF(Q712="new",1.5,1)*(K712/10)*(1-(MIN(F712,180)/180))</f>
        <v>0.3145</v>
      </c>
      <c r="T712" t="str">
        <f t="shared" si="23"/>
        <v>Scenario 2: Weak Commitment/Convenience</v>
      </c>
    </row>
    <row r="713" spans="1:20" x14ac:dyDescent="0.35">
      <c r="A713" t="s">
        <v>906</v>
      </c>
      <c r="B713" s="1">
        <v>45847</v>
      </c>
      <c r="C713">
        <v>2025</v>
      </c>
      <c r="D713">
        <v>7</v>
      </c>
      <c r="E713" t="s">
        <v>78</v>
      </c>
      <c r="F713">
        <v>96</v>
      </c>
      <c r="G713" t="s">
        <v>92</v>
      </c>
      <c r="H713" t="s">
        <v>24</v>
      </c>
      <c r="I713">
        <v>0</v>
      </c>
      <c r="J713">
        <v>0</v>
      </c>
      <c r="K713">
        <v>4.9000000000000004</v>
      </c>
      <c r="L713">
        <v>4641</v>
      </c>
      <c r="M713" t="s">
        <v>17</v>
      </c>
      <c r="N713" t="str">
        <f>IF(ISNUMBER(SEARCH("Streaming", M713)), "streaming", "cinema")</f>
        <v>streaming</v>
      </c>
      <c r="O713" t="str">
        <f>IF(I713=1, "non-original", "original")</f>
        <v>original</v>
      </c>
      <c r="P713" t="str">
        <f>IF(J713 = 1, "franchise", "non-franchise")</f>
        <v>non-franchise</v>
      </c>
      <c r="Q713" t="str">
        <f>IF(OR(I713 = 1,J713 =1), "old", "new")</f>
        <v>new</v>
      </c>
      <c r="R713">
        <f t="shared" si="22"/>
        <v>0.32573063542676139</v>
      </c>
      <c r="S713">
        <f>IF(Q713="new",1.5,1)*(K713/10)*(1-(MIN(F713,180)/180))</f>
        <v>0.34300000000000003</v>
      </c>
      <c r="T713" t="str">
        <f t="shared" si="23"/>
        <v>Scenario 3: Strong Convenience</v>
      </c>
    </row>
    <row r="714" spans="1:20" x14ac:dyDescent="0.35">
      <c r="A714" t="s">
        <v>907</v>
      </c>
      <c r="B714" s="1">
        <v>45848</v>
      </c>
      <c r="C714">
        <v>2025</v>
      </c>
      <c r="D714">
        <v>7</v>
      </c>
      <c r="E714" t="s">
        <v>78</v>
      </c>
      <c r="F714">
        <v>100</v>
      </c>
      <c r="G714" t="s">
        <v>19</v>
      </c>
      <c r="H714" t="s">
        <v>24</v>
      </c>
      <c r="I714">
        <v>0</v>
      </c>
      <c r="J714">
        <v>0</v>
      </c>
      <c r="K714">
        <v>5.5</v>
      </c>
      <c r="L714">
        <v>25974</v>
      </c>
      <c r="M714" t="s">
        <v>88</v>
      </c>
      <c r="N714" t="str">
        <f>IF(ISNUMBER(SEARCH("Streaming", M714)), "streaming", "cinema")</f>
        <v>streaming</v>
      </c>
      <c r="O714" t="str">
        <f>IF(I714=1, "non-original", "original")</f>
        <v>original</v>
      </c>
      <c r="P714" t="str">
        <f>IF(J714 = 1, "franchise", "non-franchise")</f>
        <v>non-franchise</v>
      </c>
      <c r="Q714" t="str">
        <f>IF(OR(I714 = 1,J714 =1), "old", "new")</f>
        <v>new</v>
      </c>
      <c r="R714">
        <f t="shared" si="22"/>
        <v>0.4085148148701464</v>
      </c>
      <c r="S714">
        <f>IF(Q714="new",1.5,1)*(K714/10)*(1-(MIN(F714,180)/180))</f>
        <v>0.3666666666666667</v>
      </c>
      <c r="T714" t="str">
        <f t="shared" si="23"/>
        <v>Scenario 3: Strong Convenience</v>
      </c>
    </row>
    <row r="715" spans="1:20" x14ac:dyDescent="0.35">
      <c r="A715" t="s">
        <v>908</v>
      </c>
      <c r="B715" s="1">
        <v>45849</v>
      </c>
      <c r="C715">
        <v>2025</v>
      </c>
      <c r="D715">
        <v>7</v>
      </c>
      <c r="E715" t="s">
        <v>78</v>
      </c>
      <c r="F715">
        <v>115</v>
      </c>
      <c r="G715" t="s">
        <v>29</v>
      </c>
      <c r="H715" t="s">
        <v>27</v>
      </c>
      <c r="I715">
        <v>0</v>
      </c>
      <c r="J715">
        <v>0</v>
      </c>
      <c r="K715">
        <v>5.8</v>
      </c>
      <c r="L715">
        <v>5858</v>
      </c>
      <c r="M715" t="s">
        <v>17</v>
      </c>
      <c r="N715" t="str">
        <f>IF(ISNUMBER(SEARCH("Streaming", M715)), "streaming", "cinema")</f>
        <v>streaming</v>
      </c>
      <c r="O715" t="str">
        <f>IF(I715=1, "non-original", "original")</f>
        <v>original</v>
      </c>
      <c r="P715" t="str">
        <f>IF(J715 = 1, "franchise", "non-franchise")</f>
        <v>non-franchise</v>
      </c>
      <c r="Q715" t="str">
        <f>IF(OR(I715 = 1,J715 =1), "old", "new")</f>
        <v>new</v>
      </c>
      <c r="R715">
        <f t="shared" si="22"/>
        <v>0.40096116859512548</v>
      </c>
      <c r="S715">
        <f>IF(Q715="new",1.5,1)*(K715/10)*(1-(MIN(F715,180)/180))</f>
        <v>0.31416666666666665</v>
      </c>
      <c r="T715" t="str">
        <f t="shared" si="23"/>
        <v>Scenario 2: Weak Commitment/Convenience</v>
      </c>
    </row>
    <row r="716" spans="1:20" x14ac:dyDescent="0.35">
      <c r="A716" t="s">
        <v>909</v>
      </c>
      <c r="B716" s="1">
        <v>45849</v>
      </c>
      <c r="C716">
        <v>2025</v>
      </c>
      <c r="D716">
        <v>7</v>
      </c>
      <c r="E716" t="s">
        <v>78</v>
      </c>
      <c r="F716">
        <v>97</v>
      </c>
      <c r="G716" t="s">
        <v>21</v>
      </c>
      <c r="H716" t="s">
        <v>24</v>
      </c>
      <c r="I716">
        <v>0</v>
      </c>
      <c r="J716">
        <v>0</v>
      </c>
      <c r="K716">
        <v>5</v>
      </c>
      <c r="L716">
        <v>3348</v>
      </c>
      <c r="M716" t="s">
        <v>17</v>
      </c>
      <c r="N716" t="str">
        <f>IF(ISNUMBER(SEARCH("Streaming", M716)), "streaming", "cinema")</f>
        <v>streaming</v>
      </c>
      <c r="O716" t="str">
        <f>IF(I716=1, "non-original", "original")</f>
        <v>original</v>
      </c>
      <c r="P716" t="str">
        <f>IF(J716 = 1, "franchise", "non-franchise")</f>
        <v>non-franchise</v>
      </c>
      <c r="Q716" t="str">
        <f>IF(OR(I716 = 1,J716 =1), "old", "new")</f>
        <v>new</v>
      </c>
      <c r="R716">
        <f t="shared" si="22"/>
        <v>0.31639301744849008</v>
      </c>
      <c r="S716">
        <f>IF(Q716="new",1.5,1)*(K716/10)*(1-(MIN(F716,180)/180))</f>
        <v>0.34583333333333333</v>
      </c>
      <c r="T716" t="str">
        <f t="shared" si="23"/>
        <v>Scenario 3: Strong Convenience</v>
      </c>
    </row>
    <row r="717" spans="1:20" x14ac:dyDescent="0.35">
      <c r="A717" t="s">
        <v>910</v>
      </c>
      <c r="B717" s="1">
        <v>45849</v>
      </c>
      <c r="C717">
        <v>2025</v>
      </c>
      <c r="D717">
        <v>7</v>
      </c>
      <c r="E717" t="s">
        <v>78</v>
      </c>
      <c r="F717">
        <v>104</v>
      </c>
      <c r="G717" t="s">
        <v>21</v>
      </c>
      <c r="H717" t="s">
        <v>27</v>
      </c>
      <c r="I717">
        <v>0</v>
      </c>
      <c r="J717">
        <v>0</v>
      </c>
      <c r="K717">
        <v>5.0999999999999996</v>
      </c>
      <c r="L717">
        <v>3528</v>
      </c>
      <c r="M717" t="s">
        <v>17</v>
      </c>
      <c r="N717" t="str">
        <f>IF(ISNUMBER(SEARCH("Streaming", M717)), "streaming", "cinema")</f>
        <v>streaming</v>
      </c>
      <c r="O717" t="str">
        <f>IF(I717=1, "non-original", "original")</f>
        <v>original</v>
      </c>
      <c r="P717" t="str">
        <f>IF(J717 = 1, "franchise", "non-franchise")</f>
        <v>non-franchise</v>
      </c>
      <c r="Q717" t="str">
        <f>IF(OR(I717 = 1,J717 =1), "old", "new")</f>
        <v>new</v>
      </c>
      <c r="R717">
        <f t="shared" si="22"/>
        <v>0.34141430277773915</v>
      </c>
      <c r="S717">
        <f>IF(Q717="new",1.5,1)*(K717/10)*(1-(MIN(F717,180)/180))</f>
        <v>0.32300000000000006</v>
      </c>
      <c r="T717" t="str">
        <f t="shared" si="23"/>
        <v>Scenario 3: Strong Convenience</v>
      </c>
    </row>
    <row r="718" spans="1:20" x14ac:dyDescent="0.35">
      <c r="A718" t="s">
        <v>911</v>
      </c>
      <c r="B718" s="1">
        <v>45856</v>
      </c>
      <c r="C718">
        <v>2025</v>
      </c>
      <c r="D718">
        <v>7</v>
      </c>
      <c r="E718" t="s">
        <v>78</v>
      </c>
      <c r="F718">
        <v>81</v>
      </c>
      <c r="G718" t="s">
        <v>21</v>
      </c>
      <c r="H718" t="s">
        <v>56</v>
      </c>
      <c r="I718">
        <v>0</v>
      </c>
      <c r="J718">
        <v>0</v>
      </c>
      <c r="K718">
        <v>4.7</v>
      </c>
      <c r="L718">
        <v>1246</v>
      </c>
      <c r="M718" t="s">
        <v>17</v>
      </c>
      <c r="N718" t="str">
        <f>IF(ISNUMBER(SEARCH("Streaming", M718)), "streaming", "cinema")</f>
        <v>streaming</v>
      </c>
      <c r="O718" t="str">
        <f>IF(I718=1, "non-original", "original")</f>
        <v>original</v>
      </c>
      <c r="P718" t="str">
        <f>IF(J718 = 1, "franchise", "non-franchise")</f>
        <v>non-franchise</v>
      </c>
      <c r="Q718" t="str">
        <f>IF(OR(I718 = 1,J718 =1), "old", "new")</f>
        <v>new</v>
      </c>
      <c r="R718">
        <f t="shared" si="22"/>
        <v>0.23202823030814929</v>
      </c>
      <c r="S718">
        <f>IF(Q718="new",1.5,1)*(K718/10)*(1-(MIN(F718,180)/180))</f>
        <v>0.38775000000000009</v>
      </c>
      <c r="T718" t="str">
        <f t="shared" si="23"/>
        <v>Scenario 3: Strong Convenience</v>
      </c>
    </row>
    <row r="719" spans="1:20" x14ac:dyDescent="0.35">
      <c r="A719" t="s">
        <v>912</v>
      </c>
      <c r="B719" s="1">
        <v>45856</v>
      </c>
      <c r="C719">
        <v>2025</v>
      </c>
      <c r="D719">
        <v>7</v>
      </c>
      <c r="E719" t="s">
        <v>78</v>
      </c>
      <c r="F719">
        <v>118</v>
      </c>
      <c r="G719" t="s">
        <v>913</v>
      </c>
      <c r="H719" t="s">
        <v>24</v>
      </c>
      <c r="I719">
        <v>0</v>
      </c>
      <c r="J719">
        <v>0</v>
      </c>
      <c r="K719">
        <v>5.9</v>
      </c>
      <c r="L719">
        <v>7940</v>
      </c>
      <c r="M719" t="s">
        <v>17</v>
      </c>
      <c r="N719" t="str">
        <f>IF(ISNUMBER(SEARCH("Streaming", M719)), "streaming", "cinema")</f>
        <v>streaming</v>
      </c>
      <c r="O719" t="str">
        <f>IF(I719=1, "non-original", "original")</f>
        <v>original</v>
      </c>
      <c r="P719" t="str">
        <f>IF(J719 = 1, "franchise", "non-franchise")</f>
        <v>non-franchise</v>
      </c>
      <c r="Q719" t="str">
        <f>IF(OR(I719 = 1,J719 =1), "old", "new")</f>
        <v>new</v>
      </c>
      <c r="R719">
        <f t="shared" si="22"/>
        <v>0.42584259000403685</v>
      </c>
      <c r="S719">
        <f>IF(Q719="new",1.5,1)*(K719/10)*(1-(MIN(F719,180)/180))</f>
        <v>0.30483333333333335</v>
      </c>
      <c r="T719" t="str">
        <f t="shared" si="23"/>
        <v>Scenario 2: Weak Commitment/Convenience</v>
      </c>
    </row>
    <row r="720" spans="1:20" x14ac:dyDescent="0.35">
      <c r="A720" t="s">
        <v>914</v>
      </c>
      <c r="B720" s="1">
        <v>45862</v>
      </c>
      <c r="C720">
        <v>2025</v>
      </c>
      <c r="D720">
        <v>7</v>
      </c>
      <c r="E720" t="s">
        <v>78</v>
      </c>
      <c r="F720">
        <v>110</v>
      </c>
      <c r="G720" t="s">
        <v>103</v>
      </c>
      <c r="H720" t="s">
        <v>24</v>
      </c>
      <c r="I720">
        <v>0</v>
      </c>
      <c r="J720">
        <v>0</v>
      </c>
      <c r="K720">
        <v>4.4000000000000004</v>
      </c>
      <c r="L720">
        <v>1271</v>
      </c>
      <c r="M720" t="s">
        <v>17</v>
      </c>
      <c r="N720" t="str">
        <f>IF(ISNUMBER(SEARCH("Streaming", M720)), "streaming", "cinema")</f>
        <v>streaming</v>
      </c>
      <c r="O720" t="str">
        <f>IF(I720=1, "non-original", "original")</f>
        <v>original</v>
      </c>
      <c r="P720" t="str">
        <f>IF(J720 = 1, "franchise", "non-franchise")</f>
        <v>non-franchise</v>
      </c>
      <c r="Q720" t="str">
        <f>IF(OR(I720 = 1,J720 =1), "old", "new")</f>
        <v>new</v>
      </c>
      <c r="R720">
        <f t="shared" si="22"/>
        <v>0.3159782802155035</v>
      </c>
      <c r="S720">
        <f>IF(Q720="new",1.5,1)*(K720/10)*(1-(MIN(F720,180)/180))</f>
        <v>0.25666666666666671</v>
      </c>
      <c r="T720" t="str">
        <f t="shared" si="23"/>
        <v>Scenario 2: Weak Commitment/Convenience</v>
      </c>
    </row>
    <row r="721" spans="1:20" x14ac:dyDescent="0.35">
      <c r="A721" t="s">
        <v>915</v>
      </c>
      <c r="B721" s="1">
        <v>45863</v>
      </c>
      <c r="C721">
        <v>2025</v>
      </c>
      <c r="D721">
        <v>7</v>
      </c>
      <c r="E721" t="s">
        <v>78</v>
      </c>
      <c r="F721">
        <v>117</v>
      </c>
      <c r="G721" t="s">
        <v>53</v>
      </c>
      <c r="H721" t="s">
        <v>27</v>
      </c>
      <c r="I721">
        <v>0</v>
      </c>
      <c r="J721">
        <v>1</v>
      </c>
      <c r="K721">
        <v>6.1</v>
      </c>
      <c r="L721">
        <v>115030</v>
      </c>
      <c r="M721" t="s">
        <v>88</v>
      </c>
      <c r="N721" t="str">
        <f>IF(ISNUMBER(SEARCH("Streaming", M721)), "streaming", "cinema")</f>
        <v>streaming</v>
      </c>
      <c r="O721" t="str">
        <f>IF(I721=1, "non-original", "original")</f>
        <v>original</v>
      </c>
      <c r="P721" t="str">
        <f>IF(J721 = 1, "franchise", "non-franchise")</f>
        <v>franchise</v>
      </c>
      <c r="Q721" t="str">
        <f>IF(OR(I721 = 1,J721 =1), "old", "new")</f>
        <v>old</v>
      </c>
      <c r="R721">
        <f t="shared" si="22"/>
        <v>0.82190139722033162</v>
      </c>
      <c r="S721">
        <f>IF(Q721="new",1.5,1)*(K721/10)*(1-(MIN(F721,180)/180))</f>
        <v>0.2135</v>
      </c>
      <c r="T721" t="str">
        <f t="shared" si="23"/>
        <v>Scenario 1: Strong Commitment</v>
      </c>
    </row>
    <row r="722" spans="1:20" x14ac:dyDescent="0.35">
      <c r="A722" t="s">
        <v>916</v>
      </c>
      <c r="B722" s="1">
        <v>45869</v>
      </c>
      <c r="C722">
        <v>2025</v>
      </c>
      <c r="D722">
        <v>7</v>
      </c>
      <c r="E722" t="s">
        <v>78</v>
      </c>
      <c r="F722">
        <v>122</v>
      </c>
      <c r="G722" t="s">
        <v>19</v>
      </c>
      <c r="H722" t="s">
        <v>24</v>
      </c>
      <c r="I722">
        <v>0</v>
      </c>
      <c r="J722">
        <v>0</v>
      </c>
      <c r="K722">
        <v>5.6</v>
      </c>
      <c r="L722">
        <v>1661</v>
      </c>
      <c r="M722" t="s">
        <v>17</v>
      </c>
      <c r="N722" t="str">
        <f>IF(ISNUMBER(SEARCH("Streaming", M722)), "streaming", "cinema")</f>
        <v>streaming</v>
      </c>
      <c r="O722" t="str">
        <f>IF(I722=1, "non-original", "original")</f>
        <v>original</v>
      </c>
      <c r="P722" t="str">
        <f>IF(J722 = 1, "franchise", "non-franchise")</f>
        <v>non-franchise</v>
      </c>
      <c r="Q722" t="str">
        <f>IF(OR(I722 = 1,J722 =1), "old", "new")</f>
        <v>new</v>
      </c>
      <c r="R722">
        <f t="shared" si="22"/>
        <v>0.36356998515482614</v>
      </c>
      <c r="S722">
        <f>IF(Q722="new",1.5,1)*(K722/10)*(1-(MIN(F722,180)/180))</f>
        <v>0.27066666666666661</v>
      </c>
      <c r="T722" t="str">
        <f t="shared" si="23"/>
        <v>Scenario 2: Weak Commitment/Convenience</v>
      </c>
    </row>
    <row r="723" spans="1:20" x14ac:dyDescent="0.35">
      <c r="A723" t="s">
        <v>917</v>
      </c>
      <c r="B723" s="1">
        <v>45870</v>
      </c>
      <c r="C723">
        <v>2025</v>
      </c>
      <c r="D723">
        <v>8</v>
      </c>
      <c r="E723" t="s">
        <v>78</v>
      </c>
      <c r="F723">
        <v>112</v>
      </c>
      <c r="G723" t="s">
        <v>918</v>
      </c>
      <c r="H723" t="s">
        <v>27</v>
      </c>
      <c r="I723">
        <v>0</v>
      </c>
      <c r="J723">
        <v>0</v>
      </c>
      <c r="K723">
        <v>5.9</v>
      </c>
      <c r="L723">
        <v>27925</v>
      </c>
      <c r="M723" t="s">
        <v>88</v>
      </c>
      <c r="N723" t="str">
        <f>IF(ISNUMBER(SEARCH("Streaming", M723)), "streaming", "cinema")</f>
        <v>streaming</v>
      </c>
      <c r="O723" t="str">
        <f>IF(I723=1, "non-original", "original")</f>
        <v>original</v>
      </c>
      <c r="P723" t="str">
        <f>IF(J723 = 1, "franchise", "non-franchise")</f>
        <v>non-franchise</v>
      </c>
      <c r="Q723" t="str">
        <f>IF(OR(I723 = 1,J723 =1), "old", "new")</f>
        <v>new</v>
      </c>
      <c r="R723">
        <f t="shared" si="22"/>
        <v>0.46079661927111842</v>
      </c>
      <c r="S723">
        <f>IF(Q723="new",1.5,1)*(K723/10)*(1-(MIN(F723,180)/180))</f>
        <v>0.33433333333333337</v>
      </c>
      <c r="T723" t="str">
        <f t="shared" si="23"/>
        <v>Scenario 3: Strong Convenience</v>
      </c>
    </row>
    <row r="724" spans="1:20" x14ac:dyDescent="0.35">
      <c r="A724" t="s">
        <v>919</v>
      </c>
      <c r="B724" s="1">
        <v>45882</v>
      </c>
      <c r="C724">
        <v>2025</v>
      </c>
      <c r="D724">
        <v>8</v>
      </c>
      <c r="E724" t="s">
        <v>78</v>
      </c>
      <c r="F724">
        <v>86</v>
      </c>
      <c r="G724" t="s">
        <v>920</v>
      </c>
      <c r="H724" t="s">
        <v>24</v>
      </c>
      <c r="I724">
        <v>0</v>
      </c>
      <c r="J724">
        <v>0</v>
      </c>
      <c r="K724">
        <v>5.2</v>
      </c>
      <c r="L724">
        <v>5048</v>
      </c>
      <c r="M724" t="s">
        <v>17</v>
      </c>
      <c r="N724" t="str">
        <f>IF(ISNUMBER(SEARCH("Streaming", M724)), "streaming", "cinema")</f>
        <v>streaming</v>
      </c>
      <c r="O724" t="str">
        <f>IF(I724=1, "non-original", "original")</f>
        <v>original</v>
      </c>
      <c r="P724" t="str">
        <f>IF(J724 = 1, "franchise", "non-franchise")</f>
        <v>non-franchise</v>
      </c>
      <c r="Q724" t="str">
        <f>IF(OR(I724 = 1,J724 =1), "old", "new")</f>
        <v>new</v>
      </c>
      <c r="R724">
        <f t="shared" si="22"/>
        <v>0.29470576349187982</v>
      </c>
      <c r="S724">
        <f>IF(Q724="new",1.5,1)*(K724/10)*(1-(MIN(F724,180)/180))</f>
        <v>0.40733333333333327</v>
      </c>
      <c r="T724" t="str">
        <f t="shared" si="23"/>
        <v>Scenario 3: Strong Convenience</v>
      </c>
    </row>
    <row r="725" spans="1:20" x14ac:dyDescent="0.35">
      <c r="A725" t="s">
        <v>921</v>
      </c>
      <c r="B725" s="1">
        <v>45884</v>
      </c>
      <c r="C725">
        <v>2025</v>
      </c>
      <c r="D725">
        <v>8</v>
      </c>
      <c r="E725" t="s">
        <v>78</v>
      </c>
      <c r="F725">
        <v>110</v>
      </c>
      <c r="G725" t="s">
        <v>43</v>
      </c>
      <c r="H725" t="s">
        <v>24</v>
      </c>
      <c r="I725">
        <v>0</v>
      </c>
      <c r="J725">
        <v>0</v>
      </c>
      <c r="K725">
        <v>5.9</v>
      </c>
      <c r="L725">
        <v>15259</v>
      </c>
      <c r="M725" t="s">
        <v>17</v>
      </c>
      <c r="N725" t="str">
        <f>IF(ISNUMBER(SEARCH("Streaming", M725)), "streaming", "cinema")</f>
        <v>streaming</v>
      </c>
      <c r="O725" t="str">
        <f>IF(I725=1, "non-original", "original")</f>
        <v>original</v>
      </c>
      <c r="P725" t="str">
        <f>IF(J725 = 1, "franchise", "non-franchise")</f>
        <v>non-franchise</v>
      </c>
      <c r="Q725" t="str">
        <f>IF(OR(I725 = 1,J725 =1), "old", "new")</f>
        <v>new</v>
      </c>
      <c r="R725">
        <f t="shared" si="22"/>
        <v>0.42585096357810853</v>
      </c>
      <c r="S725">
        <f>IF(Q725="new",1.5,1)*(K725/10)*(1-(MIN(F725,180)/180))</f>
        <v>0.34416666666666668</v>
      </c>
      <c r="T725" t="str">
        <f t="shared" si="23"/>
        <v>Scenario 3: Strong Convenience</v>
      </c>
    </row>
    <row r="726" spans="1:20" x14ac:dyDescent="0.35">
      <c r="A726" t="s">
        <v>922</v>
      </c>
      <c r="B726" s="1">
        <v>45890</v>
      </c>
      <c r="C726">
        <v>2025</v>
      </c>
      <c r="D726">
        <v>8</v>
      </c>
      <c r="E726" t="s">
        <v>78</v>
      </c>
      <c r="F726">
        <v>105</v>
      </c>
      <c r="G726" t="s">
        <v>397</v>
      </c>
      <c r="H726" t="s">
        <v>24</v>
      </c>
      <c r="I726">
        <v>0</v>
      </c>
      <c r="J726">
        <v>0</v>
      </c>
      <c r="K726">
        <v>4.8</v>
      </c>
      <c r="L726">
        <v>5436</v>
      </c>
      <c r="M726" t="s">
        <v>88</v>
      </c>
      <c r="N726" t="str">
        <f>IF(ISNUMBER(SEARCH("Streaming", M726)), "streaming", "cinema")</f>
        <v>streaming</v>
      </c>
      <c r="O726" t="str">
        <f>IF(I726=1, "non-original", "original")</f>
        <v>original</v>
      </c>
      <c r="P726" t="str">
        <f>IF(J726 = 1, "franchise", "non-franchise")</f>
        <v>non-franchise</v>
      </c>
      <c r="Q726" t="str">
        <f>IF(OR(I726 = 1,J726 =1), "old", "new")</f>
        <v>new</v>
      </c>
      <c r="R726">
        <f t="shared" si="22"/>
        <v>0.362940026415907</v>
      </c>
      <c r="S726">
        <f>IF(Q726="new",1.5,1)*(K726/10)*(1-(MIN(F726,180)/180))</f>
        <v>0.3</v>
      </c>
      <c r="T726" t="str">
        <f t="shared" si="23"/>
        <v>Scenario 2: Weak Commitment/Convenience</v>
      </c>
    </row>
    <row r="727" spans="1:20" x14ac:dyDescent="0.35">
      <c r="A727" t="s">
        <v>923</v>
      </c>
      <c r="B727" s="1">
        <v>45890</v>
      </c>
      <c r="C727">
        <v>2025</v>
      </c>
      <c r="D727">
        <v>8</v>
      </c>
      <c r="E727" t="s">
        <v>78</v>
      </c>
      <c r="F727">
        <v>120</v>
      </c>
      <c r="G727" t="s">
        <v>924</v>
      </c>
      <c r="H727" t="s">
        <v>24</v>
      </c>
      <c r="I727">
        <v>0</v>
      </c>
      <c r="J727">
        <v>0</v>
      </c>
      <c r="K727">
        <v>4.0999999999999996</v>
      </c>
      <c r="L727">
        <v>357</v>
      </c>
      <c r="M727" t="s">
        <v>17</v>
      </c>
      <c r="N727" t="str">
        <f>IF(ISNUMBER(SEARCH("Streaming", M727)), "streaming", "cinema")</f>
        <v>streaming</v>
      </c>
      <c r="O727" t="str">
        <f>IF(I727=1, "non-original", "original")</f>
        <v>original</v>
      </c>
      <c r="P727" t="str">
        <f>IF(J727 = 1, "franchise", "non-franchise")</f>
        <v>non-franchise</v>
      </c>
      <c r="Q727" t="str">
        <f>IF(OR(I727 = 1,J727 =1), "old", "new")</f>
        <v>new</v>
      </c>
      <c r="R727">
        <f t="shared" si="22"/>
        <v>0.28346411412568884</v>
      </c>
      <c r="S727">
        <f>IF(Q727="new",1.5,1)*(K727/10)*(1-(MIN(F727,180)/180))</f>
        <v>0.20500000000000002</v>
      </c>
      <c r="T727" t="str">
        <f t="shared" si="23"/>
        <v>Scenario 2: Weak Commitment/Convenience</v>
      </c>
    </row>
    <row r="728" spans="1:20" x14ac:dyDescent="0.35">
      <c r="A728" t="s">
        <v>925</v>
      </c>
      <c r="B728" s="1">
        <v>45890</v>
      </c>
      <c r="C728">
        <v>2025</v>
      </c>
      <c r="D728">
        <v>8</v>
      </c>
      <c r="E728" t="s">
        <v>78</v>
      </c>
      <c r="F728">
        <v>112</v>
      </c>
      <c r="G728" t="s">
        <v>29</v>
      </c>
      <c r="H728" t="s">
        <v>30</v>
      </c>
      <c r="I728">
        <v>0</v>
      </c>
      <c r="J728">
        <v>0</v>
      </c>
      <c r="K728">
        <v>4.7</v>
      </c>
      <c r="L728">
        <v>154</v>
      </c>
      <c r="M728" t="s">
        <v>17</v>
      </c>
      <c r="N728" t="str">
        <f>IF(ISNUMBER(SEARCH("Streaming", M728)), "streaming", "cinema")</f>
        <v>streaming</v>
      </c>
      <c r="O728" t="str">
        <f>IF(I728=1, "non-original", "original")</f>
        <v>original</v>
      </c>
      <c r="P728" t="str">
        <f>IF(J728 = 1, "franchise", "non-franchise")</f>
        <v>non-franchise</v>
      </c>
      <c r="Q728" t="str">
        <f>IF(OR(I728 = 1,J728 =1), "old", "new")</f>
        <v>new</v>
      </c>
      <c r="R728">
        <f t="shared" si="22"/>
        <v>0.22672147966310294</v>
      </c>
      <c r="S728">
        <f>IF(Q728="new",1.5,1)*(K728/10)*(1-(MIN(F728,180)/180))</f>
        <v>0.26633333333333337</v>
      </c>
      <c r="T728" t="str">
        <f t="shared" si="23"/>
        <v>Scenario 2: Weak Commitment/Convenience</v>
      </c>
    </row>
    <row r="729" spans="1:20" x14ac:dyDescent="0.35">
      <c r="A729" t="s">
        <v>926</v>
      </c>
      <c r="B729" s="1">
        <v>45891</v>
      </c>
      <c r="C729">
        <v>2025</v>
      </c>
      <c r="D729">
        <v>8</v>
      </c>
      <c r="E729" t="s">
        <v>78</v>
      </c>
      <c r="F729">
        <v>91</v>
      </c>
      <c r="G729" t="s">
        <v>34</v>
      </c>
      <c r="H729" t="s">
        <v>30</v>
      </c>
      <c r="I729">
        <v>0</v>
      </c>
      <c r="J729">
        <v>0</v>
      </c>
      <c r="K729">
        <v>5.8</v>
      </c>
      <c r="L729">
        <v>3833</v>
      </c>
      <c r="M729" t="s">
        <v>88</v>
      </c>
      <c r="N729" t="str">
        <f>IF(ISNUMBER(SEARCH("Streaming", M729)), "streaming", "cinema")</f>
        <v>streaming</v>
      </c>
      <c r="O729" t="str">
        <f>IF(I729=1, "non-original", "original")</f>
        <v>original</v>
      </c>
      <c r="P729" t="str">
        <f>IF(J729 = 1, "franchise", "non-franchise")</f>
        <v>non-franchise</v>
      </c>
      <c r="Q729" t="str">
        <f>IF(OR(I729 = 1,J729 =1), "old", "new")</f>
        <v>new</v>
      </c>
      <c r="R729">
        <f t="shared" si="22"/>
        <v>0.30176993883145337</v>
      </c>
      <c r="S729">
        <f>IF(Q729="new",1.5,1)*(K729/10)*(1-(MIN(F729,180)/180))</f>
        <v>0.43016666666666664</v>
      </c>
      <c r="T729" t="str">
        <f t="shared" si="23"/>
        <v>Scenario 3: Strong Convenience</v>
      </c>
    </row>
    <row r="730" spans="1:20" x14ac:dyDescent="0.35">
      <c r="A730" t="s">
        <v>927</v>
      </c>
      <c r="B730" s="1">
        <v>45896</v>
      </c>
      <c r="C730">
        <v>2025</v>
      </c>
      <c r="D730">
        <v>8</v>
      </c>
      <c r="E730" t="s">
        <v>78</v>
      </c>
      <c r="F730">
        <v>98</v>
      </c>
      <c r="G730" t="s">
        <v>21</v>
      </c>
      <c r="H730" t="s">
        <v>30</v>
      </c>
      <c r="I730">
        <v>0</v>
      </c>
      <c r="J730">
        <v>0</v>
      </c>
      <c r="K730">
        <v>4.9000000000000004</v>
      </c>
      <c r="L730">
        <v>795</v>
      </c>
      <c r="M730" t="s">
        <v>17</v>
      </c>
      <c r="N730" t="str">
        <f>IF(ISNUMBER(SEARCH("Streaming", M730)), "streaming", "cinema")</f>
        <v>streaming</v>
      </c>
      <c r="O730" t="str">
        <f>IF(I730=1, "non-original", "original")</f>
        <v>original</v>
      </c>
      <c r="P730" t="str">
        <f>IF(J730 = 1, "franchise", "non-franchise")</f>
        <v>non-franchise</v>
      </c>
      <c r="Q730" t="str">
        <f>IF(OR(I730 = 1,J730 =1), "old", "new")</f>
        <v>new</v>
      </c>
      <c r="R730">
        <f t="shared" si="22"/>
        <v>0.26302771929095359</v>
      </c>
      <c r="S730">
        <f>IF(Q730="new",1.5,1)*(K730/10)*(1-(MIN(F730,180)/180))</f>
        <v>0.33483333333333343</v>
      </c>
      <c r="T730" t="str">
        <f t="shared" si="23"/>
        <v>Scenario 3: Strong Convenience</v>
      </c>
    </row>
    <row r="731" spans="1:20" x14ac:dyDescent="0.35">
      <c r="A731" t="s">
        <v>928</v>
      </c>
      <c r="B731" s="1">
        <v>45896</v>
      </c>
      <c r="C731">
        <v>2025</v>
      </c>
      <c r="D731">
        <v>8</v>
      </c>
      <c r="E731" t="s">
        <v>78</v>
      </c>
      <c r="F731">
        <v>100</v>
      </c>
      <c r="G731" t="s">
        <v>21</v>
      </c>
      <c r="H731" t="s">
        <v>30</v>
      </c>
      <c r="I731">
        <v>0</v>
      </c>
      <c r="J731">
        <v>0</v>
      </c>
      <c r="K731">
        <v>3.9</v>
      </c>
      <c r="L731">
        <v>485</v>
      </c>
      <c r="M731" t="s">
        <v>17</v>
      </c>
      <c r="N731" t="str">
        <f>IF(ISNUMBER(SEARCH("Streaming", M731)), "streaming", "cinema")</f>
        <v>streaming</v>
      </c>
      <c r="O731" t="str">
        <f>IF(I731=1, "non-original", "original")</f>
        <v>original</v>
      </c>
      <c r="P731" t="str">
        <f>IF(J731 = 1, "franchise", "non-franchise")</f>
        <v>non-franchise</v>
      </c>
      <c r="Q731" t="str">
        <f>IF(OR(I731 = 1,J731 =1), "old", "new")</f>
        <v>new</v>
      </c>
      <c r="R731">
        <f t="shared" si="22"/>
        <v>0.2485345196508352</v>
      </c>
      <c r="S731">
        <f>IF(Q731="new",1.5,1)*(K731/10)*(1-(MIN(F731,180)/180))</f>
        <v>0.25999999999999995</v>
      </c>
      <c r="T731" t="str">
        <f t="shared" si="23"/>
        <v>Scenario 2: Weak Commitment/Convenience</v>
      </c>
    </row>
    <row r="732" spans="1:20" x14ac:dyDescent="0.35">
      <c r="A732" t="s">
        <v>929</v>
      </c>
      <c r="B732" s="1">
        <v>45897</v>
      </c>
      <c r="C732">
        <v>2025</v>
      </c>
      <c r="D732">
        <v>8</v>
      </c>
      <c r="E732" t="s">
        <v>78</v>
      </c>
      <c r="F732">
        <v>120</v>
      </c>
      <c r="G732" t="s">
        <v>479</v>
      </c>
      <c r="H732" t="s">
        <v>27</v>
      </c>
      <c r="I732">
        <v>0</v>
      </c>
      <c r="J732">
        <v>0</v>
      </c>
      <c r="K732">
        <v>6.5</v>
      </c>
      <c r="L732">
        <v>82620</v>
      </c>
      <c r="M732" t="s">
        <v>88</v>
      </c>
      <c r="N732" t="str">
        <f>IF(ISNUMBER(SEARCH("Streaming", M732)), "streaming", "cinema")</f>
        <v>streaming</v>
      </c>
      <c r="O732" t="str">
        <f>IF(I732=1, "non-original", "original")</f>
        <v>original</v>
      </c>
      <c r="P732" t="str">
        <f>IF(J732 = 1, "franchise", "non-franchise")</f>
        <v>non-franchise</v>
      </c>
      <c r="Q732" t="str">
        <f>IF(OR(I732 = 1,J732 =1), "old", "new")</f>
        <v>new</v>
      </c>
      <c r="R732">
        <f t="shared" si="22"/>
        <v>0.54602364257439873</v>
      </c>
      <c r="S732">
        <f>IF(Q732="new",1.5,1)*(K732/10)*(1-(MIN(F732,180)/180))</f>
        <v>0.32500000000000007</v>
      </c>
      <c r="T732" t="str">
        <f t="shared" si="23"/>
        <v>Scenario 4: Hybrid Logic</v>
      </c>
    </row>
    <row r="733" spans="1:20" x14ac:dyDescent="0.35">
      <c r="A733" t="s">
        <v>930</v>
      </c>
      <c r="B733" s="1">
        <v>45898</v>
      </c>
      <c r="C733">
        <v>2025</v>
      </c>
      <c r="D733">
        <v>8</v>
      </c>
      <c r="E733" t="s">
        <v>78</v>
      </c>
      <c r="F733">
        <v>121</v>
      </c>
      <c r="G733" t="s">
        <v>931</v>
      </c>
      <c r="H733" t="s">
        <v>56</v>
      </c>
      <c r="I733">
        <v>0</v>
      </c>
      <c r="J733">
        <v>0</v>
      </c>
      <c r="K733">
        <v>7.1</v>
      </c>
      <c r="L733">
        <v>4483</v>
      </c>
      <c r="M733" t="s">
        <v>88</v>
      </c>
      <c r="N733" t="str">
        <f>IF(ISNUMBER(SEARCH("Streaming", M733)), "streaming", "cinema")</f>
        <v>streaming</v>
      </c>
      <c r="O733" t="str">
        <f>IF(I733=1, "non-original", "original")</f>
        <v>original</v>
      </c>
      <c r="P733" t="str">
        <f>IF(J733 = 1, "franchise", "non-franchise")</f>
        <v>non-franchise</v>
      </c>
      <c r="Q733" t="str">
        <f>IF(OR(I733 = 1,J733 =1), "old", "new")</f>
        <v>new</v>
      </c>
      <c r="R733">
        <f t="shared" si="22"/>
        <v>0.40887195221517247</v>
      </c>
      <c r="S733">
        <f>IF(Q733="new",1.5,1)*(K733/10)*(1-(MIN(F733,180)/180))</f>
        <v>0.34908333333333325</v>
      </c>
      <c r="T733" t="str">
        <f t="shared" si="23"/>
        <v>Scenario 3: Strong Convenience</v>
      </c>
    </row>
    <row r="734" spans="1:20" x14ac:dyDescent="0.35">
      <c r="A734" t="s">
        <v>932</v>
      </c>
      <c r="B734" s="1">
        <v>45905</v>
      </c>
      <c r="C734">
        <v>2025</v>
      </c>
      <c r="D734">
        <v>9</v>
      </c>
      <c r="E734" t="s">
        <v>125</v>
      </c>
      <c r="F734">
        <v>112</v>
      </c>
      <c r="G734" t="s">
        <v>21</v>
      </c>
      <c r="H734" t="s">
        <v>24</v>
      </c>
      <c r="I734">
        <v>0</v>
      </c>
      <c r="J734">
        <v>0</v>
      </c>
      <c r="K734">
        <v>5.8</v>
      </c>
      <c r="L734">
        <v>3108</v>
      </c>
      <c r="M734" t="s">
        <v>17</v>
      </c>
      <c r="N734" t="str">
        <f>IF(ISNUMBER(SEARCH("Streaming", M734)), "streaming", "cinema")</f>
        <v>streaming</v>
      </c>
      <c r="O734" t="str">
        <f>IF(I734=1, "non-original", "original")</f>
        <v>original</v>
      </c>
      <c r="P734" t="str">
        <f>IF(J734 = 1, "franchise", "non-franchise")</f>
        <v>non-franchise</v>
      </c>
      <c r="Q734" t="str">
        <f>IF(OR(I734 = 1,J734 =1), "old", "new")</f>
        <v>new</v>
      </c>
      <c r="R734">
        <f t="shared" si="22"/>
        <v>0.36197163975156837</v>
      </c>
      <c r="S734">
        <f>IF(Q734="new",1.5,1)*(K734/10)*(1-(MIN(F734,180)/180))</f>
        <v>0.32866666666666661</v>
      </c>
      <c r="T734" t="str">
        <f t="shared" si="23"/>
        <v>Scenario 3: Strong Convenience</v>
      </c>
    </row>
    <row r="735" spans="1:20" x14ac:dyDescent="0.35">
      <c r="A735" t="s">
        <v>933</v>
      </c>
      <c r="B735" s="1">
        <v>45911</v>
      </c>
      <c r="C735">
        <v>2025</v>
      </c>
      <c r="D735">
        <v>9</v>
      </c>
      <c r="E735" t="s">
        <v>125</v>
      </c>
      <c r="F735">
        <v>108</v>
      </c>
      <c r="G735" t="s">
        <v>21</v>
      </c>
      <c r="H735" t="s">
        <v>27</v>
      </c>
      <c r="I735">
        <v>0</v>
      </c>
      <c r="J735">
        <v>0</v>
      </c>
      <c r="K735">
        <v>5.9</v>
      </c>
      <c r="L735">
        <v>430</v>
      </c>
      <c r="M735" t="s">
        <v>17</v>
      </c>
      <c r="N735" t="str">
        <f>IF(ISNUMBER(SEARCH("Streaming", M735)), "streaming", "cinema")</f>
        <v>streaming</v>
      </c>
      <c r="O735" t="str">
        <f>IF(I735=1, "non-original", "original")</f>
        <v>original</v>
      </c>
      <c r="P735" t="str">
        <f>IF(J735 = 1, "franchise", "non-franchise")</f>
        <v>non-franchise</v>
      </c>
      <c r="Q735" t="str">
        <f>IF(OR(I735 = 1,J735 =1), "old", "new")</f>
        <v>new</v>
      </c>
      <c r="R735">
        <f t="shared" si="22"/>
        <v>0.26319300656243355</v>
      </c>
      <c r="S735">
        <f>IF(Q735="new",1.5,1)*(K735/10)*(1-(MIN(F735,180)/180))</f>
        <v>0.35400000000000009</v>
      </c>
      <c r="T735" t="str">
        <f t="shared" si="23"/>
        <v>Scenario 3: Strong Convenience</v>
      </c>
    </row>
    <row r="736" spans="1:20" x14ac:dyDescent="0.35">
      <c r="A736" t="s">
        <v>934</v>
      </c>
      <c r="B736" s="1">
        <v>45912</v>
      </c>
      <c r="C736">
        <v>2025</v>
      </c>
      <c r="D736">
        <v>9</v>
      </c>
      <c r="E736" t="s">
        <v>125</v>
      </c>
      <c r="F736">
        <v>107</v>
      </c>
      <c r="G736" t="s">
        <v>29</v>
      </c>
      <c r="H736" t="s">
        <v>16</v>
      </c>
      <c r="I736">
        <v>0</v>
      </c>
      <c r="J736">
        <v>0</v>
      </c>
      <c r="K736">
        <v>6.1</v>
      </c>
      <c r="L736">
        <v>13563</v>
      </c>
      <c r="M736" t="s">
        <v>88</v>
      </c>
      <c r="N736" t="str">
        <f>IF(ISNUMBER(SEARCH("Streaming", M736)), "streaming", "cinema")</f>
        <v>streaming</v>
      </c>
      <c r="O736" t="str">
        <f>IF(I736=1, "non-original", "original")</f>
        <v>original</v>
      </c>
      <c r="P736" t="str">
        <f>IF(J736 = 1, "franchise", "non-franchise")</f>
        <v>non-franchise</v>
      </c>
      <c r="Q736" t="str">
        <f>IF(OR(I736 = 1,J736 =1), "old", "new")</f>
        <v>new</v>
      </c>
      <c r="R736">
        <f t="shared" si="22"/>
        <v>0.40917015671244861</v>
      </c>
      <c r="S736">
        <f>IF(Q736="new",1.5,1)*(K736/10)*(1-(MIN(F736,180)/180))</f>
        <v>0.37108333333333338</v>
      </c>
      <c r="T736" t="str">
        <f t="shared" si="23"/>
        <v>Scenario 3: Strong Convenience</v>
      </c>
    </row>
    <row r="737" spans="1:20" x14ac:dyDescent="0.35">
      <c r="A737" t="s">
        <v>935</v>
      </c>
      <c r="B737" s="1">
        <v>45918</v>
      </c>
      <c r="C737">
        <v>2025</v>
      </c>
      <c r="D737">
        <v>9</v>
      </c>
      <c r="E737" t="s">
        <v>125</v>
      </c>
      <c r="F737">
        <v>119</v>
      </c>
      <c r="G737" t="s">
        <v>29</v>
      </c>
      <c r="H737" t="s">
        <v>27</v>
      </c>
      <c r="I737">
        <v>0</v>
      </c>
      <c r="J737">
        <v>0</v>
      </c>
      <c r="K737">
        <v>5.4</v>
      </c>
      <c r="L737">
        <v>236</v>
      </c>
      <c r="M737" t="s">
        <v>17</v>
      </c>
      <c r="N737" t="str">
        <f>IF(ISNUMBER(SEARCH("Streaming", M737)), "streaming", "cinema")</f>
        <v>streaming</v>
      </c>
      <c r="O737" t="str">
        <f>IF(I737=1, "non-original", "original")</f>
        <v>original</v>
      </c>
      <c r="P737" t="str">
        <f>IF(J737 = 1, "franchise", "non-franchise")</f>
        <v>non-franchise</v>
      </c>
      <c r="Q737" t="str">
        <f>IF(OR(I737 = 1,J737 =1), "old", "new")</f>
        <v>new</v>
      </c>
      <c r="R737">
        <f t="shared" si="22"/>
        <v>0.26130701186301392</v>
      </c>
      <c r="S737">
        <f>IF(Q737="new",1.5,1)*(K737/10)*(1-(MIN(F737,180)/180))</f>
        <v>0.27450000000000002</v>
      </c>
      <c r="T737" t="str">
        <f t="shared" si="23"/>
        <v>Scenario 2: Weak Commitment/Convenience</v>
      </c>
    </row>
    <row r="738" spans="1:20" x14ac:dyDescent="0.35">
      <c r="A738" t="s">
        <v>936</v>
      </c>
      <c r="B738" s="1">
        <v>45919</v>
      </c>
      <c r="C738">
        <v>2025</v>
      </c>
      <c r="D738">
        <v>9</v>
      </c>
      <c r="E738" t="s">
        <v>125</v>
      </c>
      <c r="F738">
        <v>107</v>
      </c>
      <c r="G738" t="s">
        <v>29</v>
      </c>
      <c r="H738" t="s">
        <v>27</v>
      </c>
      <c r="I738">
        <v>0</v>
      </c>
      <c r="J738">
        <v>0</v>
      </c>
      <c r="K738">
        <v>4.9000000000000004</v>
      </c>
      <c r="L738">
        <v>1839</v>
      </c>
      <c r="M738" t="s">
        <v>17</v>
      </c>
      <c r="N738" t="str">
        <f>IF(ISNUMBER(SEARCH("Streaming", M738)), "streaming", "cinema")</f>
        <v>streaming</v>
      </c>
      <c r="O738" t="str">
        <f>IF(I738=1, "non-original", "original")</f>
        <v>original</v>
      </c>
      <c r="P738" t="str">
        <f>IF(J738 = 1, "franchise", "non-franchise")</f>
        <v>non-franchise</v>
      </c>
      <c r="Q738" t="str">
        <f>IF(OR(I738 = 1,J738 =1), "old", "new")</f>
        <v>new</v>
      </c>
      <c r="R738">
        <f t="shared" si="22"/>
        <v>0.32324647120556255</v>
      </c>
      <c r="S738">
        <f>IF(Q738="new",1.5,1)*(K738/10)*(1-(MIN(F738,180)/180))</f>
        <v>0.29808333333333337</v>
      </c>
      <c r="T738" t="str">
        <f t="shared" si="23"/>
        <v>Scenario 2: Weak Commitment/Convenience</v>
      </c>
    </row>
    <row r="739" spans="1:20" x14ac:dyDescent="0.35">
      <c r="A739" t="s">
        <v>937</v>
      </c>
      <c r="B739" s="1">
        <v>45926</v>
      </c>
      <c r="C739">
        <v>2025</v>
      </c>
      <c r="D739">
        <v>9</v>
      </c>
      <c r="E739" t="s">
        <v>125</v>
      </c>
      <c r="F739">
        <v>122</v>
      </c>
      <c r="G739" t="s">
        <v>29</v>
      </c>
      <c r="H739" t="s">
        <v>24</v>
      </c>
      <c r="I739">
        <v>0</v>
      </c>
      <c r="J739">
        <v>0</v>
      </c>
      <c r="K739">
        <v>6.2</v>
      </c>
      <c r="L739">
        <v>6165</v>
      </c>
      <c r="M739" t="s">
        <v>88</v>
      </c>
      <c r="N739" t="str">
        <f>IF(ISNUMBER(SEARCH("Streaming", M739)), "streaming", "cinema")</f>
        <v>streaming</v>
      </c>
      <c r="O739" t="str">
        <f>IF(I739=1, "non-original", "original")</f>
        <v>original</v>
      </c>
      <c r="P739" t="str">
        <f>IF(J739 = 1, "franchise", "non-franchise")</f>
        <v>non-franchise</v>
      </c>
      <c r="Q739" t="str">
        <f>IF(OR(I739 = 1,J739 =1), "old", "new")</f>
        <v>new</v>
      </c>
      <c r="R739">
        <f t="shared" si="22"/>
        <v>0.42787197472212463</v>
      </c>
      <c r="S739">
        <f>IF(Q739="new",1.5,1)*(K739/10)*(1-(MIN(F739,180)/180))</f>
        <v>0.29966666666666664</v>
      </c>
      <c r="T739" t="str">
        <f t="shared" si="23"/>
        <v>Scenario 2: Weak Commitment/Convenience</v>
      </c>
    </row>
    <row r="740" spans="1:20" x14ac:dyDescent="0.35">
      <c r="A740" t="s">
        <v>938</v>
      </c>
      <c r="B740" s="1">
        <v>45926</v>
      </c>
      <c r="C740">
        <v>2025</v>
      </c>
      <c r="D740">
        <v>9</v>
      </c>
      <c r="E740" t="s">
        <v>125</v>
      </c>
      <c r="F740">
        <v>113</v>
      </c>
      <c r="G740" t="s">
        <v>58</v>
      </c>
      <c r="H740" t="s">
        <v>24</v>
      </c>
      <c r="I740">
        <v>0</v>
      </c>
      <c r="J740">
        <v>0</v>
      </c>
      <c r="K740">
        <v>5.3</v>
      </c>
      <c r="L740">
        <v>3789</v>
      </c>
      <c r="M740" t="s">
        <v>17</v>
      </c>
      <c r="N740" t="str">
        <f>IF(ISNUMBER(SEARCH("Streaming", M740)), "streaming", "cinema")</f>
        <v>streaming</v>
      </c>
      <c r="O740" t="str">
        <f>IF(I740=1, "non-original", "original")</f>
        <v>original</v>
      </c>
      <c r="P740" t="str">
        <f>IF(J740 = 1, "franchise", "non-franchise")</f>
        <v>non-franchise</v>
      </c>
      <c r="Q740" t="str">
        <f>IF(OR(I740 = 1,J740 =1), "old", "new")</f>
        <v>new</v>
      </c>
      <c r="R740">
        <f t="shared" si="22"/>
        <v>0.37420097978286709</v>
      </c>
      <c r="S740">
        <f>IF(Q740="new",1.5,1)*(K740/10)*(1-(MIN(F740,180)/180))</f>
        <v>0.29591666666666672</v>
      </c>
      <c r="T740" t="str">
        <f t="shared" si="23"/>
        <v>Scenario 2: Weak Commitment/Convenience</v>
      </c>
    </row>
    <row r="741" spans="1:20" x14ac:dyDescent="0.35">
      <c r="A741" t="s">
        <v>939</v>
      </c>
      <c r="B741" s="1">
        <v>45926</v>
      </c>
      <c r="C741">
        <v>2025</v>
      </c>
      <c r="D741">
        <v>9</v>
      </c>
      <c r="E741" t="s">
        <v>125</v>
      </c>
      <c r="F741">
        <v>93</v>
      </c>
      <c r="G741" t="s">
        <v>269</v>
      </c>
      <c r="H741" t="s">
        <v>30</v>
      </c>
      <c r="I741">
        <v>0</v>
      </c>
      <c r="J741">
        <v>0</v>
      </c>
      <c r="K741">
        <v>6</v>
      </c>
      <c r="L741">
        <v>2400</v>
      </c>
      <c r="M741" t="s">
        <v>17</v>
      </c>
      <c r="N741" t="str">
        <f>IF(ISNUMBER(SEARCH("Streaming", M741)), "streaming", "cinema")</f>
        <v>streaming</v>
      </c>
      <c r="O741" t="str">
        <f>IF(I741=1, "non-original", "original")</f>
        <v>original</v>
      </c>
      <c r="P741" t="str">
        <f>IF(J741 = 1, "franchise", "non-franchise")</f>
        <v>non-franchise</v>
      </c>
      <c r="Q741" t="str">
        <f>IF(OR(I741 = 1,J741 =1), "old", "new")</f>
        <v>new</v>
      </c>
      <c r="R741">
        <f t="shared" si="22"/>
        <v>0.29090370963008294</v>
      </c>
      <c r="S741">
        <f>IF(Q741="new",1.5,1)*(K741/10)*(1-(MIN(F741,180)/180))</f>
        <v>0.43499999999999989</v>
      </c>
      <c r="T741" t="str">
        <f t="shared" si="23"/>
        <v>Scenario 3: Strong Convenience</v>
      </c>
    </row>
    <row r="742" spans="1:20" x14ac:dyDescent="0.35">
      <c r="A742" t="s">
        <v>940</v>
      </c>
      <c r="B742" s="1">
        <v>45933</v>
      </c>
      <c r="C742">
        <v>2025</v>
      </c>
      <c r="D742">
        <v>10</v>
      </c>
      <c r="E742" t="s">
        <v>125</v>
      </c>
      <c r="F742">
        <v>93</v>
      </c>
      <c r="G742" t="s">
        <v>34</v>
      </c>
      <c r="H742" t="s">
        <v>24</v>
      </c>
      <c r="I742">
        <v>0</v>
      </c>
      <c r="J742">
        <v>0</v>
      </c>
      <c r="K742">
        <v>6.4</v>
      </c>
      <c r="L742">
        <v>17836</v>
      </c>
      <c r="M742" t="s">
        <v>17</v>
      </c>
      <c r="N742" t="str">
        <f>IF(ISNUMBER(SEARCH("Streaming", M742)), "streaming", "cinema")</f>
        <v>streaming</v>
      </c>
      <c r="O742" t="str">
        <f>IF(I742=1, "non-original", "original")</f>
        <v>original</v>
      </c>
      <c r="P742" t="str">
        <f>IF(J742 = 1, "franchise", "non-franchise")</f>
        <v>non-franchise</v>
      </c>
      <c r="Q742" t="str">
        <f>IF(OR(I742 = 1,J742 =1), "old", "new")</f>
        <v>new</v>
      </c>
      <c r="R742">
        <f t="shared" si="22"/>
        <v>0.36587009346153831</v>
      </c>
      <c r="S742">
        <f>IF(Q742="new",1.5,1)*(K742/10)*(1-(MIN(F742,180)/180))</f>
        <v>0.46399999999999991</v>
      </c>
      <c r="T742" t="str">
        <f t="shared" si="23"/>
        <v>Scenario 3: Strong Convenience</v>
      </c>
    </row>
    <row r="743" spans="1:20" x14ac:dyDescent="0.35">
      <c r="A743" t="s">
        <v>941</v>
      </c>
      <c r="B743" s="1">
        <v>45938</v>
      </c>
      <c r="C743">
        <v>2025</v>
      </c>
      <c r="D743">
        <v>10</v>
      </c>
      <c r="E743" t="s">
        <v>125</v>
      </c>
      <c r="F743">
        <v>101</v>
      </c>
      <c r="G743" t="s">
        <v>21</v>
      </c>
      <c r="H743" t="s">
        <v>27</v>
      </c>
      <c r="I743">
        <v>0</v>
      </c>
      <c r="J743">
        <v>0</v>
      </c>
      <c r="K743">
        <v>7.1</v>
      </c>
      <c r="L743">
        <v>8264</v>
      </c>
      <c r="M743" t="s">
        <v>88</v>
      </c>
      <c r="N743" t="str">
        <f>IF(ISNUMBER(SEARCH("Streaming", M743)), "streaming", "cinema")</f>
        <v>streaming</v>
      </c>
      <c r="O743" t="str">
        <f>IF(I743=1, "non-original", "original")</f>
        <v>original</v>
      </c>
      <c r="P743" t="str">
        <f>IF(J743 = 1, "franchise", "non-franchise")</f>
        <v>non-franchise</v>
      </c>
      <c r="Q743" t="str">
        <f>IF(OR(I743 = 1,J743 =1), "old", "new")</f>
        <v>new</v>
      </c>
      <c r="R743">
        <f t="shared" si="22"/>
        <v>0.36611583596851355</v>
      </c>
      <c r="S743">
        <f>IF(Q743="new",1.5,1)*(K743/10)*(1-(MIN(F743,180)/180))</f>
        <v>0.46741666666666665</v>
      </c>
      <c r="T743" t="str">
        <f t="shared" si="23"/>
        <v>Scenario 3: Strong Convenience</v>
      </c>
    </row>
    <row r="744" spans="1:20" x14ac:dyDescent="0.35">
      <c r="A744" t="s">
        <v>942</v>
      </c>
      <c r="B744" s="1">
        <v>45940</v>
      </c>
      <c r="C744">
        <v>2025</v>
      </c>
      <c r="D744">
        <v>10</v>
      </c>
      <c r="E744" t="s">
        <v>125</v>
      </c>
      <c r="F744">
        <v>103</v>
      </c>
      <c r="G744" t="s">
        <v>34</v>
      </c>
      <c r="H744" t="s">
        <v>30</v>
      </c>
      <c r="I744">
        <v>0</v>
      </c>
      <c r="J744">
        <v>0</v>
      </c>
      <c r="K744">
        <v>5.5</v>
      </c>
      <c r="L744">
        <v>423</v>
      </c>
      <c r="M744" t="s">
        <v>17</v>
      </c>
      <c r="N744" t="str">
        <f>IF(ISNUMBER(SEARCH("Streaming", M744)), "streaming", "cinema")</f>
        <v>streaming</v>
      </c>
      <c r="O744" t="str">
        <f>IF(I744=1, "non-original", "original")</f>
        <v>original</v>
      </c>
      <c r="P744" t="str">
        <f>IF(J744 = 1, "franchise", "non-franchise")</f>
        <v>non-franchise</v>
      </c>
      <c r="Q744" t="str">
        <f>IF(OR(I744 = 1,J744 =1), "old", "new")</f>
        <v>new</v>
      </c>
      <c r="R744">
        <f t="shared" si="22"/>
        <v>0.25032873385823101</v>
      </c>
      <c r="S744">
        <f>IF(Q744="new",1.5,1)*(K744/10)*(1-(MIN(F744,180)/180))</f>
        <v>0.35291666666666671</v>
      </c>
      <c r="T744" t="str">
        <f t="shared" si="23"/>
        <v>Scenario 3: Strong Convenience</v>
      </c>
    </row>
    <row r="745" spans="1:20" x14ac:dyDescent="0.35">
      <c r="A745" t="s">
        <v>943</v>
      </c>
      <c r="B745" s="1">
        <v>45940</v>
      </c>
      <c r="C745">
        <v>2025</v>
      </c>
      <c r="D745">
        <v>10</v>
      </c>
      <c r="E745" t="s">
        <v>125</v>
      </c>
      <c r="F745">
        <v>95</v>
      </c>
      <c r="G745" t="s">
        <v>103</v>
      </c>
      <c r="H745" t="s">
        <v>24</v>
      </c>
      <c r="I745">
        <v>0</v>
      </c>
      <c r="J745">
        <v>0</v>
      </c>
      <c r="K745">
        <v>5.8</v>
      </c>
      <c r="L745">
        <v>66182</v>
      </c>
      <c r="M745" t="s">
        <v>88</v>
      </c>
      <c r="N745" t="str">
        <f>IF(ISNUMBER(SEARCH("Streaming", M745)), "streaming", "cinema")</f>
        <v>streaming</v>
      </c>
      <c r="O745" t="str">
        <f>IF(I745=1, "non-original", "original")</f>
        <v>original</v>
      </c>
      <c r="P745" t="str">
        <f>IF(J745 = 1, "franchise", "non-franchise")</f>
        <v>non-franchise</v>
      </c>
      <c r="Q745" t="str">
        <f>IF(OR(I745 = 1,J745 =1), "old", "new")</f>
        <v>new</v>
      </c>
      <c r="R745">
        <f t="shared" si="22"/>
        <v>0.42379884940999152</v>
      </c>
      <c r="S745">
        <f>IF(Q745="new",1.5,1)*(K745/10)*(1-(MIN(F745,180)/180))</f>
        <v>0.41083333333333327</v>
      </c>
      <c r="T745" t="str">
        <f t="shared" si="23"/>
        <v>Scenario 3: Strong Convenience</v>
      </c>
    </row>
    <row r="746" spans="1:20" x14ac:dyDescent="0.35">
      <c r="A746" t="s">
        <v>944</v>
      </c>
      <c r="B746" s="1">
        <v>45944</v>
      </c>
      <c r="C746">
        <v>2025</v>
      </c>
      <c r="D746">
        <v>10</v>
      </c>
      <c r="E746" t="s">
        <v>125</v>
      </c>
      <c r="F746">
        <v>128</v>
      </c>
      <c r="G746" t="s">
        <v>43</v>
      </c>
      <c r="H746" t="s">
        <v>24</v>
      </c>
      <c r="I746">
        <v>0</v>
      </c>
      <c r="J746">
        <v>0</v>
      </c>
      <c r="K746">
        <v>5.9</v>
      </c>
      <c r="L746">
        <v>506</v>
      </c>
      <c r="M746" t="s">
        <v>17</v>
      </c>
      <c r="N746" t="str">
        <f>IF(ISNUMBER(SEARCH("Streaming", M746)), "streaming", "cinema")</f>
        <v>streaming</v>
      </c>
      <c r="O746" t="str">
        <f>IF(I746=1, "non-original", "original")</f>
        <v>original</v>
      </c>
      <c r="P746" t="str">
        <f>IF(J746 = 1, "franchise", "non-franchise")</f>
        <v>non-franchise</v>
      </c>
      <c r="Q746" t="str">
        <f>IF(OR(I746 = 1,J746 =1), "old", "new")</f>
        <v>new</v>
      </c>
      <c r="R746">
        <f t="shared" si="22"/>
        <v>0.32030469174918258</v>
      </c>
      <c r="S746">
        <f>IF(Q746="new",1.5,1)*(K746/10)*(1-(MIN(F746,180)/180))</f>
        <v>0.25566666666666665</v>
      </c>
      <c r="T746" t="str">
        <f t="shared" si="23"/>
        <v>Scenario 2: Weak Commitment/Convenience</v>
      </c>
    </row>
    <row r="747" spans="1:20" x14ac:dyDescent="0.35">
      <c r="A747" t="s">
        <v>945</v>
      </c>
      <c r="B747" s="1">
        <v>45945</v>
      </c>
      <c r="C747">
        <v>2025</v>
      </c>
      <c r="D747">
        <v>10</v>
      </c>
      <c r="E747" t="s">
        <v>125</v>
      </c>
      <c r="F747">
        <v>167</v>
      </c>
      <c r="G747" t="s">
        <v>58</v>
      </c>
      <c r="H747" t="s">
        <v>24</v>
      </c>
      <c r="I747">
        <v>0</v>
      </c>
      <c r="J747">
        <v>0</v>
      </c>
      <c r="K747">
        <v>6.2</v>
      </c>
      <c r="L747">
        <v>1932</v>
      </c>
      <c r="M747" t="s">
        <v>17</v>
      </c>
      <c r="N747" t="str">
        <f>IF(ISNUMBER(SEARCH("Streaming", M747)), "streaming", "cinema")</f>
        <v>streaming</v>
      </c>
      <c r="O747" t="str">
        <f>IF(I747=1, "non-original", "original")</f>
        <v>original</v>
      </c>
      <c r="P747" t="str">
        <f>IF(J747 = 1, "franchise", "non-franchise")</f>
        <v>non-franchise</v>
      </c>
      <c r="Q747" t="str">
        <f>IF(OR(I747 = 1,J747 =1), "old", "new")</f>
        <v>new</v>
      </c>
      <c r="R747">
        <f t="shared" si="22"/>
        <v>0.50781723989368199</v>
      </c>
      <c r="S747">
        <f>IF(Q747="new",1.5,1)*(K747/10)*(1-(MIN(F747,180)/180))</f>
        <v>6.7166666666666625E-2</v>
      </c>
      <c r="T747" t="str">
        <f t="shared" si="23"/>
        <v>Scenario 1: Strong Commitment</v>
      </c>
    </row>
    <row r="748" spans="1:20" x14ac:dyDescent="0.35">
      <c r="A748" t="s">
        <v>946</v>
      </c>
      <c r="B748" s="1">
        <v>45946</v>
      </c>
      <c r="C748">
        <v>2025</v>
      </c>
      <c r="D748">
        <v>10</v>
      </c>
      <c r="E748" t="s">
        <v>125</v>
      </c>
      <c r="F748">
        <v>117</v>
      </c>
      <c r="G748" t="s">
        <v>90</v>
      </c>
      <c r="H748" t="s">
        <v>24</v>
      </c>
      <c r="I748">
        <v>0</v>
      </c>
      <c r="J748">
        <v>0</v>
      </c>
      <c r="K748">
        <v>4.8</v>
      </c>
      <c r="L748">
        <v>222</v>
      </c>
      <c r="M748" t="s">
        <v>17</v>
      </c>
      <c r="N748" t="str">
        <f>IF(ISNUMBER(SEARCH("Streaming", M748)), "streaming", "cinema")</f>
        <v>streaming</v>
      </c>
      <c r="O748" t="str">
        <f>IF(I748=1, "non-original", "original")</f>
        <v>original</v>
      </c>
      <c r="P748" t="str">
        <f>IF(J748 = 1, "franchise", "non-franchise")</f>
        <v>non-franchise</v>
      </c>
      <c r="Q748" t="str">
        <f>IF(OR(I748 = 1,J748 =1), "old", "new")</f>
        <v>new</v>
      </c>
      <c r="R748">
        <f t="shared" si="22"/>
        <v>0.25403975007502627</v>
      </c>
      <c r="S748">
        <f>IF(Q748="new",1.5,1)*(K748/10)*(1-(MIN(F748,180)/180))</f>
        <v>0.252</v>
      </c>
      <c r="T748" t="str">
        <f t="shared" si="23"/>
        <v>Scenario 2: Weak Commitment/Convenience</v>
      </c>
    </row>
    <row r="749" spans="1:20" x14ac:dyDescent="0.35">
      <c r="A749" t="s">
        <v>947</v>
      </c>
      <c r="B749" s="1">
        <v>45947</v>
      </c>
      <c r="C749">
        <v>2025</v>
      </c>
      <c r="D749">
        <v>10</v>
      </c>
      <c r="E749" t="s">
        <v>125</v>
      </c>
      <c r="F749">
        <v>108</v>
      </c>
      <c r="G749" t="s">
        <v>34</v>
      </c>
      <c r="H749" t="s">
        <v>24</v>
      </c>
      <c r="I749">
        <v>0</v>
      </c>
      <c r="J749">
        <v>0</v>
      </c>
      <c r="K749">
        <v>6.4</v>
      </c>
      <c r="L749">
        <v>1525</v>
      </c>
      <c r="M749" t="s">
        <v>17</v>
      </c>
      <c r="N749" t="str">
        <f>IF(ISNUMBER(SEARCH("Streaming", M749)), "streaming", "cinema")</f>
        <v>streaming</v>
      </c>
      <c r="O749" t="str">
        <f>IF(I749=1, "non-original", "original")</f>
        <v>original</v>
      </c>
      <c r="P749" t="str">
        <f>IF(J749 = 1, "franchise", "non-franchise")</f>
        <v>non-franchise</v>
      </c>
      <c r="Q749" t="str">
        <f>IF(OR(I749 = 1,J749 =1), "old", "new")</f>
        <v>new</v>
      </c>
      <c r="R749">
        <f t="shared" si="22"/>
        <v>0.31814102769422198</v>
      </c>
      <c r="S749">
        <f>IF(Q749="new",1.5,1)*(K749/10)*(1-(MIN(F749,180)/180))</f>
        <v>0.38400000000000001</v>
      </c>
      <c r="T749" t="str">
        <f t="shared" si="23"/>
        <v>Scenario 3: Strong Convenience</v>
      </c>
    </row>
    <row r="750" spans="1:20" x14ac:dyDescent="0.35">
      <c r="A750" t="s">
        <v>948</v>
      </c>
      <c r="B750" s="1">
        <v>45947</v>
      </c>
      <c r="C750">
        <v>2025</v>
      </c>
      <c r="D750">
        <v>10</v>
      </c>
      <c r="E750" t="s">
        <v>125</v>
      </c>
      <c r="F750">
        <v>138</v>
      </c>
      <c r="G750" t="s">
        <v>49</v>
      </c>
      <c r="H750" t="s">
        <v>24</v>
      </c>
      <c r="I750">
        <v>0</v>
      </c>
      <c r="J750">
        <v>0</v>
      </c>
      <c r="K750">
        <v>6.6</v>
      </c>
      <c r="L750">
        <v>3469</v>
      </c>
      <c r="M750" t="s">
        <v>17</v>
      </c>
      <c r="N750" t="str">
        <f>IF(ISNUMBER(SEARCH("Streaming", M750)), "streaming", "cinema")</f>
        <v>streaming</v>
      </c>
      <c r="O750" t="str">
        <f>IF(I750=1, "non-original", "original")</f>
        <v>original</v>
      </c>
      <c r="P750" t="str">
        <f>IF(J750 = 1, "franchise", "non-franchise")</f>
        <v>non-franchise</v>
      </c>
      <c r="Q750" t="str">
        <f>IF(OR(I750 = 1,J750 =1), "old", "new")</f>
        <v>new</v>
      </c>
      <c r="R750">
        <f t="shared" si="22"/>
        <v>0.45209518406906218</v>
      </c>
      <c r="S750">
        <f>IF(Q750="new",1.5,1)*(K750/10)*(1-(MIN(F750,180)/180))</f>
        <v>0.23099999999999993</v>
      </c>
      <c r="T750" t="str">
        <f t="shared" si="23"/>
        <v>Scenario 2: Weak Commitment/Convenience</v>
      </c>
    </row>
    <row r="751" spans="1:20" x14ac:dyDescent="0.35">
      <c r="A751" t="s">
        <v>949</v>
      </c>
      <c r="B751" s="1">
        <v>45947</v>
      </c>
      <c r="C751">
        <v>2025</v>
      </c>
      <c r="D751">
        <v>10</v>
      </c>
      <c r="E751" t="s">
        <v>125</v>
      </c>
      <c r="F751">
        <v>108</v>
      </c>
      <c r="G751" t="s">
        <v>32</v>
      </c>
      <c r="H751" t="s">
        <v>24</v>
      </c>
      <c r="I751">
        <v>0</v>
      </c>
      <c r="J751">
        <v>0</v>
      </c>
      <c r="K751">
        <v>6.6</v>
      </c>
      <c r="L751">
        <v>3449</v>
      </c>
      <c r="M751" t="s">
        <v>17</v>
      </c>
      <c r="N751" t="str">
        <f>IF(ISNUMBER(SEARCH("Streaming", M751)), "streaming", "cinema")</f>
        <v>streaming</v>
      </c>
      <c r="O751" t="str">
        <f>IF(I751=1, "non-original", "original")</f>
        <v>original</v>
      </c>
      <c r="P751" t="str">
        <f>IF(J751 = 1, "franchise", "non-franchise")</f>
        <v>non-franchise</v>
      </c>
      <c r="Q751" t="str">
        <f>IF(OR(I751 = 1,J751 =1), "old", "new")</f>
        <v>new</v>
      </c>
      <c r="R751">
        <f t="shared" si="22"/>
        <v>0.35356265845838392</v>
      </c>
      <c r="S751">
        <f>IF(Q751="new",1.5,1)*(K751/10)*(1-(MIN(F751,180)/180))</f>
        <v>0.39599999999999996</v>
      </c>
      <c r="T751" t="str">
        <f t="shared" si="23"/>
        <v>Scenario 3: Strong Convenience</v>
      </c>
    </row>
    <row r="752" spans="1:20" x14ac:dyDescent="0.35">
      <c r="A752" t="s">
        <v>950</v>
      </c>
      <c r="B752" s="1">
        <v>45947</v>
      </c>
      <c r="C752">
        <v>2025</v>
      </c>
      <c r="D752">
        <v>10</v>
      </c>
      <c r="E752" t="s">
        <v>125</v>
      </c>
      <c r="F752">
        <v>102</v>
      </c>
      <c r="G752" t="s">
        <v>348</v>
      </c>
      <c r="H752" t="s">
        <v>56</v>
      </c>
      <c r="I752">
        <v>0</v>
      </c>
      <c r="J752">
        <v>0</v>
      </c>
      <c r="K752">
        <v>4.7</v>
      </c>
      <c r="L752">
        <v>4031</v>
      </c>
      <c r="M752" t="s">
        <v>17</v>
      </c>
      <c r="N752" t="str">
        <f>IF(ISNUMBER(SEARCH("Streaming", M752)), "streaming", "cinema")</f>
        <v>streaming</v>
      </c>
      <c r="O752" t="str">
        <f>IF(I752=1, "non-original", "original")</f>
        <v>original</v>
      </c>
      <c r="P752" t="str">
        <f>IF(J752 = 1, "franchise", "non-franchise")</f>
        <v>non-franchise</v>
      </c>
      <c r="Q752" t="str">
        <f>IF(OR(I752 = 1,J752 =1), "old", "new")</f>
        <v>new</v>
      </c>
      <c r="R752">
        <f t="shared" si="22"/>
        <v>0.34031229270996394</v>
      </c>
      <c r="S752">
        <f>IF(Q752="new",1.5,1)*(K752/10)*(1-(MIN(F752,180)/180))</f>
        <v>0.30550000000000005</v>
      </c>
      <c r="T752" t="str">
        <f t="shared" si="23"/>
        <v>Scenario 2: Weak Commitment/Convenience</v>
      </c>
    </row>
    <row r="753" spans="1:20" x14ac:dyDescent="0.35">
      <c r="A753" t="s">
        <v>951</v>
      </c>
      <c r="B753" s="1">
        <v>45953</v>
      </c>
      <c r="C753">
        <v>2025</v>
      </c>
      <c r="D753">
        <v>10</v>
      </c>
      <c r="E753" t="s">
        <v>125</v>
      </c>
      <c r="F753">
        <v>117</v>
      </c>
      <c r="G753" t="s">
        <v>952</v>
      </c>
      <c r="H753" t="s">
        <v>24</v>
      </c>
      <c r="I753">
        <v>0</v>
      </c>
      <c r="J753">
        <v>0</v>
      </c>
      <c r="K753">
        <v>5.3</v>
      </c>
      <c r="L753">
        <v>6139</v>
      </c>
      <c r="M753" t="s">
        <v>17</v>
      </c>
      <c r="N753" t="str">
        <f>IF(ISNUMBER(SEARCH("Streaming", M753)), "streaming", "cinema")</f>
        <v>streaming</v>
      </c>
      <c r="O753" t="str">
        <f>IF(I753=1, "non-original", "original")</f>
        <v>original</v>
      </c>
      <c r="P753" t="str">
        <f>IF(J753 = 1, "franchise", "non-franchise")</f>
        <v>non-franchise</v>
      </c>
      <c r="Q753" t="str">
        <f>IF(OR(I753 = 1,J753 =1), "old", "new")</f>
        <v>new</v>
      </c>
      <c r="R753">
        <f t="shared" si="22"/>
        <v>0.41013751405797877</v>
      </c>
      <c r="S753">
        <f>IF(Q753="new",1.5,1)*(K753/10)*(1-(MIN(F753,180)/180))</f>
        <v>0.27825</v>
      </c>
      <c r="T753" t="str">
        <f t="shared" si="23"/>
        <v>Scenario 2: Weak Commitment/Convenience</v>
      </c>
    </row>
    <row r="754" spans="1:20" x14ac:dyDescent="0.35">
      <c r="A754" t="s">
        <v>953</v>
      </c>
      <c r="B754" s="1">
        <v>45954</v>
      </c>
      <c r="C754">
        <v>2025</v>
      </c>
      <c r="D754">
        <v>10</v>
      </c>
      <c r="E754" t="s">
        <v>125</v>
      </c>
      <c r="F754">
        <v>115</v>
      </c>
      <c r="G754" t="s">
        <v>32</v>
      </c>
      <c r="H754" t="s">
        <v>24</v>
      </c>
      <c r="I754">
        <v>0</v>
      </c>
      <c r="J754">
        <v>0</v>
      </c>
      <c r="K754">
        <v>6.4</v>
      </c>
      <c r="L754">
        <v>111717</v>
      </c>
      <c r="M754" t="s">
        <v>17</v>
      </c>
      <c r="N754" t="str">
        <f>IF(ISNUMBER(SEARCH("Streaming", M754)), "streaming", "cinema")</f>
        <v>streaming</v>
      </c>
      <c r="O754" t="str">
        <f>IF(I754=1, "non-original", "original")</f>
        <v>original</v>
      </c>
      <c r="P754" t="str">
        <f>IF(J754 = 1, "franchise", "non-franchise")</f>
        <v>non-franchise</v>
      </c>
      <c r="Q754" t="str">
        <f>IF(OR(I754 = 1,J754 =1), "old", "new")</f>
        <v>new</v>
      </c>
      <c r="R754">
        <f t="shared" si="22"/>
        <v>0.53721720907873183</v>
      </c>
      <c r="S754">
        <f>IF(Q754="new",1.5,1)*(K754/10)*(1-(MIN(F754,180)/180))</f>
        <v>0.34666666666666668</v>
      </c>
      <c r="T754" t="str">
        <f t="shared" si="23"/>
        <v>Scenario 4: Hybrid Logic</v>
      </c>
    </row>
    <row r="755" spans="1:20" x14ac:dyDescent="0.35">
      <c r="A755" t="s">
        <v>954</v>
      </c>
      <c r="B755" s="1">
        <v>45959</v>
      </c>
      <c r="C755">
        <v>2025</v>
      </c>
      <c r="D755">
        <v>10</v>
      </c>
      <c r="E755" t="s">
        <v>125</v>
      </c>
      <c r="F755">
        <v>102</v>
      </c>
      <c r="G755" t="s">
        <v>103</v>
      </c>
      <c r="H755" t="s">
        <v>24</v>
      </c>
      <c r="I755">
        <v>0</v>
      </c>
      <c r="J755">
        <v>0</v>
      </c>
      <c r="K755">
        <v>5.9</v>
      </c>
      <c r="L755">
        <v>23316</v>
      </c>
      <c r="M755" t="s">
        <v>17</v>
      </c>
      <c r="N755" t="str">
        <f>IF(ISNUMBER(SEARCH("Streaming", M755)), "streaming", "cinema")</f>
        <v>streaming</v>
      </c>
      <c r="O755" t="str">
        <f>IF(I755=1, "non-original", "original")</f>
        <v>original</v>
      </c>
      <c r="P755" t="str">
        <f>IF(J755 = 1, "franchise", "non-franchise")</f>
        <v>non-franchise</v>
      </c>
      <c r="Q755" t="str">
        <f>IF(OR(I755 = 1,J755 =1), "old", "new")</f>
        <v>new</v>
      </c>
      <c r="R755">
        <f t="shared" si="22"/>
        <v>0.4122596899694686</v>
      </c>
      <c r="S755">
        <f>IF(Q755="new",1.5,1)*(K755/10)*(1-(MIN(F755,180)/180))</f>
        <v>0.38350000000000006</v>
      </c>
      <c r="T755" t="str">
        <f t="shared" si="23"/>
        <v>Scenario 3: Strong Convenience</v>
      </c>
    </row>
    <row r="756" spans="1:20" x14ac:dyDescent="0.35">
      <c r="A756" t="s">
        <v>955</v>
      </c>
      <c r="B756" s="1">
        <v>45968</v>
      </c>
      <c r="C756">
        <v>2025</v>
      </c>
      <c r="D756">
        <v>11</v>
      </c>
      <c r="E756" t="s">
        <v>125</v>
      </c>
      <c r="F756">
        <v>152</v>
      </c>
      <c r="G756" t="s">
        <v>956</v>
      </c>
      <c r="H756" t="s">
        <v>24</v>
      </c>
      <c r="I756">
        <v>0</v>
      </c>
      <c r="J756">
        <v>0</v>
      </c>
      <c r="K756">
        <v>7.4</v>
      </c>
      <c r="L756">
        <v>280653</v>
      </c>
      <c r="M756" t="s">
        <v>88</v>
      </c>
      <c r="N756" t="str">
        <f>IF(ISNUMBER(SEARCH("Streaming", M756)), "streaming", "cinema")</f>
        <v>streaming</v>
      </c>
      <c r="O756" t="str">
        <f>IF(I756=1, "non-original", "original")</f>
        <v>original</v>
      </c>
      <c r="P756" t="str">
        <f>IF(J756 = 1, "franchise", "non-franchise")</f>
        <v>non-franchise</v>
      </c>
      <c r="Q756" t="str">
        <f>IF(OR(I756 = 1,J756 =1), "old", "new")</f>
        <v>new</v>
      </c>
      <c r="R756">
        <f t="shared" si="22"/>
        <v>0.76633150911867165</v>
      </c>
      <c r="S756">
        <f>IF(Q756="new",1.5,1)*(K756/10)*(1-(MIN(F756,180)/180))</f>
        <v>0.17266666666666666</v>
      </c>
      <c r="T756" t="str">
        <f t="shared" si="23"/>
        <v>Scenario 1: Strong Commitment</v>
      </c>
    </row>
    <row r="757" spans="1:20" x14ac:dyDescent="0.35">
      <c r="A757" t="s">
        <v>957</v>
      </c>
      <c r="B757" s="1">
        <v>45968</v>
      </c>
      <c r="C757">
        <v>2025</v>
      </c>
      <c r="D757">
        <v>11</v>
      </c>
      <c r="E757" t="s">
        <v>125</v>
      </c>
      <c r="F757">
        <v>96</v>
      </c>
      <c r="G757" t="s">
        <v>269</v>
      </c>
      <c r="H757" t="s">
        <v>30</v>
      </c>
      <c r="I757">
        <v>0</v>
      </c>
      <c r="J757">
        <v>0</v>
      </c>
      <c r="K757">
        <v>5.7</v>
      </c>
      <c r="L757">
        <v>2117</v>
      </c>
      <c r="M757" t="s">
        <v>17</v>
      </c>
      <c r="N757" t="str">
        <f>IF(ISNUMBER(SEARCH("Streaming", M757)), "streaming", "cinema")</f>
        <v>streaming</v>
      </c>
      <c r="O757" t="str">
        <f>IF(I757=1, "non-original", "original")</f>
        <v>original</v>
      </c>
      <c r="P757" t="str">
        <f>IF(J757 = 1, "franchise", "non-franchise")</f>
        <v>non-franchise</v>
      </c>
      <c r="Q757" t="str">
        <f>IF(OR(I757 = 1,J757 =1), "old", "new")</f>
        <v>new</v>
      </c>
      <c r="R757">
        <f t="shared" si="22"/>
        <v>0.29544694007546318</v>
      </c>
      <c r="S757">
        <f>IF(Q757="new",1.5,1)*(K757/10)*(1-(MIN(F757,180)/180))</f>
        <v>0.39900000000000008</v>
      </c>
      <c r="T757" t="str">
        <f t="shared" si="23"/>
        <v>Scenario 3: Strong Convenience</v>
      </c>
    </row>
    <row r="758" spans="1:20" x14ac:dyDescent="0.35">
      <c r="A758" t="s">
        <v>958</v>
      </c>
      <c r="B758" s="1">
        <v>45973</v>
      </c>
      <c r="C758">
        <v>2025</v>
      </c>
      <c r="D758">
        <v>11</v>
      </c>
      <c r="E758" t="s">
        <v>125</v>
      </c>
      <c r="F758">
        <v>91</v>
      </c>
      <c r="G758" t="s">
        <v>156</v>
      </c>
      <c r="H758" t="s">
        <v>56</v>
      </c>
      <c r="I758">
        <v>0</v>
      </c>
      <c r="J758">
        <v>0</v>
      </c>
      <c r="K758">
        <v>5.3</v>
      </c>
      <c r="L758">
        <v>10652</v>
      </c>
      <c r="M758" t="s">
        <v>88</v>
      </c>
      <c r="N758" t="str">
        <f>IF(ISNUMBER(SEARCH("Streaming", M758)), "streaming", "cinema")</f>
        <v>streaming</v>
      </c>
      <c r="O758" t="str">
        <f>IF(I758=1, "non-original", "original")</f>
        <v>original</v>
      </c>
      <c r="P758" t="str">
        <f>IF(J758 = 1, "franchise", "non-franchise")</f>
        <v>non-franchise</v>
      </c>
      <c r="Q758" t="str">
        <f>IF(OR(I758 = 1,J758 =1), "old", "new")</f>
        <v>new</v>
      </c>
      <c r="R758">
        <f t="shared" si="22"/>
        <v>0.33915012936293365</v>
      </c>
      <c r="S758">
        <f>IF(Q758="new",1.5,1)*(K758/10)*(1-(MIN(F758,180)/180))</f>
        <v>0.3930833333333334</v>
      </c>
      <c r="T758" t="str">
        <f t="shared" si="23"/>
        <v>Scenario 3: Strong Convenience</v>
      </c>
    </row>
    <row r="759" spans="1:20" x14ac:dyDescent="0.35">
      <c r="A759" t="s">
        <v>959</v>
      </c>
      <c r="B759" s="1">
        <v>45974</v>
      </c>
      <c r="C759">
        <v>2025</v>
      </c>
      <c r="D759">
        <v>11</v>
      </c>
      <c r="E759" t="s">
        <v>125</v>
      </c>
      <c r="F759">
        <v>117</v>
      </c>
      <c r="G759" t="s">
        <v>43</v>
      </c>
      <c r="H759" t="s">
        <v>24</v>
      </c>
      <c r="I759">
        <v>0</v>
      </c>
      <c r="J759">
        <v>0</v>
      </c>
      <c r="K759">
        <v>5.2</v>
      </c>
      <c r="L759">
        <v>340</v>
      </c>
      <c r="M759" t="s">
        <v>17</v>
      </c>
      <c r="N759" t="str">
        <f>IF(ISNUMBER(SEARCH("Streaming", M759)), "streaming", "cinema")</f>
        <v>streaming</v>
      </c>
      <c r="O759" t="str">
        <f>IF(I759=1, "non-original", "original")</f>
        <v>original</v>
      </c>
      <c r="P759" t="str">
        <f>IF(J759 = 1, "franchise", "non-franchise")</f>
        <v>non-franchise</v>
      </c>
      <c r="Q759" t="str">
        <f>IF(OR(I759 = 1,J759 =1), "old", "new")</f>
        <v>new</v>
      </c>
      <c r="R759">
        <f t="shared" si="22"/>
        <v>0.27408334483697339</v>
      </c>
      <c r="S759">
        <f>IF(Q759="new",1.5,1)*(K759/10)*(1-(MIN(F759,180)/180))</f>
        <v>0.27299999999999996</v>
      </c>
      <c r="T759" t="str">
        <f t="shared" si="23"/>
        <v>Scenario 2: Weak Commitment/Convenience</v>
      </c>
    </row>
    <row r="760" spans="1:20" x14ac:dyDescent="0.35">
      <c r="A760" t="s">
        <v>960</v>
      </c>
      <c r="B760" s="1">
        <v>45975</v>
      </c>
      <c r="C760">
        <v>2025</v>
      </c>
      <c r="D760">
        <v>11</v>
      </c>
      <c r="E760" t="s">
        <v>125</v>
      </c>
      <c r="F760">
        <v>91</v>
      </c>
      <c r="G760" t="s">
        <v>961</v>
      </c>
      <c r="H760" t="s">
        <v>56</v>
      </c>
      <c r="I760">
        <v>0</v>
      </c>
      <c r="J760">
        <v>0</v>
      </c>
      <c r="K760">
        <v>6.5</v>
      </c>
      <c r="L760">
        <v>6774</v>
      </c>
      <c r="M760" t="s">
        <v>88</v>
      </c>
      <c r="N760" t="str">
        <f>IF(ISNUMBER(SEARCH("Streaming", M760)), "streaming", "cinema")</f>
        <v>streaming</v>
      </c>
      <c r="O760" t="str">
        <f>IF(I760=1, "non-original", "original")</f>
        <v>original</v>
      </c>
      <c r="P760" t="str">
        <f>IF(J760 = 1, "franchise", "non-franchise")</f>
        <v>non-franchise</v>
      </c>
      <c r="Q760" t="str">
        <f>IF(OR(I760 = 1,J760 =1), "old", "new")</f>
        <v>new</v>
      </c>
      <c r="R760">
        <f t="shared" si="22"/>
        <v>0.32259561781342155</v>
      </c>
      <c r="S760">
        <f>IF(Q760="new",1.5,1)*(K760/10)*(1-(MIN(F760,180)/180))</f>
        <v>0.48208333333333342</v>
      </c>
      <c r="T760" t="str">
        <f t="shared" si="23"/>
        <v>Scenario 3: Strong Convenience</v>
      </c>
    </row>
    <row r="761" spans="1:20" x14ac:dyDescent="0.35">
      <c r="A761" t="s">
        <v>962</v>
      </c>
      <c r="B761" s="1">
        <v>45975</v>
      </c>
      <c r="C761">
        <v>2025</v>
      </c>
      <c r="D761">
        <v>11</v>
      </c>
      <c r="E761" t="s">
        <v>125</v>
      </c>
      <c r="F761">
        <v>126</v>
      </c>
      <c r="G761" t="s">
        <v>34</v>
      </c>
      <c r="H761" t="s">
        <v>30</v>
      </c>
      <c r="I761">
        <v>0</v>
      </c>
      <c r="J761">
        <v>0</v>
      </c>
      <c r="K761">
        <v>6.5</v>
      </c>
      <c r="L761">
        <v>3353</v>
      </c>
      <c r="M761" t="s">
        <v>17</v>
      </c>
      <c r="N761" t="str">
        <f>IF(ISNUMBER(SEARCH("Streaming", M761)), "streaming", "cinema")</f>
        <v>streaming</v>
      </c>
      <c r="O761" t="str">
        <f>IF(I761=1, "non-original", "original")</f>
        <v>original</v>
      </c>
      <c r="P761" t="str">
        <f>IF(J761 = 1, "franchise", "non-franchise")</f>
        <v>non-franchise</v>
      </c>
      <c r="Q761" t="str">
        <f>IF(OR(I761 = 1,J761 =1), "old", "new")</f>
        <v>new</v>
      </c>
      <c r="R761">
        <f t="shared" si="22"/>
        <v>0.41106031229016782</v>
      </c>
      <c r="S761">
        <f>IF(Q761="new",1.5,1)*(K761/10)*(1-(MIN(F761,180)/180))</f>
        <v>0.29250000000000009</v>
      </c>
      <c r="T761" t="str">
        <f t="shared" si="23"/>
        <v>Scenario 2: Weak Commitment/Convenience</v>
      </c>
    </row>
    <row r="762" spans="1:20" x14ac:dyDescent="0.35">
      <c r="A762" t="s">
        <v>963</v>
      </c>
      <c r="B762" s="1">
        <v>45980</v>
      </c>
      <c r="C762">
        <v>2025</v>
      </c>
      <c r="D762">
        <v>11</v>
      </c>
      <c r="E762" t="s">
        <v>125</v>
      </c>
      <c r="F762">
        <v>99</v>
      </c>
      <c r="G762" t="s">
        <v>156</v>
      </c>
      <c r="H762" t="s">
        <v>27</v>
      </c>
      <c r="I762">
        <v>0</v>
      </c>
      <c r="J762">
        <v>0</v>
      </c>
      <c r="K762">
        <v>6</v>
      </c>
      <c r="L762">
        <v>12778</v>
      </c>
      <c r="M762" t="s">
        <v>17</v>
      </c>
      <c r="N762" t="str">
        <f>IF(ISNUMBER(SEARCH("Streaming", M762)), "streaming", "cinema")</f>
        <v>streaming</v>
      </c>
      <c r="O762" t="str">
        <f>IF(I762=1, "non-original", "original")</f>
        <v>original</v>
      </c>
      <c r="P762" t="str">
        <f>IF(J762 = 1, "franchise", "non-franchise")</f>
        <v>non-franchise</v>
      </c>
      <c r="Q762" t="str">
        <f>IF(OR(I762 = 1,J762 =1), "old", "new")</f>
        <v>new</v>
      </c>
      <c r="R762">
        <f t="shared" si="22"/>
        <v>0.37620586818269675</v>
      </c>
      <c r="S762">
        <f>IF(Q762="new",1.5,1)*(K762/10)*(1-(MIN(F762,180)/180))</f>
        <v>0.40499999999999992</v>
      </c>
      <c r="T762" t="str">
        <f t="shared" si="23"/>
        <v>Scenario 3: Strong Convenience</v>
      </c>
    </row>
    <row r="763" spans="1:20" x14ac:dyDescent="0.35">
      <c r="A763" t="s">
        <v>964</v>
      </c>
      <c r="B763" s="1">
        <v>45980</v>
      </c>
      <c r="C763">
        <v>2025</v>
      </c>
      <c r="D763">
        <v>11</v>
      </c>
      <c r="E763" t="s">
        <v>125</v>
      </c>
      <c r="F763">
        <v>127</v>
      </c>
      <c r="G763" t="s">
        <v>34</v>
      </c>
      <c r="H763" t="s">
        <v>24</v>
      </c>
      <c r="I763">
        <v>0</v>
      </c>
      <c r="J763">
        <v>0</v>
      </c>
      <c r="K763">
        <v>7.4</v>
      </c>
      <c r="L763">
        <v>2170</v>
      </c>
      <c r="M763" t="s">
        <v>17</v>
      </c>
      <c r="N763" t="str">
        <f>IF(ISNUMBER(SEARCH("Streaming", M763)), "streaming", "cinema")</f>
        <v>streaming</v>
      </c>
      <c r="O763" t="str">
        <f>IF(I763=1, "non-original", "original")</f>
        <v>original</v>
      </c>
      <c r="P763" t="str">
        <f>IF(J763 = 1, "franchise", "non-franchise")</f>
        <v>non-franchise</v>
      </c>
      <c r="Q763" t="str">
        <f>IF(OR(I763 = 1,J763 =1), "old", "new")</f>
        <v>new</v>
      </c>
      <c r="R763">
        <f t="shared" si="22"/>
        <v>0.39211375569633028</v>
      </c>
      <c r="S763">
        <f>IF(Q763="new",1.5,1)*(K763/10)*(1-(MIN(F763,180)/180))</f>
        <v>0.32683333333333325</v>
      </c>
      <c r="T763" t="str">
        <f t="shared" si="23"/>
        <v>Scenario 3: Strong Convenience</v>
      </c>
    </row>
    <row r="764" spans="1:20" x14ac:dyDescent="0.35">
      <c r="A764" t="s">
        <v>965</v>
      </c>
      <c r="B764" s="1">
        <v>45981</v>
      </c>
      <c r="C764">
        <v>2025</v>
      </c>
      <c r="D764">
        <v>11</v>
      </c>
      <c r="E764" t="s">
        <v>125</v>
      </c>
      <c r="F764">
        <v>121</v>
      </c>
      <c r="G764" t="s">
        <v>966</v>
      </c>
      <c r="H764" t="s">
        <v>30</v>
      </c>
      <c r="I764">
        <v>0</v>
      </c>
      <c r="J764">
        <v>0</v>
      </c>
      <c r="K764">
        <v>6.4</v>
      </c>
      <c r="L764">
        <v>501</v>
      </c>
      <c r="M764" t="s">
        <v>17</v>
      </c>
      <c r="N764" t="str">
        <f>IF(ISNUMBER(SEARCH("Streaming", M764)), "streaming", "cinema")</f>
        <v>streaming</v>
      </c>
      <c r="O764" t="str">
        <f>IF(I764=1, "non-original", "original")</f>
        <v>original</v>
      </c>
      <c r="P764" t="str">
        <f>IF(J764 = 1, "franchise", "non-franchise")</f>
        <v>non-franchise</v>
      </c>
      <c r="Q764" t="str">
        <f>IF(OR(I764 = 1,J764 =1), "old", "new")</f>
        <v>new</v>
      </c>
      <c r="R764">
        <f t="shared" si="22"/>
        <v>0.3023051188630751</v>
      </c>
      <c r="S764">
        <f>IF(Q764="new",1.5,1)*(K764/10)*(1-(MIN(F764,180)/180))</f>
        <v>0.31466666666666659</v>
      </c>
      <c r="T764" t="str">
        <f t="shared" si="23"/>
        <v>Scenario 2: Weak Commitment/Convenience</v>
      </c>
    </row>
    <row r="765" spans="1:20" x14ac:dyDescent="0.35">
      <c r="A765" t="s">
        <v>967</v>
      </c>
      <c r="B765" s="1">
        <v>45982</v>
      </c>
      <c r="C765">
        <v>2025</v>
      </c>
      <c r="D765">
        <v>11</v>
      </c>
      <c r="E765" t="s">
        <v>125</v>
      </c>
      <c r="F765">
        <v>103</v>
      </c>
      <c r="G765" t="s">
        <v>34</v>
      </c>
      <c r="H765" t="s">
        <v>27</v>
      </c>
      <c r="I765">
        <v>0</v>
      </c>
      <c r="J765">
        <v>0</v>
      </c>
      <c r="K765">
        <v>7.5</v>
      </c>
      <c r="L765">
        <v>83605</v>
      </c>
      <c r="M765" t="s">
        <v>17</v>
      </c>
      <c r="N765" t="str">
        <f>IF(ISNUMBER(SEARCH("Streaming", M765)), "streaming", "cinema")</f>
        <v>streaming</v>
      </c>
      <c r="O765" t="str">
        <f>IF(I765=1, "non-original", "original")</f>
        <v>original</v>
      </c>
      <c r="P765" t="str">
        <f>IF(J765 = 1, "franchise", "non-franchise")</f>
        <v>non-franchise</v>
      </c>
      <c r="Q765" t="str">
        <f>IF(OR(I765 = 1,J765 =1), "old", "new")</f>
        <v>new</v>
      </c>
      <c r="R765">
        <f t="shared" si="22"/>
        <v>0.46916088352772817</v>
      </c>
      <c r="S765">
        <f>IF(Q765="new",1.5,1)*(K765/10)*(1-(MIN(F765,180)/180))</f>
        <v>0.48125000000000007</v>
      </c>
      <c r="T765" t="str">
        <f t="shared" si="23"/>
        <v>Scenario 3: Strong Convenience</v>
      </c>
    </row>
    <row r="766" spans="1:20" x14ac:dyDescent="0.35">
      <c r="A766" t="s">
        <v>968</v>
      </c>
      <c r="B766" s="1">
        <v>45987</v>
      </c>
      <c r="C766">
        <v>2025</v>
      </c>
      <c r="D766">
        <v>11</v>
      </c>
      <c r="E766" t="s">
        <v>125</v>
      </c>
      <c r="F766">
        <v>96</v>
      </c>
      <c r="G766" t="s">
        <v>156</v>
      </c>
      <c r="H766" t="s">
        <v>27</v>
      </c>
      <c r="I766">
        <v>0</v>
      </c>
      <c r="J766">
        <v>0</v>
      </c>
      <c r="K766">
        <v>5.8</v>
      </c>
      <c r="L766">
        <v>14153</v>
      </c>
      <c r="M766" t="s">
        <v>17</v>
      </c>
      <c r="N766" t="str">
        <f>IF(ISNUMBER(SEARCH("Streaming", M766)), "streaming", "cinema")</f>
        <v>streaming</v>
      </c>
      <c r="O766" t="str">
        <f>IF(I766=1, "non-original", "original")</f>
        <v>original</v>
      </c>
      <c r="P766" t="str">
        <f>IF(J766 = 1, "franchise", "non-franchise")</f>
        <v>non-franchise</v>
      </c>
      <c r="Q766" t="str">
        <f>IF(OR(I766 = 1,J766 =1), "old", "new")</f>
        <v>new</v>
      </c>
      <c r="R766">
        <f t="shared" si="22"/>
        <v>0.36874877428608244</v>
      </c>
      <c r="S766">
        <f>IF(Q766="new",1.5,1)*(K766/10)*(1-(MIN(F766,180)/180))</f>
        <v>0.40599999999999997</v>
      </c>
      <c r="T766" t="str">
        <f t="shared" si="23"/>
        <v>Scenario 3: Strong Convenience</v>
      </c>
    </row>
    <row r="767" spans="1:20" x14ac:dyDescent="0.35">
      <c r="A767" t="s">
        <v>969</v>
      </c>
      <c r="B767" s="1">
        <v>45992</v>
      </c>
      <c r="C767">
        <v>2025</v>
      </c>
      <c r="D767">
        <v>12</v>
      </c>
      <c r="E767" t="s">
        <v>14</v>
      </c>
      <c r="F767">
        <v>104</v>
      </c>
      <c r="G767" t="s">
        <v>522</v>
      </c>
      <c r="H767" t="s">
        <v>27</v>
      </c>
      <c r="I767">
        <v>0</v>
      </c>
      <c r="J767">
        <v>1</v>
      </c>
      <c r="K767">
        <v>5.3</v>
      </c>
      <c r="L767">
        <v>12401</v>
      </c>
      <c r="M767" t="s">
        <v>88</v>
      </c>
      <c r="N767" t="str">
        <f>IF(ISNUMBER(SEARCH("Streaming", M767)), "streaming", "cinema")</f>
        <v>streaming</v>
      </c>
      <c r="O767" t="str">
        <f>IF(I767=1, "non-original", "original")</f>
        <v>original</v>
      </c>
      <c r="P767" t="str">
        <f>IF(J767 = 1, "franchise", "non-franchise")</f>
        <v>franchise</v>
      </c>
      <c r="Q767" t="str">
        <f>IF(OR(I767 = 1,J767 =1), "old", "new")</f>
        <v>old</v>
      </c>
      <c r="R767">
        <f t="shared" si="22"/>
        <v>0.5909316743839369</v>
      </c>
      <c r="S767">
        <f>IF(Q767="new",1.5,1)*(K767/10)*(1-(MIN(F767,180)/180))</f>
        <v>0.22377777777777783</v>
      </c>
      <c r="T767" t="str">
        <f t="shared" si="23"/>
        <v>Scenario 1: Strong Commitment</v>
      </c>
    </row>
    <row r="768" spans="1:20" x14ac:dyDescent="0.35">
      <c r="A768" t="s">
        <v>970</v>
      </c>
      <c r="B768" s="1">
        <v>45994</v>
      </c>
      <c r="C768">
        <v>2025</v>
      </c>
      <c r="D768">
        <v>12</v>
      </c>
      <c r="E768" t="s">
        <v>14</v>
      </c>
      <c r="F768">
        <v>92</v>
      </c>
      <c r="G768" t="s">
        <v>156</v>
      </c>
      <c r="H768" t="s">
        <v>56</v>
      </c>
      <c r="I768">
        <v>0</v>
      </c>
      <c r="J768">
        <v>0</v>
      </c>
      <c r="K768">
        <v>5.6</v>
      </c>
      <c r="L768">
        <v>9712</v>
      </c>
      <c r="M768" t="s">
        <v>88</v>
      </c>
      <c r="N768" t="str">
        <f>IF(ISNUMBER(SEARCH("Streaming", M768)), "streaming", "cinema")</f>
        <v>streaming</v>
      </c>
      <c r="O768" t="str">
        <f>IF(I768=1, "non-original", "original")</f>
        <v>original</v>
      </c>
      <c r="P768" t="str">
        <f>IF(J768 = 1, "franchise", "non-franchise")</f>
        <v>non-franchise</v>
      </c>
      <c r="Q768" t="str">
        <f>IF(OR(I768 = 1,J768 =1), "old", "new")</f>
        <v>new</v>
      </c>
      <c r="R768">
        <f t="shared" si="22"/>
        <v>0.33946120922476875</v>
      </c>
      <c r="S768">
        <f>IF(Q768="new",1.5,1)*(K768/10)*(1-(MIN(F768,180)/180))</f>
        <v>0.41066666666666662</v>
      </c>
      <c r="T768" t="str">
        <f t="shared" si="23"/>
        <v>Scenario 3: Strong Convenience</v>
      </c>
    </row>
    <row r="769" spans="1:20" x14ac:dyDescent="0.35">
      <c r="A769" t="s">
        <v>971</v>
      </c>
      <c r="B769" s="1">
        <v>45995</v>
      </c>
      <c r="C769">
        <v>2025</v>
      </c>
      <c r="D769">
        <v>12</v>
      </c>
      <c r="E769" t="s">
        <v>14</v>
      </c>
      <c r="F769">
        <v>103</v>
      </c>
      <c r="G769" t="s">
        <v>34</v>
      </c>
      <c r="H769" t="s">
        <v>30</v>
      </c>
      <c r="I769">
        <v>0</v>
      </c>
      <c r="J769">
        <v>0</v>
      </c>
      <c r="K769">
        <v>5.6</v>
      </c>
      <c r="L769">
        <v>169</v>
      </c>
      <c r="M769" t="s">
        <v>17</v>
      </c>
      <c r="N769" t="str">
        <f>IF(ISNUMBER(SEARCH("Streaming", M769)), "streaming", "cinema")</f>
        <v>streaming</v>
      </c>
      <c r="O769" t="str">
        <f>IF(I769=1, "non-original", "original")</f>
        <v>original</v>
      </c>
      <c r="P769" t="str">
        <f>IF(J769 = 1, "franchise", "non-franchise")</f>
        <v>non-franchise</v>
      </c>
      <c r="Q769" t="str">
        <f>IF(OR(I769 = 1,J769 =1), "old", "new")</f>
        <v>new</v>
      </c>
      <c r="R769">
        <f t="shared" si="22"/>
        <v>0.21235025927082637</v>
      </c>
      <c r="S769">
        <f>IF(Q769="new",1.5,1)*(K769/10)*(1-(MIN(F769,180)/180))</f>
        <v>0.35933333333333328</v>
      </c>
      <c r="T769" t="str">
        <f t="shared" si="23"/>
        <v>Scenario 3: Strong Convenience</v>
      </c>
    </row>
    <row r="770" spans="1:20" x14ac:dyDescent="0.35">
      <c r="A770" t="s">
        <v>972</v>
      </c>
      <c r="B770" s="1">
        <v>45996</v>
      </c>
      <c r="C770">
        <v>2025</v>
      </c>
      <c r="D770">
        <v>12</v>
      </c>
      <c r="E770" t="s">
        <v>14</v>
      </c>
      <c r="F770">
        <v>133</v>
      </c>
      <c r="G770" t="s">
        <v>116</v>
      </c>
      <c r="H770" t="s">
        <v>24</v>
      </c>
      <c r="I770">
        <v>0</v>
      </c>
      <c r="J770">
        <v>0</v>
      </c>
      <c r="K770">
        <v>6.5</v>
      </c>
      <c r="L770">
        <v>36916</v>
      </c>
      <c r="M770" t="s">
        <v>17</v>
      </c>
      <c r="N770" t="str">
        <f>IF(ISNUMBER(SEARCH("Streaming", M770)), "streaming", "cinema")</f>
        <v>streaming</v>
      </c>
      <c r="O770" t="str">
        <f>IF(I770=1, "non-original", "original")</f>
        <v>original</v>
      </c>
      <c r="P770" t="str">
        <f>IF(J770 = 1, "franchise", "non-franchise")</f>
        <v>non-franchise</v>
      </c>
      <c r="Q770" t="str">
        <f>IF(OR(I770 = 1,J770 =1), "old", "new")</f>
        <v>new</v>
      </c>
      <c r="R770">
        <f t="shared" si="22"/>
        <v>0.56211546256194522</v>
      </c>
      <c r="S770">
        <f>IF(Q770="new",1.5,1)*(K770/10)*(1-(MIN(F770,180)/180))</f>
        <v>0.25458333333333333</v>
      </c>
      <c r="T770" t="str">
        <f t="shared" si="23"/>
        <v>Scenario 1: Strong Commitment</v>
      </c>
    </row>
    <row r="771" spans="1:20" x14ac:dyDescent="0.35">
      <c r="A771" t="s">
        <v>973</v>
      </c>
      <c r="B771" s="1">
        <v>45996</v>
      </c>
      <c r="C771">
        <v>2025</v>
      </c>
      <c r="D771">
        <v>12</v>
      </c>
      <c r="E771" t="s">
        <v>14</v>
      </c>
      <c r="F771">
        <v>109</v>
      </c>
      <c r="G771" t="s">
        <v>29</v>
      </c>
      <c r="H771" t="s">
        <v>30</v>
      </c>
      <c r="I771">
        <v>0</v>
      </c>
      <c r="J771">
        <v>0</v>
      </c>
      <c r="K771">
        <v>5.4</v>
      </c>
      <c r="L771">
        <v>335</v>
      </c>
      <c r="M771" t="s">
        <v>17</v>
      </c>
      <c r="N771" t="str">
        <f>IF(ISNUMBER(SEARCH("Streaming", M771)), "streaming", "cinema")</f>
        <v>streaming</v>
      </c>
      <c r="O771" t="str">
        <f>IF(I771=1, "non-original", "original")</f>
        <v>original</v>
      </c>
      <c r="P771" t="str">
        <f>IF(J771 = 1, "franchise", "non-franchise")</f>
        <v>non-franchise</v>
      </c>
      <c r="Q771" t="str">
        <f>IF(OR(I771 = 1,J771 =1), "old", "new")</f>
        <v>new</v>
      </c>
      <c r="R771">
        <f t="shared" ref="R771:R834" si="24">IF(Q771="old",1.5,1)*(LOG10(L771)/LOG10(MAX($L$2:$L$1078)))*(MIN(F771,180)/180)</f>
        <v>0.25469361414063929</v>
      </c>
      <c r="S771">
        <f>IF(Q771="new",1.5,1)*(K771/10)*(1-(MIN(F771,180)/180))</f>
        <v>0.31950000000000006</v>
      </c>
      <c r="T771" t="str">
        <f t="shared" ref="T771:T834" si="25">IF(AND(R771&gt;=AVERAGE($R$2:$R$1078),S771&gt;=AVERAGE($S$2:$S$1078)),"Scenario 4: Hybrid Logic",
 IF(AND(R771&gt;=AVERAGE($R$2:$R$1078),S771&lt;AVERAGE($S$2:$S$1078)),"Scenario 1: Strong Commitment",
  IF(AND(R771&lt;AVERAGE($R$2:$R$1078),S771&gt;=AVERAGE($S$2:$S$1078)),"Scenario 3: Strong Convenience",
   "Scenario 2: Weak Commitment/Convenience")))</f>
        <v>Scenario 3: Strong Convenience</v>
      </c>
    </row>
    <row r="772" spans="1:20" x14ac:dyDescent="0.35">
      <c r="A772" t="s">
        <v>974</v>
      </c>
      <c r="B772" s="1">
        <v>45996</v>
      </c>
      <c r="C772">
        <v>2025</v>
      </c>
      <c r="D772">
        <v>12</v>
      </c>
      <c r="E772" t="s">
        <v>14</v>
      </c>
      <c r="F772">
        <v>123</v>
      </c>
      <c r="G772" t="s">
        <v>43</v>
      </c>
      <c r="H772" t="s">
        <v>24</v>
      </c>
      <c r="I772">
        <v>0</v>
      </c>
      <c r="J772">
        <v>0</v>
      </c>
      <c r="K772">
        <v>5.4</v>
      </c>
      <c r="L772">
        <v>1533</v>
      </c>
      <c r="M772" t="s">
        <v>17</v>
      </c>
      <c r="N772" t="str">
        <f>IF(ISNUMBER(SEARCH("Streaming", M772)), "streaming", "cinema")</f>
        <v>streaming</v>
      </c>
      <c r="O772" t="str">
        <f>IF(I772=1, "non-original", "original")</f>
        <v>original</v>
      </c>
      <c r="P772" t="str">
        <f>IF(J772 = 1, "franchise", "non-franchise")</f>
        <v>non-franchise</v>
      </c>
      <c r="Q772" t="str">
        <f>IF(OR(I772 = 1,J772 =1), "old", "new")</f>
        <v>new</v>
      </c>
      <c r="R772">
        <f t="shared" si="24"/>
        <v>0.36258592135757195</v>
      </c>
      <c r="S772">
        <f>IF(Q772="new",1.5,1)*(K772/10)*(1-(MIN(F772,180)/180))</f>
        <v>0.25650000000000001</v>
      </c>
      <c r="T772" t="str">
        <f t="shared" si="25"/>
        <v>Scenario 2: Weak Commitment/Convenience</v>
      </c>
    </row>
    <row r="773" spans="1:20" x14ac:dyDescent="0.35">
      <c r="A773" t="s">
        <v>975</v>
      </c>
      <c r="B773" s="1">
        <v>45996</v>
      </c>
      <c r="C773">
        <v>2025</v>
      </c>
      <c r="D773">
        <v>12</v>
      </c>
      <c r="E773" t="s">
        <v>14</v>
      </c>
      <c r="F773">
        <v>94</v>
      </c>
      <c r="G773" t="s">
        <v>21</v>
      </c>
      <c r="H773" t="s">
        <v>30</v>
      </c>
      <c r="I773">
        <v>0</v>
      </c>
      <c r="J773">
        <v>0</v>
      </c>
      <c r="K773">
        <v>4.5999999999999996</v>
      </c>
      <c r="L773">
        <v>348</v>
      </c>
      <c r="M773" t="s">
        <v>17</v>
      </c>
      <c r="N773" t="str">
        <f>IF(ISNUMBER(SEARCH("Streaming", M773)), "streaming", "cinema")</f>
        <v>streaming</v>
      </c>
      <c r="O773" t="str">
        <f>IF(I773=1, "non-original", "original")</f>
        <v>original</v>
      </c>
      <c r="P773" t="str">
        <f>IF(J773 = 1, "franchise", "non-franchise")</f>
        <v>non-franchise</v>
      </c>
      <c r="Q773" t="str">
        <f>IF(OR(I773 = 1,J773 =1), "old", "new")</f>
        <v>new</v>
      </c>
      <c r="R773">
        <f t="shared" si="24"/>
        <v>0.22108230192858505</v>
      </c>
      <c r="S773">
        <f>IF(Q773="new",1.5,1)*(K773/10)*(1-(MIN(F773,180)/180))</f>
        <v>0.32966666666666661</v>
      </c>
      <c r="T773" t="str">
        <f t="shared" si="25"/>
        <v>Scenario 3: Strong Convenience</v>
      </c>
    </row>
    <row r="774" spans="1:20" x14ac:dyDescent="0.35">
      <c r="A774" t="s">
        <v>976</v>
      </c>
      <c r="B774" s="1">
        <v>46002</v>
      </c>
      <c r="C774">
        <v>2025</v>
      </c>
      <c r="D774">
        <v>12</v>
      </c>
      <c r="E774" t="s">
        <v>14</v>
      </c>
      <c r="F774">
        <v>115</v>
      </c>
      <c r="G774" t="s">
        <v>116</v>
      </c>
      <c r="H774" t="s">
        <v>30</v>
      </c>
      <c r="I774">
        <v>0</v>
      </c>
      <c r="J774">
        <v>0</v>
      </c>
      <c r="K774">
        <v>5.7</v>
      </c>
      <c r="L774">
        <v>253</v>
      </c>
      <c r="M774" t="s">
        <v>17</v>
      </c>
      <c r="N774" t="str">
        <f>IF(ISNUMBER(SEARCH("Streaming", M774)), "streaming", "cinema")</f>
        <v>streaming</v>
      </c>
      <c r="O774" t="str">
        <f>IF(I774=1, "non-original", "original")</f>
        <v>original</v>
      </c>
      <c r="P774" t="str">
        <f>IF(J774 = 1, "franchise", "non-franchise")</f>
        <v>non-franchise</v>
      </c>
      <c r="Q774" t="str">
        <f>IF(OR(I774 = 1,J774 =1), "old", "new")</f>
        <v>new</v>
      </c>
      <c r="R774">
        <f t="shared" si="24"/>
        <v>0.25573835159965008</v>
      </c>
      <c r="S774">
        <f>IF(Q774="new",1.5,1)*(K774/10)*(1-(MIN(F774,180)/180))</f>
        <v>0.30875000000000008</v>
      </c>
      <c r="T774" t="str">
        <f t="shared" si="25"/>
        <v>Scenario 2: Weak Commitment/Convenience</v>
      </c>
    </row>
    <row r="775" spans="1:20" x14ac:dyDescent="0.35">
      <c r="A775" t="s">
        <v>977</v>
      </c>
      <c r="B775" s="1">
        <v>46002</v>
      </c>
      <c r="C775">
        <v>2025</v>
      </c>
      <c r="D775">
        <v>12</v>
      </c>
      <c r="E775" t="s">
        <v>14</v>
      </c>
      <c r="F775">
        <v>86</v>
      </c>
      <c r="G775" t="s">
        <v>21</v>
      </c>
      <c r="H775" t="s">
        <v>27</v>
      </c>
      <c r="I775">
        <v>0</v>
      </c>
      <c r="J775">
        <v>0</v>
      </c>
      <c r="K775">
        <v>4.2</v>
      </c>
      <c r="L775">
        <v>377</v>
      </c>
      <c r="M775" t="s">
        <v>17</v>
      </c>
      <c r="N775" t="str">
        <f>IF(ISNUMBER(SEARCH("Streaming", M775)), "streaming", "cinema")</f>
        <v>streaming</v>
      </c>
      <c r="O775" t="str">
        <f>IF(I775=1, "non-original", "original")</f>
        <v>original</v>
      </c>
      <c r="P775" t="str">
        <f>IF(J775 = 1, "franchise", "non-franchise")</f>
        <v>non-franchise</v>
      </c>
      <c r="Q775" t="str">
        <f>IF(OR(I775 = 1,J775 =1), "old", "new")</f>
        <v>new</v>
      </c>
      <c r="R775">
        <f t="shared" si="24"/>
        <v>0.20503326348361631</v>
      </c>
      <c r="S775">
        <f>IF(Q775="new",1.5,1)*(K775/10)*(1-(MIN(F775,180)/180))</f>
        <v>0.32900000000000001</v>
      </c>
      <c r="T775" t="str">
        <f t="shared" si="25"/>
        <v>Scenario 3: Strong Convenience</v>
      </c>
    </row>
    <row r="776" spans="1:20" x14ac:dyDescent="0.35">
      <c r="A776" t="s">
        <v>978</v>
      </c>
      <c r="B776" s="1">
        <v>46010</v>
      </c>
      <c r="C776">
        <v>2025</v>
      </c>
      <c r="D776">
        <v>12</v>
      </c>
      <c r="E776" t="s">
        <v>14</v>
      </c>
      <c r="F776">
        <v>107</v>
      </c>
      <c r="G776" t="s">
        <v>21</v>
      </c>
      <c r="H776" t="s">
        <v>24</v>
      </c>
      <c r="I776">
        <v>0</v>
      </c>
      <c r="J776">
        <v>0</v>
      </c>
      <c r="K776">
        <v>6.2</v>
      </c>
      <c r="L776">
        <v>1570</v>
      </c>
      <c r="M776" t="s">
        <v>17</v>
      </c>
      <c r="N776" t="str">
        <f>IF(ISNUMBER(SEARCH("Streaming", M776)), "streaming", "cinema")</f>
        <v>streaming</v>
      </c>
      <c r="O776" t="str">
        <f>IF(I776=1, "non-original", "original")</f>
        <v>original</v>
      </c>
      <c r="P776" t="str">
        <f>IF(J776 = 1, "franchise", "non-franchise")</f>
        <v>non-franchise</v>
      </c>
      <c r="Q776" t="str">
        <f>IF(OR(I776 = 1,J776 =1), "old", "new")</f>
        <v>new</v>
      </c>
      <c r="R776">
        <f t="shared" si="24"/>
        <v>0.31644583308057533</v>
      </c>
      <c r="S776">
        <f>IF(Q776="new",1.5,1)*(K776/10)*(1-(MIN(F776,180)/180))</f>
        <v>0.37716666666666665</v>
      </c>
      <c r="T776" t="str">
        <f t="shared" si="25"/>
        <v>Scenario 3: Strong Convenience</v>
      </c>
    </row>
    <row r="777" spans="1:20" x14ac:dyDescent="0.35">
      <c r="A777" t="s">
        <v>979</v>
      </c>
      <c r="B777" s="1">
        <v>46010</v>
      </c>
      <c r="C777">
        <v>2025</v>
      </c>
      <c r="D777">
        <v>12</v>
      </c>
      <c r="E777" t="s">
        <v>14</v>
      </c>
      <c r="F777">
        <v>108</v>
      </c>
      <c r="G777" t="s">
        <v>702</v>
      </c>
      <c r="H777" t="s">
        <v>24</v>
      </c>
      <c r="I777">
        <v>0</v>
      </c>
      <c r="J777">
        <v>0</v>
      </c>
      <c r="K777">
        <v>5.4</v>
      </c>
      <c r="L777">
        <v>22129</v>
      </c>
      <c r="M777" t="s">
        <v>88</v>
      </c>
      <c r="N777" t="str">
        <f>IF(ISNUMBER(SEARCH("Streaming", M777)), "streaming", "cinema")</f>
        <v>streaming</v>
      </c>
      <c r="O777" t="str">
        <f>IF(I777=1, "non-original", "original")</f>
        <v>original</v>
      </c>
      <c r="P777" t="str">
        <f>IF(J777 = 1, "franchise", "non-franchise")</f>
        <v>non-franchise</v>
      </c>
      <c r="Q777" t="str">
        <f>IF(OR(I777 = 1,J777 =1), "old", "new")</f>
        <v>new</v>
      </c>
      <c r="R777">
        <f t="shared" si="24"/>
        <v>0.43424235979267306</v>
      </c>
      <c r="S777">
        <f>IF(Q777="new",1.5,1)*(K777/10)*(1-(MIN(F777,180)/180))</f>
        <v>0.32400000000000007</v>
      </c>
      <c r="T777" t="str">
        <f t="shared" si="25"/>
        <v>Scenario 3: Strong Convenience</v>
      </c>
    </row>
    <row r="778" spans="1:20" x14ac:dyDescent="0.35">
      <c r="A778" t="s">
        <v>980</v>
      </c>
      <c r="B778" s="1">
        <v>46015</v>
      </c>
      <c r="C778">
        <v>2025</v>
      </c>
      <c r="D778">
        <v>12</v>
      </c>
      <c r="E778" t="s">
        <v>14</v>
      </c>
      <c r="F778">
        <v>116</v>
      </c>
      <c r="G778" t="s">
        <v>34</v>
      </c>
      <c r="H778" t="s">
        <v>24</v>
      </c>
      <c r="I778">
        <v>0</v>
      </c>
      <c r="J778">
        <v>0</v>
      </c>
      <c r="K778">
        <v>6.7</v>
      </c>
      <c r="L778">
        <v>9280</v>
      </c>
      <c r="M778" t="s">
        <v>17</v>
      </c>
      <c r="N778" t="str">
        <f>IF(ISNUMBER(SEARCH("Streaming", M778)), "streaming", "cinema")</f>
        <v>streaming</v>
      </c>
      <c r="O778" t="str">
        <f>IF(I778=1, "non-original", "original")</f>
        <v>original</v>
      </c>
      <c r="P778" t="str">
        <f>IF(J778 = 1, "franchise", "non-franchise")</f>
        <v>non-franchise</v>
      </c>
      <c r="Q778" t="str">
        <f>IF(OR(I778 = 1,J778 =1), "old", "new")</f>
        <v>new</v>
      </c>
      <c r="R778">
        <f t="shared" si="24"/>
        <v>0.42589510186123819</v>
      </c>
      <c r="S778">
        <f>IF(Q778="new",1.5,1)*(K778/10)*(1-(MIN(F778,180)/180))</f>
        <v>0.35733333333333334</v>
      </c>
      <c r="T778" t="str">
        <f t="shared" si="25"/>
        <v>Scenario 3: Strong Convenience</v>
      </c>
    </row>
    <row r="779" spans="1:20" x14ac:dyDescent="0.35">
      <c r="A779" t="s">
        <v>981</v>
      </c>
      <c r="B779" s="1">
        <v>44050</v>
      </c>
      <c r="C779">
        <v>2020</v>
      </c>
      <c r="D779">
        <v>8</v>
      </c>
      <c r="E779" t="s">
        <v>78</v>
      </c>
      <c r="F779">
        <v>95</v>
      </c>
      <c r="G779" t="s">
        <v>982</v>
      </c>
      <c r="H779" t="s">
        <v>24</v>
      </c>
      <c r="I779">
        <v>1</v>
      </c>
      <c r="J779">
        <v>0</v>
      </c>
      <c r="K779">
        <v>4.9000000000000004</v>
      </c>
      <c r="L779">
        <v>17115</v>
      </c>
      <c r="M779" t="s">
        <v>983</v>
      </c>
      <c r="N779" t="str">
        <f>IF(ISNUMBER(SEARCH("Streaming", M779)), "streaming", "cinema")</f>
        <v>cinema</v>
      </c>
      <c r="O779" t="str">
        <f>IF(I779=1, "non-original", "original")</f>
        <v>non-original</v>
      </c>
      <c r="P779" t="str">
        <f>IF(J779 = 1, "franchise", "non-franchise")</f>
        <v>non-franchise</v>
      </c>
      <c r="Q779" t="str">
        <f>IF(OR(I779 = 1,J779 =1), "old", "new")</f>
        <v>old</v>
      </c>
      <c r="R779">
        <f t="shared" si="24"/>
        <v>0.55824426418922124</v>
      </c>
      <c r="S779">
        <f>IF(Q779="new",1.5,1)*(K779/10)*(1-(MIN(F779,180)/180))</f>
        <v>0.23138888888888889</v>
      </c>
      <c r="T779" t="str">
        <f t="shared" si="25"/>
        <v>Scenario 1: Strong Commitment</v>
      </c>
    </row>
    <row r="780" spans="1:20" x14ac:dyDescent="0.35">
      <c r="A780" t="s">
        <v>984</v>
      </c>
      <c r="B780" s="1">
        <v>44092</v>
      </c>
      <c r="C780">
        <v>2020</v>
      </c>
      <c r="D780">
        <v>9</v>
      </c>
      <c r="E780" t="s">
        <v>125</v>
      </c>
      <c r="F780">
        <v>95</v>
      </c>
      <c r="G780" t="s">
        <v>985</v>
      </c>
      <c r="H780" t="s">
        <v>16</v>
      </c>
      <c r="I780">
        <v>1</v>
      </c>
      <c r="J780">
        <v>0</v>
      </c>
      <c r="K780">
        <v>6.4</v>
      </c>
      <c r="L780">
        <v>1222</v>
      </c>
      <c r="M780" t="s">
        <v>983</v>
      </c>
      <c r="N780" t="str">
        <f>IF(ISNUMBER(SEARCH("Streaming", M780)), "streaming", "cinema")</f>
        <v>cinema</v>
      </c>
      <c r="O780" t="str">
        <f>IF(I780=1, "non-original", "original")</f>
        <v>non-original</v>
      </c>
      <c r="P780" t="str">
        <f>IF(J780 = 1, "franchise", "non-franchise")</f>
        <v>non-franchise</v>
      </c>
      <c r="Q780" t="str">
        <f>IF(OR(I780 = 1,J780 =1), "old", "new")</f>
        <v>old</v>
      </c>
      <c r="R780">
        <f t="shared" si="24"/>
        <v>0.40708395050458618</v>
      </c>
      <c r="S780">
        <f>IF(Q780="new",1.5,1)*(K780/10)*(1-(MIN(F780,180)/180))</f>
        <v>0.30222222222222223</v>
      </c>
      <c r="T780" t="str">
        <f t="shared" si="25"/>
        <v>Scenario 2: Weak Commitment/Convenience</v>
      </c>
    </row>
    <row r="781" spans="1:20" x14ac:dyDescent="0.35">
      <c r="A781" t="s">
        <v>987</v>
      </c>
      <c r="B781" s="1">
        <v>44166</v>
      </c>
      <c r="C781">
        <v>2020</v>
      </c>
      <c r="D781">
        <v>12</v>
      </c>
      <c r="E781" t="s">
        <v>14</v>
      </c>
      <c r="F781">
        <v>57</v>
      </c>
      <c r="G781" t="s">
        <v>988</v>
      </c>
      <c r="H781" t="s">
        <v>16</v>
      </c>
      <c r="I781">
        <v>1</v>
      </c>
      <c r="J781">
        <v>0</v>
      </c>
      <c r="K781">
        <v>6.5</v>
      </c>
      <c r="L781">
        <v>49665</v>
      </c>
      <c r="M781" t="s">
        <v>989</v>
      </c>
      <c r="N781" t="str">
        <f>IF(ISNUMBER(SEARCH("Streaming", M781)), "streaming", "cinema")</f>
        <v>cinema</v>
      </c>
      <c r="O781" t="str">
        <f>IF(I781=1, "non-original", "original")</f>
        <v>non-original</v>
      </c>
      <c r="P781" t="str">
        <f>IF(J781 = 1, "franchise", "non-franchise")</f>
        <v>non-franchise</v>
      </c>
      <c r="Q781" t="str">
        <f>IF(OR(I781 = 1,J781 =1), "old", "new")</f>
        <v>old</v>
      </c>
      <c r="R781">
        <f t="shared" si="24"/>
        <v>0.3715534830193904</v>
      </c>
      <c r="S781">
        <f>IF(Q781="new",1.5,1)*(K781/10)*(1-(MIN(F781,180)/180))</f>
        <v>0.44416666666666671</v>
      </c>
      <c r="T781" t="str">
        <f t="shared" si="25"/>
        <v>Scenario 3: Strong Convenience</v>
      </c>
    </row>
    <row r="782" spans="1:20" x14ac:dyDescent="0.35">
      <c r="A782" t="s">
        <v>990</v>
      </c>
      <c r="B782" s="1">
        <v>44232</v>
      </c>
      <c r="C782">
        <v>2021</v>
      </c>
      <c r="D782">
        <v>2</v>
      </c>
      <c r="E782" t="s">
        <v>14</v>
      </c>
      <c r="F782">
        <v>88</v>
      </c>
      <c r="G782" t="s">
        <v>991</v>
      </c>
      <c r="H782" t="s">
        <v>16</v>
      </c>
      <c r="I782">
        <v>1</v>
      </c>
      <c r="J782">
        <v>0</v>
      </c>
      <c r="K782">
        <v>6.7</v>
      </c>
      <c r="L782">
        <v>1460</v>
      </c>
      <c r="M782" t="s">
        <v>983</v>
      </c>
      <c r="N782" t="str">
        <f>IF(ISNUMBER(SEARCH("Streaming", M782)), "streaming", "cinema")</f>
        <v>cinema</v>
      </c>
      <c r="O782" t="str">
        <f>IF(I782=1, "non-original", "original")</f>
        <v>non-original</v>
      </c>
      <c r="P782" t="str">
        <f>IF(J782 = 1, "franchise", "non-franchise")</f>
        <v>non-franchise</v>
      </c>
      <c r="Q782" t="str">
        <f>IF(OR(I782 = 1,J782 =1), "old", "new")</f>
        <v>old</v>
      </c>
      <c r="R782">
        <f t="shared" si="24"/>
        <v>0.38652830819250739</v>
      </c>
      <c r="S782">
        <f>IF(Q782="new",1.5,1)*(K782/10)*(1-(MIN(F782,180)/180))</f>
        <v>0.34244444444444444</v>
      </c>
      <c r="T782" t="str">
        <f t="shared" si="25"/>
        <v>Scenario 3: Strong Convenience</v>
      </c>
    </row>
    <row r="783" spans="1:20" x14ac:dyDescent="0.35">
      <c r="A783" t="s">
        <v>992</v>
      </c>
      <c r="B783" s="1">
        <v>44358</v>
      </c>
      <c r="C783">
        <v>2021</v>
      </c>
      <c r="D783">
        <v>6</v>
      </c>
      <c r="E783" t="s">
        <v>78</v>
      </c>
      <c r="F783">
        <v>97</v>
      </c>
      <c r="G783" t="s">
        <v>993</v>
      </c>
      <c r="H783" t="s">
        <v>24</v>
      </c>
      <c r="I783">
        <v>1</v>
      </c>
      <c r="J783">
        <v>1</v>
      </c>
      <c r="K783">
        <v>4.0999999999999996</v>
      </c>
      <c r="L783">
        <v>2595</v>
      </c>
      <c r="M783" t="s">
        <v>983</v>
      </c>
      <c r="N783" t="str">
        <f>IF(ISNUMBER(SEARCH("Streaming", M783)), "streaming", "cinema")</f>
        <v>cinema</v>
      </c>
      <c r="O783" t="str">
        <f>IF(I783=1, "non-original", "original")</f>
        <v>non-original</v>
      </c>
      <c r="P783" t="str">
        <f>IF(J783 = 1, "franchise", "non-franchise")</f>
        <v>franchise</v>
      </c>
      <c r="Q783" t="str">
        <f>IF(OR(I783 = 1,J783 =1), "old", "new")</f>
        <v>old</v>
      </c>
      <c r="R783">
        <f t="shared" si="24"/>
        <v>0.4596914780500444</v>
      </c>
      <c r="S783">
        <f>IF(Q783="new",1.5,1)*(K783/10)*(1-(MIN(F783,180)/180))</f>
        <v>0.18905555555555556</v>
      </c>
      <c r="T783" t="str">
        <f t="shared" si="25"/>
        <v>Scenario 2: Weak Commitment/Convenience</v>
      </c>
    </row>
    <row r="784" spans="1:20" x14ac:dyDescent="0.35">
      <c r="A784" t="s">
        <v>994</v>
      </c>
      <c r="B784" s="1">
        <v>44504</v>
      </c>
      <c r="C784">
        <v>2021</v>
      </c>
      <c r="D784">
        <v>11</v>
      </c>
      <c r="E784" t="s">
        <v>125</v>
      </c>
      <c r="F784">
        <v>163</v>
      </c>
      <c r="G784" t="s">
        <v>995</v>
      </c>
      <c r="H784" t="s">
        <v>16</v>
      </c>
      <c r="I784">
        <v>0</v>
      </c>
      <c r="J784">
        <v>0</v>
      </c>
      <c r="K784">
        <v>4</v>
      </c>
      <c r="L784">
        <v>11436</v>
      </c>
      <c r="M784" t="s">
        <v>983</v>
      </c>
      <c r="N784" t="str">
        <f>IF(ISNUMBER(SEARCH("Streaming", M784)), "streaming", "cinema")</f>
        <v>cinema</v>
      </c>
      <c r="O784" t="str">
        <f>IF(I784=1, "non-original", "original")</f>
        <v>original</v>
      </c>
      <c r="P784" t="str">
        <f>IF(J784 = 1, "franchise", "non-franchise")</f>
        <v>non-franchise</v>
      </c>
      <c r="Q784" t="str">
        <f>IF(OR(I784 = 1,J784 =1), "old", "new")</f>
        <v>new</v>
      </c>
      <c r="R784">
        <f t="shared" si="24"/>
        <v>0.61214098060602995</v>
      </c>
      <c r="S784">
        <f>IF(Q784="new",1.5,1)*(K784/10)*(1-(MIN(F784,180)/180))</f>
        <v>5.6666666666666671E-2</v>
      </c>
      <c r="T784" t="str">
        <f t="shared" si="25"/>
        <v>Scenario 1: Strong Commitment</v>
      </c>
    </row>
    <row r="785" spans="1:20" x14ac:dyDescent="0.35">
      <c r="A785" t="s">
        <v>996</v>
      </c>
      <c r="B785" s="1">
        <v>44840</v>
      </c>
      <c r="C785">
        <v>2022</v>
      </c>
      <c r="D785">
        <v>10</v>
      </c>
      <c r="E785" t="s">
        <v>125</v>
      </c>
      <c r="F785">
        <v>138</v>
      </c>
      <c r="G785" t="s">
        <v>92</v>
      </c>
      <c r="H785" t="s">
        <v>16</v>
      </c>
      <c r="I785">
        <v>1</v>
      </c>
      <c r="J785">
        <v>1</v>
      </c>
      <c r="K785">
        <v>6</v>
      </c>
      <c r="L785">
        <v>81250</v>
      </c>
      <c r="M785" t="s">
        <v>989</v>
      </c>
      <c r="N785" t="str">
        <f>IF(ISNUMBER(SEARCH("Streaming", M785)), "streaming", "cinema")</f>
        <v>cinema</v>
      </c>
      <c r="O785" t="str">
        <f>IF(I785=1, "non-original", "original")</f>
        <v>non-original</v>
      </c>
      <c r="P785" t="str">
        <f>IF(J785 = 1, "franchise", "non-franchise")</f>
        <v>franchise</v>
      </c>
      <c r="Q785" t="str">
        <f>IF(OR(I785 = 1,J785 =1), "old", "new")</f>
        <v>old</v>
      </c>
      <c r="R785">
        <f t="shared" si="24"/>
        <v>0.94049974749251375</v>
      </c>
      <c r="S785">
        <f>IF(Q785="new",1.5,1)*(K785/10)*(1-(MIN(F785,180)/180))</f>
        <v>0.13999999999999996</v>
      </c>
      <c r="T785" t="str">
        <f t="shared" si="25"/>
        <v>Scenario 1: Strong Commitment</v>
      </c>
    </row>
    <row r="786" spans="1:20" x14ac:dyDescent="0.35">
      <c r="A786" t="s">
        <v>997</v>
      </c>
      <c r="B786" s="1">
        <v>44862</v>
      </c>
      <c r="C786">
        <v>2022</v>
      </c>
      <c r="D786">
        <v>10</v>
      </c>
      <c r="E786" t="s">
        <v>125</v>
      </c>
      <c r="F786">
        <v>97</v>
      </c>
      <c r="G786" t="s">
        <v>998</v>
      </c>
      <c r="H786" t="s">
        <v>16</v>
      </c>
      <c r="I786">
        <v>1</v>
      </c>
      <c r="J786">
        <v>0</v>
      </c>
      <c r="K786">
        <v>4.5999999999999996</v>
      </c>
      <c r="L786">
        <v>6762</v>
      </c>
      <c r="M786" t="s">
        <v>983</v>
      </c>
      <c r="N786" t="str">
        <f>IF(ISNUMBER(SEARCH("Streaming", M786)), "streaming", "cinema")</f>
        <v>cinema</v>
      </c>
      <c r="O786" t="str">
        <f>IF(I786=1, "non-original", "original")</f>
        <v>non-original</v>
      </c>
      <c r="P786" t="str">
        <f>IF(J786 = 1, "franchise", "non-franchise")</f>
        <v>non-franchise</v>
      </c>
      <c r="Q786" t="str">
        <f>IF(OR(I786 = 1,J786 =1), "old", "new")</f>
        <v>old</v>
      </c>
      <c r="R786">
        <f t="shared" si="24"/>
        <v>0.51569480882642016</v>
      </c>
      <c r="S786">
        <f>IF(Q786="new",1.5,1)*(K786/10)*(1-(MIN(F786,180)/180))</f>
        <v>0.21211111111111111</v>
      </c>
      <c r="T786" t="str">
        <f t="shared" si="25"/>
        <v>Scenario 1: Strong Commitment</v>
      </c>
    </row>
    <row r="787" spans="1:20" x14ac:dyDescent="0.35">
      <c r="A787" t="s">
        <v>999</v>
      </c>
      <c r="B787" s="1">
        <v>45062</v>
      </c>
      <c r="C787">
        <v>2023</v>
      </c>
      <c r="D787">
        <v>5</v>
      </c>
      <c r="E787" t="s">
        <v>38</v>
      </c>
      <c r="F787">
        <v>117</v>
      </c>
      <c r="G787" t="s">
        <v>1000</v>
      </c>
      <c r="H787" t="s">
        <v>16</v>
      </c>
      <c r="I787">
        <v>0</v>
      </c>
      <c r="J787">
        <v>0</v>
      </c>
      <c r="K787">
        <v>6.7</v>
      </c>
      <c r="L787">
        <v>16228</v>
      </c>
      <c r="M787" t="s">
        <v>983</v>
      </c>
      <c r="N787" t="str">
        <f>IF(ISNUMBER(SEARCH("Streaming", M787)), "streaming", "cinema")</f>
        <v>cinema</v>
      </c>
      <c r="O787" t="str">
        <f>IF(I787=1, "non-original", "original")</f>
        <v>original</v>
      </c>
      <c r="P787" t="str">
        <f>IF(J787 = 1, "franchise", "non-franchise")</f>
        <v>non-franchise</v>
      </c>
      <c r="Q787" t="str">
        <f>IF(OR(I787 = 1,J787 =1), "old", "new")</f>
        <v>new</v>
      </c>
      <c r="R787">
        <f t="shared" si="24"/>
        <v>0.45584559516422174</v>
      </c>
      <c r="S787">
        <f>IF(Q787="new",1.5,1)*(K787/10)*(1-(MIN(F787,180)/180))</f>
        <v>0.35175000000000001</v>
      </c>
      <c r="T787" t="str">
        <f t="shared" si="25"/>
        <v>Scenario 3: Strong Convenience</v>
      </c>
    </row>
    <row r="788" spans="1:20" x14ac:dyDescent="0.35">
      <c r="A788" t="s">
        <v>1001</v>
      </c>
      <c r="B788" s="1">
        <v>45205</v>
      </c>
      <c r="C788">
        <v>2023</v>
      </c>
      <c r="D788">
        <v>10</v>
      </c>
      <c r="E788" t="s">
        <v>125</v>
      </c>
      <c r="F788">
        <v>86</v>
      </c>
      <c r="G788" t="s">
        <v>1002</v>
      </c>
      <c r="H788" t="s">
        <v>24</v>
      </c>
      <c r="I788">
        <v>1</v>
      </c>
      <c r="J788">
        <v>0</v>
      </c>
      <c r="K788">
        <v>5.3</v>
      </c>
      <c r="L788">
        <v>4034</v>
      </c>
      <c r="M788" t="s">
        <v>983</v>
      </c>
      <c r="N788" t="str">
        <f>IF(ISNUMBER(SEARCH("Streaming", M788)), "streaming", "cinema")</f>
        <v>cinema</v>
      </c>
      <c r="O788" t="str">
        <f>IF(I788=1, "non-original", "original")</f>
        <v>non-original</v>
      </c>
      <c r="P788" t="str">
        <f>IF(J788 = 1, "franchise", "non-franchise")</f>
        <v>non-franchise</v>
      </c>
      <c r="Q788" t="str">
        <f>IF(OR(I788 = 1,J788 =1), "old", "new")</f>
        <v>old</v>
      </c>
      <c r="R788">
        <f t="shared" si="24"/>
        <v>0.43043352787229278</v>
      </c>
      <c r="S788">
        <f>IF(Q788="new",1.5,1)*(K788/10)*(1-(MIN(F788,180)/180))</f>
        <v>0.27677777777777773</v>
      </c>
      <c r="T788" t="str">
        <f t="shared" si="25"/>
        <v>Scenario 2: Weak Commitment/Convenience</v>
      </c>
    </row>
    <row r="789" spans="1:20" x14ac:dyDescent="0.35">
      <c r="A789" t="s">
        <v>1003</v>
      </c>
      <c r="B789" s="1">
        <v>45302</v>
      </c>
      <c r="C789">
        <v>2024</v>
      </c>
      <c r="D789">
        <v>1</v>
      </c>
      <c r="E789" t="s">
        <v>14</v>
      </c>
      <c r="F789">
        <v>158</v>
      </c>
      <c r="G789" t="s">
        <v>1004</v>
      </c>
      <c r="H789" t="s">
        <v>27</v>
      </c>
      <c r="I789">
        <v>1</v>
      </c>
      <c r="J789">
        <v>0</v>
      </c>
      <c r="K789">
        <v>7.7</v>
      </c>
      <c r="L789">
        <v>30308</v>
      </c>
      <c r="M789" t="s">
        <v>989</v>
      </c>
      <c r="N789" t="str">
        <f>IF(ISNUMBER(SEARCH("Streaming", M789)), "streaming", "cinema")</f>
        <v>cinema</v>
      </c>
      <c r="O789" t="str">
        <f>IF(I789=1, "non-original", "original")</f>
        <v>non-original</v>
      </c>
      <c r="P789" t="str">
        <f>IF(J789 = 1, "franchise", "non-franchise")</f>
        <v>non-franchise</v>
      </c>
      <c r="Q789" t="str">
        <f>IF(OR(I789 = 1,J789 =1), "old", "new")</f>
        <v>old</v>
      </c>
      <c r="R789">
        <f t="shared" si="24"/>
        <v>0.98287834483061032</v>
      </c>
      <c r="S789">
        <f>IF(Q789="new",1.5,1)*(K789/10)*(1-(MIN(F789,180)/180))</f>
        <v>9.4111111111111118E-2</v>
      </c>
      <c r="T789" t="str">
        <f t="shared" si="25"/>
        <v>Scenario 1: Strong Commitment</v>
      </c>
    </row>
    <row r="790" spans="1:20" x14ac:dyDescent="0.35">
      <c r="A790" t="s">
        <v>1005</v>
      </c>
      <c r="B790" s="1">
        <v>45562</v>
      </c>
      <c r="C790">
        <v>2024</v>
      </c>
      <c r="D790">
        <v>9</v>
      </c>
      <c r="E790" t="s">
        <v>125</v>
      </c>
      <c r="F790">
        <v>176</v>
      </c>
      <c r="G790" t="s">
        <v>1006</v>
      </c>
      <c r="H790" t="s">
        <v>986</v>
      </c>
      <c r="I790">
        <v>1</v>
      </c>
      <c r="J790">
        <v>0</v>
      </c>
      <c r="K790">
        <v>6</v>
      </c>
      <c r="L790">
        <v>23325</v>
      </c>
      <c r="M790" t="s">
        <v>983</v>
      </c>
      <c r="N790" t="str">
        <f>IF(ISNUMBER(SEARCH("Streaming", M790)), "streaming", "cinema")</f>
        <v>cinema</v>
      </c>
      <c r="O790" t="str">
        <f>IF(I790=1, "non-original", "original")</f>
        <v>non-original</v>
      </c>
      <c r="P790" t="str">
        <f>IF(J790 = 1, "franchise", "non-franchise")</f>
        <v>non-franchise</v>
      </c>
      <c r="Q790" t="str">
        <f>IF(OR(I790 = 1,J790 =1), "old", "new")</f>
        <v>old</v>
      </c>
      <c r="R790">
        <f t="shared" si="24"/>
        <v>1.0670660262870186</v>
      </c>
      <c r="S790">
        <f>IF(Q790="new",1.5,1)*(K790/10)*(1-(MIN(F790,180)/180))</f>
        <v>1.3333333333333352E-2</v>
      </c>
      <c r="T790" t="str">
        <f t="shared" si="25"/>
        <v>Scenario 1: Strong Commitment</v>
      </c>
    </row>
    <row r="791" spans="1:20" x14ac:dyDescent="0.35">
      <c r="A791" t="s">
        <v>1007</v>
      </c>
      <c r="B791" s="1">
        <v>44419</v>
      </c>
      <c r="C791">
        <v>2021</v>
      </c>
      <c r="D791">
        <v>8</v>
      </c>
      <c r="E791" t="s">
        <v>78</v>
      </c>
      <c r="F791">
        <v>86</v>
      </c>
      <c r="G791" t="s">
        <v>1008</v>
      </c>
      <c r="H791" t="s">
        <v>86</v>
      </c>
      <c r="I791">
        <v>0</v>
      </c>
      <c r="J791">
        <v>1</v>
      </c>
      <c r="K791">
        <v>6.1</v>
      </c>
      <c r="L791">
        <v>9524</v>
      </c>
      <c r="M791" t="s">
        <v>989</v>
      </c>
      <c r="N791" t="str">
        <f>IF(ISNUMBER(SEARCH("Streaming", M791)), "streaming", "cinema")</f>
        <v>cinema</v>
      </c>
      <c r="O791" t="str">
        <f>IF(I791=1, "non-original", "original")</f>
        <v>original</v>
      </c>
      <c r="P791" t="str">
        <f>IF(J791 = 1, "franchise", "non-franchise")</f>
        <v>franchise</v>
      </c>
      <c r="Q791" t="str">
        <f>IF(OR(I791 = 1,J791 =1), "old", "new")</f>
        <v>old</v>
      </c>
      <c r="R791">
        <f t="shared" si="24"/>
        <v>0.47497024624195378</v>
      </c>
      <c r="S791">
        <f>IF(Q791="new",1.5,1)*(K791/10)*(1-(MIN(F791,180)/180))</f>
        <v>0.31855555555555548</v>
      </c>
      <c r="T791" t="str">
        <f t="shared" si="25"/>
        <v>Scenario 3: Strong Convenience</v>
      </c>
    </row>
    <row r="792" spans="1:20" x14ac:dyDescent="0.35">
      <c r="A792" t="s">
        <v>1009</v>
      </c>
      <c r="B792" s="1">
        <v>43952</v>
      </c>
      <c r="C792">
        <v>2020</v>
      </c>
      <c r="D792">
        <v>5</v>
      </c>
      <c r="E792" t="s">
        <v>38</v>
      </c>
      <c r="F792">
        <v>95</v>
      </c>
      <c r="G792" t="s">
        <v>92</v>
      </c>
      <c r="H792" t="s">
        <v>16</v>
      </c>
      <c r="I792">
        <v>1</v>
      </c>
      <c r="J792">
        <v>0</v>
      </c>
      <c r="K792">
        <v>4.9000000000000004</v>
      </c>
      <c r="L792">
        <v>44</v>
      </c>
      <c r="M792" t="s">
        <v>989</v>
      </c>
      <c r="N792" t="str">
        <f>IF(ISNUMBER(SEARCH("Streaming", M792)), "streaming", "cinema")</f>
        <v>cinema</v>
      </c>
      <c r="O792" t="str">
        <f>IF(I792=1, "non-original", "original")</f>
        <v>non-original</v>
      </c>
      <c r="P792" t="str">
        <f>IF(J792 = 1, "franchise", "non-franchise")</f>
        <v>non-franchise</v>
      </c>
      <c r="Q792" t="str">
        <f>IF(OR(I792 = 1,J792 =1), "old", "new")</f>
        <v>old</v>
      </c>
      <c r="R792">
        <f t="shared" si="24"/>
        <v>0.21671777661988542</v>
      </c>
      <c r="S792">
        <f>IF(Q792="new",1.5,1)*(K792/10)*(1-(MIN(F792,180)/180))</f>
        <v>0.23138888888888889</v>
      </c>
      <c r="T792" t="str">
        <f t="shared" si="25"/>
        <v>Scenario 2: Weak Commitment/Convenience</v>
      </c>
    </row>
    <row r="793" spans="1:20" x14ac:dyDescent="0.35">
      <c r="A793" t="s">
        <v>1010</v>
      </c>
      <c r="B793" s="1">
        <v>45574</v>
      </c>
      <c r="C793">
        <v>2024</v>
      </c>
      <c r="D793">
        <v>10</v>
      </c>
      <c r="E793" t="s">
        <v>125</v>
      </c>
      <c r="F793">
        <v>125</v>
      </c>
      <c r="G793" t="s">
        <v>92</v>
      </c>
      <c r="H793" t="s">
        <v>16</v>
      </c>
      <c r="I793">
        <v>1</v>
      </c>
      <c r="J793">
        <v>1</v>
      </c>
      <c r="K793">
        <v>6.2</v>
      </c>
      <c r="L793">
        <v>61504</v>
      </c>
      <c r="M793" t="s">
        <v>989</v>
      </c>
      <c r="N793" t="str">
        <f>IF(ISNUMBER(SEARCH("Streaming", M793)), "streaming", "cinema")</f>
        <v>cinema</v>
      </c>
      <c r="O793" t="str">
        <f>IF(I793=1, "non-original", "original")</f>
        <v>non-original</v>
      </c>
      <c r="P793" t="str">
        <f>IF(J793 = 1, "franchise", "non-franchise")</f>
        <v>franchise</v>
      </c>
      <c r="Q793" t="str">
        <f>IF(OR(I793 = 1,J793 =1), "old", "new")</f>
        <v>old</v>
      </c>
      <c r="R793">
        <f t="shared" si="24"/>
        <v>0.83092115173598324</v>
      </c>
      <c r="S793">
        <f>IF(Q793="new",1.5,1)*(K793/10)*(1-(MIN(F793,180)/180))</f>
        <v>0.18944444444444447</v>
      </c>
      <c r="T793" t="str">
        <f t="shared" si="25"/>
        <v>Scenario 1: Strong Commitment</v>
      </c>
    </row>
    <row r="794" spans="1:20" x14ac:dyDescent="0.35">
      <c r="A794" t="s">
        <v>1011</v>
      </c>
      <c r="B794" s="1">
        <v>43833</v>
      </c>
      <c r="C794">
        <v>2020</v>
      </c>
      <c r="D794">
        <v>1</v>
      </c>
      <c r="E794" t="s">
        <v>14</v>
      </c>
      <c r="F794">
        <v>100</v>
      </c>
      <c r="G794" t="s">
        <v>1012</v>
      </c>
      <c r="H794" t="s">
        <v>56</v>
      </c>
      <c r="I794">
        <v>0</v>
      </c>
      <c r="J794">
        <v>0</v>
      </c>
      <c r="K794">
        <v>6.7</v>
      </c>
      <c r="L794">
        <v>63789</v>
      </c>
      <c r="M794" t="s">
        <v>983</v>
      </c>
      <c r="N794" t="str">
        <f>IF(ISNUMBER(SEARCH("Streaming", M794)), "streaming", "cinema")</f>
        <v>cinema</v>
      </c>
      <c r="O794" t="str">
        <f>IF(I794=1, "non-original", "original")</f>
        <v>original</v>
      </c>
      <c r="P794" t="str">
        <f>IF(J794 = 1, "franchise", "non-franchise")</f>
        <v>non-franchise</v>
      </c>
      <c r="Q794" t="str">
        <f>IF(OR(I794 = 1,J794 =1), "old", "new")</f>
        <v>new</v>
      </c>
      <c r="R794">
        <f t="shared" si="24"/>
        <v>0.44462398255551377</v>
      </c>
      <c r="S794">
        <f>IF(Q794="new",1.5,1)*(K794/10)*(1-(MIN(F794,180)/180))</f>
        <v>0.44666666666666671</v>
      </c>
      <c r="T794" t="str">
        <f t="shared" si="25"/>
        <v>Scenario 3: Strong Convenience</v>
      </c>
    </row>
    <row r="795" spans="1:20" x14ac:dyDescent="0.35">
      <c r="A795" t="s">
        <v>1013</v>
      </c>
      <c r="B795" s="1">
        <v>43838</v>
      </c>
      <c r="C795">
        <v>2020</v>
      </c>
      <c r="D795">
        <v>1</v>
      </c>
      <c r="E795" t="s">
        <v>14</v>
      </c>
      <c r="F795">
        <v>101</v>
      </c>
      <c r="G795" t="s">
        <v>1014</v>
      </c>
      <c r="H795" t="s">
        <v>56</v>
      </c>
      <c r="I795">
        <v>0</v>
      </c>
      <c r="J795">
        <v>0</v>
      </c>
      <c r="K795">
        <v>5.6</v>
      </c>
      <c r="L795">
        <v>78492</v>
      </c>
      <c r="M795" t="s">
        <v>983</v>
      </c>
      <c r="N795" t="str">
        <f>IF(ISNUMBER(SEARCH("Streaming", M795)), "streaming", "cinema")</f>
        <v>cinema</v>
      </c>
      <c r="O795" t="str">
        <f>IF(I795=1, "non-original", "original")</f>
        <v>original</v>
      </c>
      <c r="P795" t="str">
        <f>IF(J795 = 1, "franchise", "non-franchise")</f>
        <v>non-franchise</v>
      </c>
      <c r="Q795" t="str">
        <f>IF(OR(I795 = 1,J795 =1), "old", "new")</f>
        <v>new</v>
      </c>
      <c r="R795">
        <f t="shared" si="24"/>
        <v>0.45748941213862782</v>
      </c>
      <c r="S795">
        <f>IF(Q795="new",1.5,1)*(K795/10)*(1-(MIN(F795,180)/180))</f>
        <v>0.36866666666666659</v>
      </c>
      <c r="T795" t="str">
        <f t="shared" si="25"/>
        <v>Scenario 3: Strong Convenience</v>
      </c>
    </row>
    <row r="796" spans="1:20" x14ac:dyDescent="0.35">
      <c r="A796" t="s">
        <v>1015</v>
      </c>
      <c r="B796" s="1">
        <v>43874</v>
      </c>
      <c r="C796">
        <v>2020</v>
      </c>
      <c r="D796">
        <v>2</v>
      </c>
      <c r="E796" t="s">
        <v>14</v>
      </c>
      <c r="F796">
        <v>124</v>
      </c>
      <c r="G796" t="s">
        <v>1016</v>
      </c>
      <c r="H796" t="s">
        <v>56</v>
      </c>
      <c r="I796">
        <v>0</v>
      </c>
      <c r="J796">
        <v>0</v>
      </c>
      <c r="K796">
        <v>6.7</v>
      </c>
      <c r="L796">
        <v>70923</v>
      </c>
      <c r="M796" t="s">
        <v>989</v>
      </c>
      <c r="N796" t="str">
        <f>IF(ISNUMBER(SEARCH("Streaming", M796)), "streaming", "cinema")</f>
        <v>cinema</v>
      </c>
      <c r="O796" t="str">
        <f>IF(I796=1, "non-original", "original")</f>
        <v>original</v>
      </c>
      <c r="P796" t="str">
        <f>IF(J796 = 1, "franchise", "non-franchise")</f>
        <v>non-franchise</v>
      </c>
      <c r="Q796" t="str">
        <f>IF(OR(I796 = 1,J796 =1), "old", "new")</f>
        <v>new</v>
      </c>
      <c r="R796">
        <f t="shared" si="24"/>
        <v>0.55661687409233473</v>
      </c>
      <c r="S796">
        <f>IF(Q796="new",1.5,1)*(K796/10)*(1-(MIN(F796,180)/180))</f>
        <v>0.3126666666666667</v>
      </c>
      <c r="T796" t="str">
        <f t="shared" si="25"/>
        <v>Scenario 1: Strong Commitment</v>
      </c>
    </row>
    <row r="797" spans="1:20" x14ac:dyDescent="0.35">
      <c r="A797" t="s">
        <v>1017</v>
      </c>
      <c r="B797" s="1">
        <v>43889</v>
      </c>
      <c r="C797">
        <v>2020</v>
      </c>
      <c r="D797">
        <v>2</v>
      </c>
      <c r="E797" t="s">
        <v>14</v>
      </c>
      <c r="F797">
        <v>102</v>
      </c>
      <c r="G797" t="s">
        <v>1018</v>
      </c>
      <c r="H797" t="s">
        <v>56</v>
      </c>
      <c r="I797">
        <v>1</v>
      </c>
      <c r="J797">
        <v>0</v>
      </c>
      <c r="K797">
        <v>7.4</v>
      </c>
      <c r="L797">
        <v>184929</v>
      </c>
      <c r="M797" t="s">
        <v>983</v>
      </c>
      <c r="N797" t="str">
        <f>IF(ISNUMBER(SEARCH("Streaming", M797)), "streaming", "cinema")</f>
        <v>cinema</v>
      </c>
      <c r="O797" t="str">
        <f>IF(I797=1, "non-original", "original")</f>
        <v>non-original</v>
      </c>
      <c r="P797" t="str">
        <f>IF(J797 = 1, "franchise", "non-franchise")</f>
        <v>non-franchise</v>
      </c>
      <c r="Q797" t="str">
        <f>IF(OR(I797 = 1,J797 =1), "old", "new")</f>
        <v>old</v>
      </c>
      <c r="R797">
        <f t="shared" si="24"/>
        <v>0.74572316188389765</v>
      </c>
      <c r="S797">
        <f>IF(Q797="new",1.5,1)*(K797/10)*(1-(MIN(F797,180)/180))</f>
        <v>0.32066666666666666</v>
      </c>
      <c r="T797" t="str">
        <f t="shared" si="25"/>
        <v>Scenario 4: Hybrid Logic</v>
      </c>
    </row>
    <row r="798" spans="1:20" x14ac:dyDescent="0.35">
      <c r="A798" t="s">
        <v>1019</v>
      </c>
      <c r="B798" s="1">
        <v>43901</v>
      </c>
      <c r="C798">
        <v>2020</v>
      </c>
      <c r="D798">
        <v>3</v>
      </c>
      <c r="E798" t="s">
        <v>38</v>
      </c>
      <c r="F798">
        <v>116</v>
      </c>
      <c r="G798" t="s">
        <v>1020</v>
      </c>
      <c r="H798" t="s">
        <v>56</v>
      </c>
      <c r="I798">
        <v>0</v>
      </c>
      <c r="J798">
        <v>1</v>
      </c>
      <c r="K798">
        <v>6.5</v>
      </c>
      <c r="L798">
        <v>15258</v>
      </c>
      <c r="M798" t="s">
        <v>983</v>
      </c>
      <c r="N798" t="str">
        <f>IF(ISNUMBER(SEARCH("Streaming", M798)), "streaming", "cinema")</f>
        <v>cinema</v>
      </c>
      <c r="O798" t="str">
        <f>IF(I798=1, "non-original", "original")</f>
        <v>original</v>
      </c>
      <c r="P798" t="str">
        <f>IF(J798 = 1, "franchise", "non-franchise")</f>
        <v>franchise</v>
      </c>
      <c r="Q798" t="str">
        <f>IF(OR(I798 = 1,J798 =1), "old", "new")</f>
        <v>old</v>
      </c>
      <c r="R798">
        <f t="shared" si="24"/>
        <v>0.67361421399248245</v>
      </c>
      <c r="S798">
        <f>IF(Q798="new",1.5,1)*(K798/10)*(1-(MIN(F798,180)/180))</f>
        <v>0.2311111111111111</v>
      </c>
      <c r="T798" t="str">
        <f t="shared" si="25"/>
        <v>Scenario 1: Strong Commitment</v>
      </c>
    </row>
    <row r="799" spans="1:20" x14ac:dyDescent="0.35">
      <c r="A799" t="s">
        <v>1021</v>
      </c>
      <c r="B799" s="1">
        <v>44006</v>
      </c>
      <c r="C799">
        <v>2020</v>
      </c>
      <c r="D799">
        <v>6</v>
      </c>
      <c r="E799" t="s">
        <v>78</v>
      </c>
      <c r="F799">
        <v>80</v>
      </c>
      <c r="G799" t="s">
        <v>985</v>
      </c>
      <c r="H799" t="s">
        <v>56</v>
      </c>
      <c r="I799">
        <v>1</v>
      </c>
      <c r="J799">
        <v>0</v>
      </c>
      <c r="K799">
        <v>5.9</v>
      </c>
      <c r="L799">
        <v>122</v>
      </c>
      <c r="M799" t="s">
        <v>983</v>
      </c>
      <c r="N799" t="str">
        <f>IF(ISNUMBER(SEARCH("Streaming", M799)), "streaming", "cinema")</f>
        <v>cinema</v>
      </c>
      <c r="O799" t="str">
        <f>IF(I799=1, "non-original", "original")</f>
        <v>non-original</v>
      </c>
      <c r="P799" t="str">
        <f>IF(J799 = 1, "franchise", "non-franchise")</f>
        <v>non-franchise</v>
      </c>
      <c r="Q799" t="str">
        <f>IF(OR(I799 = 1,J799 =1), "old", "new")</f>
        <v>old</v>
      </c>
      <c r="R799">
        <f t="shared" si="24"/>
        <v>0.23168233827519338</v>
      </c>
      <c r="S799">
        <f>IF(Q799="new",1.5,1)*(K799/10)*(1-(MIN(F799,180)/180))</f>
        <v>0.32777777777777783</v>
      </c>
      <c r="T799" t="str">
        <f t="shared" si="25"/>
        <v>Scenario 3: Strong Convenience</v>
      </c>
    </row>
    <row r="800" spans="1:20" x14ac:dyDescent="0.35">
      <c r="A800" t="s">
        <v>1023</v>
      </c>
      <c r="B800" s="1">
        <v>44042</v>
      </c>
      <c r="C800">
        <v>2020</v>
      </c>
      <c r="D800">
        <v>7</v>
      </c>
      <c r="E800" t="s">
        <v>78</v>
      </c>
      <c r="F800">
        <v>107</v>
      </c>
      <c r="G800" t="s">
        <v>1024</v>
      </c>
      <c r="H800" t="s">
        <v>56</v>
      </c>
      <c r="I800">
        <v>0</v>
      </c>
      <c r="J800">
        <v>0</v>
      </c>
      <c r="K800">
        <v>6.6</v>
      </c>
      <c r="L800">
        <v>19723</v>
      </c>
      <c r="M800" t="s">
        <v>983</v>
      </c>
      <c r="N800" t="str">
        <f>IF(ISNUMBER(SEARCH("Streaming", M800)), "streaming", "cinema")</f>
        <v>cinema</v>
      </c>
      <c r="O800" t="str">
        <f>IF(I800=1, "non-original", "original")</f>
        <v>original</v>
      </c>
      <c r="P800" t="str">
        <f>IF(J800 = 1, "franchise", "non-franchise")</f>
        <v>non-franchise</v>
      </c>
      <c r="Q800" t="str">
        <f>IF(OR(I800 = 1,J800 =1), "old", "new")</f>
        <v>new</v>
      </c>
      <c r="R800">
        <f t="shared" si="24"/>
        <v>0.42527189488549083</v>
      </c>
      <c r="S800">
        <f>IF(Q800="new",1.5,1)*(K800/10)*(1-(MIN(F800,180)/180))</f>
        <v>0.40149999999999997</v>
      </c>
      <c r="T800" t="str">
        <f t="shared" si="25"/>
        <v>Scenario 3: Strong Convenience</v>
      </c>
    </row>
    <row r="801" spans="1:20" x14ac:dyDescent="0.35">
      <c r="A801" t="s">
        <v>1025</v>
      </c>
      <c r="B801" s="1">
        <v>44043</v>
      </c>
      <c r="C801">
        <v>2020</v>
      </c>
      <c r="D801">
        <v>7</v>
      </c>
      <c r="E801" t="s">
        <v>78</v>
      </c>
      <c r="F801">
        <v>91</v>
      </c>
      <c r="G801" t="s">
        <v>1018</v>
      </c>
      <c r="H801" t="s">
        <v>56</v>
      </c>
      <c r="I801">
        <v>0</v>
      </c>
      <c r="J801">
        <v>1</v>
      </c>
      <c r="K801">
        <v>5.9</v>
      </c>
      <c r="L801">
        <v>25403</v>
      </c>
      <c r="M801" t="s">
        <v>983</v>
      </c>
      <c r="N801" t="str">
        <f>IF(ISNUMBER(SEARCH("Streaming", M801)), "streaming", "cinema")</f>
        <v>cinema</v>
      </c>
      <c r="O801" t="str">
        <f>IF(I801=1, "non-original", "original")</f>
        <v>original</v>
      </c>
      <c r="P801" t="str">
        <f>IF(J801 = 1, "franchise", "non-franchise")</f>
        <v>franchise</v>
      </c>
      <c r="Q801" t="str">
        <f>IF(OR(I801 = 1,J801 =1), "old", "new")</f>
        <v>old</v>
      </c>
      <c r="R801">
        <f t="shared" si="24"/>
        <v>0.55640329847124026</v>
      </c>
      <c r="S801">
        <f>IF(Q801="new",1.5,1)*(K801/10)*(1-(MIN(F801,180)/180))</f>
        <v>0.29172222222222227</v>
      </c>
      <c r="T801" t="str">
        <f t="shared" si="25"/>
        <v>Scenario 1: Strong Commitment</v>
      </c>
    </row>
    <row r="802" spans="1:20" x14ac:dyDescent="0.35">
      <c r="A802" t="s">
        <v>1026</v>
      </c>
      <c r="B802" s="1">
        <v>44071</v>
      </c>
      <c r="C802">
        <v>2020</v>
      </c>
      <c r="D802">
        <v>8</v>
      </c>
      <c r="E802" t="s">
        <v>78</v>
      </c>
      <c r="F802">
        <v>94</v>
      </c>
      <c r="G802" t="s">
        <v>1027</v>
      </c>
      <c r="H802" t="s">
        <v>56</v>
      </c>
      <c r="I802">
        <v>0</v>
      </c>
      <c r="J802">
        <v>0</v>
      </c>
      <c r="K802">
        <v>5.7</v>
      </c>
      <c r="L802">
        <v>27816</v>
      </c>
      <c r="M802" t="s">
        <v>983</v>
      </c>
      <c r="N802" t="str">
        <f>IF(ISNUMBER(SEARCH("Streaming", M802)), "streaming", "cinema")</f>
        <v>cinema</v>
      </c>
      <c r="O802" t="str">
        <f>IF(I802=1, "non-original", "original")</f>
        <v>original</v>
      </c>
      <c r="P802" t="str">
        <f>IF(J802 = 1, "franchise", "non-franchise")</f>
        <v>non-franchise</v>
      </c>
      <c r="Q802" t="str">
        <f>IF(OR(I802 = 1,J802 =1), "old", "new")</f>
        <v>new</v>
      </c>
      <c r="R802">
        <f t="shared" si="24"/>
        <v>0.38659227333934115</v>
      </c>
      <c r="S802">
        <f>IF(Q802="new",1.5,1)*(K802/10)*(1-(MIN(F802,180)/180))</f>
        <v>0.40850000000000003</v>
      </c>
      <c r="T802" t="str">
        <f t="shared" si="25"/>
        <v>Scenario 3: Strong Convenience</v>
      </c>
    </row>
    <row r="803" spans="1:20" x14ac:dyDescent="0.35">
      <c r="A803" t="s">
        <v>1028</v>
      </c>
      <c r="B803" s="1">
        <v>44134</v>
      </c>
      <c r="C803">
        <v>2020</v>
      </c>
      <c r="D803">
        <v>10</v>
      </c>
      <c r="E803" t="s">
        <v>125</v>
      </c>
      <c r="F803">
        <v>103</v>
      </c>
      <c r="G803" t="s">
        <v>1008</v>
      </c>
      <c r="H803" t="s">
        <v>56</v>
      </c>
      <c r="I803">
        <v>0</v>
      </c>
      <c r="J803">
        <v>0</v>
      </c>
      <c r="K803">
        <v>8</v>
      </c>
      <c r="L803">
        <v>44427</v>
      </c>
      <c r="M803" t="s">
        <v>983</v>
      </c>
      <c r="N803" t="str">
        <f>IF(ISNUMBER(SEARCH("Streaming", M803)), "streaming", "cinema")</f>
        <v>cinema</v>
      </c>
      <c r="O803" t="str">
        <f>IF(I803=1, "non-original", "original")</f>
        <v>original</v>
      </c>
      <c r="P803" t="str">
        <f>IF(J803 = 1, "franchise", "non-franchise")</f>
        <v>non-franchise</v>
      </c>
      <c r="Q803" t="str">
        <f>IF(OR(I803 = 1,J803 =1), "old", "new")</f>
        <v>new</v>
      </c>
      <c r="R803">
        <f t="shared" si="24"/>
        <v>0.44298888306299294</v>
      </c>
      <c r="S803">
        <f>IF(Q803="new",1.5,1)*(K803/10)*(1-(MIN(F803,180)/180))</f>
        <v>0.51333333333333342</v>
      </c>
      <c r="T803" t="str">
        <f t="shared" si="25"/>
        <v>Scenario 3: Strong Convenience</v>
      </c>
    </row>
    <row r="804" spans="1:20" x14ac:dyDescent="0.35">
      <c r="A804" t="s">
        <v>1029</v>
      </c>
      <c r="B804" s="1">
        <v>44160</v>
      </c>
      <c r="C804">
        <v>2020</v>
      </c>
      <c r="D804">
        <v>11</v>
      </c>
      <c r="E804" t="s">
        <v>125</v>
      </c>
      <c r="F804">
        <v>95</v>
      </c>
      <c r="G804" t="s">
        <v>1018</v>
      </c>
      <c r="H804" t="s">
        <v>56</v>
      </c>
      <c r="I804">
        <v>1</v>
      </c>
      <c r="J804">
        <v>1</v>
      </c>
      <c r="K804">
        <v>6.9</v>
      </c>
      <c r="L804">
        <v>60639</v>
      </c>
      <c r="M804" t="s">
        <v>989</v>
      </c>
      <c r="N804" t="str">
        <f>IF(ISNUMBER(SEARCH("Streaming", M804)), "streaming", "cinema")</f>
        <v>cinema</v>
      </c>
      <c r="O804" t="str">
        <f>IF(I804=1, "non-original", "original")</f>
        <v>non-original</v>
      </c>
      <c r="P804" t="str">
        <f>IF(J804 = 1, "franchise", "non-franchise")</f>
        <v>franchise</v>
      </c>
      <c r="Q804" t="str">
        <f>IF(OR(I804 = 1,J804 =1), "old", "new")</f>
        <v>old</v>
      </c>
      <c r="R804">
        <f t="shared" si="24"/>
        <v>0.63068891550760819</v>
      </c>
      <c r="S804">
        <f>IF(Q804="new",1.5,1)*(K804/10)*(1-(MIN(F804,180)/180))</f>
        <v>0.32583333333333336</v>
      </c>
      <c r="T804" t="str">
        <f t="shared" si="25"/>
        <v>Scenario 4: Hybrid Logic</v>
      </c>
    </row>
    <row r="805" spans="1:20" x14ac:dyDescent="0.35">
      <c r="A805" t="s">
        <v>1030</v>
      </c>
      <c r="B805" s="1">
        <v>44208</v>
      </c>
      <c r="C805">
        <v>2021</v>
      </c>
      <c r="D805">
        <v>1</v>
      </c>
      <c r="E805" t="s">
        <v>14</v>
      </c>
      <c r="F805">
        <v>90</v>
      </c>
      <c r="G805" t="s">
        <v>1014</v>
      </c>
      <c r="H805" t="s">
        <v>56</v>
      </c>
      <c r="I805">
        <v>1</v>
      </c>
      <c r="J805">
        <v>0</v>
      </c>
      <c r="K805">
        <v>5.4</v>
      </c>
      <c r="L805">
        <v>403</v>
      </c>
      <c r="M805" t="s">
        <v>983</v>
      </c>
      <c r="N805" t="str">
        <f>IF(ISNUMBER(SEARCH("Streaming", M805)), "streaming", "cinema")</f>
        <v>cinema</v>
      </c>
      <c r="O805" t="str">
        <f>IF(I805=1, "non-original", "original")</f>
        <v>non-original</v>
      </c>
      <c r="P805" t="str">
        <f>IF(J805 = 1, "franchise", "non-franchise")</f>
        <v>non-franchise</v>
      </c>
      <c r="Q805" t="str">
        <f>IF(OR(I805 = 1,J805 =1), "old", "new")</f>
        <v>old</v>
      </c>
      <c r="R805">
        <f t="shared" si="24"/>
        <v>0.32547288854616574</v>
      </c>
      <c r="S805">
        <f>IF(Q805="new",1.5,1)*(K805/10)*(1-(MIN(F805,180)/180))</f>
        <v>0.27</v>
      </c>
      <c r="T805" t="str">
        <f t="shared" si="25"/>
        <v>Scenario 2: Weak Commitment/Convenience</v>
      </c>
    </row>
    <row r="806" spans="1:20" x14ac:dyDescent="0.35">
      <c r="A806" t="s">
        <v>1031</v>
      </c>
      <c r="B806" s="1">
        <v>44239</v>
      </c>
      <c r="C806">
        <v>2021</v>
      </c>
      <c r="D806">
        <v>2</v>
      </c>
      <c r="E806" t="s">
        <v>14</v>
      </c>
      <c r="F806">
        <v>101</v>
      </c>
      <c r="G806" t="s">
        <v>269</v>
      </c>
      <c r="H806" t="s">
        <v>56</v>
      </c>
      <c r="I806">
        <v>0</v>
      </c>
      <c r="J806">
        <v>1</v>
      </c>
      <c r="K806">
        <v>5.3</v>
      </c>
      <c r="L806">
        <v>43075</v>
      </c>
      <c r="M806" t="s">
        <v>989</v>
      </c>
      <c r="N806" t="str">
        <f>IF(ISNUMBER(SEARCH("Streaming", M806)), "streaming", "cinema")</f>
        <v>cinema</v>
      </c>
      <c r="O806" t="str">
        <f>IF(I806=1, "non-original", "original")</f>
        <v>original</v>
      </c>
      <c r="P806" t="str">
        <f>IF(J806 = 1, "franchise", "non-franchise")</f>
        <v>franchise</v>
      </c>
      <c r="Q806" t="str">
        <f>IF(OR(I806 = 1,J806 =1), "old", "new")</f>
        <v>old</v>
      </c>
      <c r="R806">
        <f t="shared" si="24"/>
        <v>0.64969906912907782</v>
      </c>
      <c r="S806">
        <f>IF(Q806="new",1.5,1)*(K806/10)*(1-(MIN(F806,180)/180))</f>
        <v>0.23261111111111113</v>
      </c>
      <c r="T806" t="str">
        <f t="shared" si="25"/>
        <v>Scenario 1: Strong Commitment</v>
      </c>
    </row>
    <row r="807" spans="1:20" x14ac:dyDescent="0.35">
      <c r="A807" t="s">
        <v>1032</v>
      </c>
      <c r="B807" s="1">
        <v>44262</v>
      </c>
      <c r="C807">
        <v>2021</v>
      </c>
      <c r="D807">
        <v>3</v>
      </c>
      <c r="E807" t="s">
        <v>38</v>
      </c>
      <c r="F807">
        <v>88</v>
      </c>
      <c r="G807" t="s">
        <v>1018</v>
      </c>
      <c r="H807" t="s">
        <v>56</v>
      </c>
      <c r="I807">
        <v>0</v>
      </c>
      <c r="J807">
        <v>1</v>
      </c>
      <c r="K807">
        <v>5.5</v>
      </c>
      <c r="L807">
        <v>5394</v>
      </c>
      <c r="M807" t="s">
        <v>983</v>
      </c>
      <c r="N807" t="str">
        <f>IF(ISNUMBER(SEARCH("Streaming", M807)), "streaming", "cinema")</f>
        <v>cinema</v>
      </c>
      <c r="O807" t="str">
        <f>IF(I807=1, "non-original", "original")</f>
        <v>original</v>
      </c>
      <c r="P807" t="str">
        <f>IF(J807 = 1, "franchise", "non-franchise")</f>
        <v>franchise</v>
      </c>
      <c r="Q807" t="str">
        <f>IF(OR(I807 = 1,J807 =1), "old", "new")</f>
        <v>old</v>
      </c>
      <c r="R807">
        <f t="shared" si="24"/>
        <v>0.45585599600394466</v>
      </c>
      <c r="S807">
        <f>IF(Q807="new",1.5,1)*(K807/10)*(1-(MIN(F807,180)/180))</f>
        <v>0.28111111111111109</v>
      </c>
      <c r="T807" t="str">
        <f t="shared" si="25"/>
        <v>Scenario 2: Weak Commitment/Convenience</v>
      </c>
    </row>
    <row r="808" spans="1:20" x14ac:dyDescent="0.35">
      <c r="A808" t="s">
        <v>1033</v>
      </c>
      <c r="B808" s="1">
        <v>44281</v>
      </c>
      <c r="C808">
        <v>2021</v>
      </c>
      <c r="D808">
        <v>3</v>
      </c>
      <c r="E808" t="s">
        <v>38</v>
      </c>
      <c r="F808">
        <v>93</v>
      </c>
      <c r="G808" t="s">
        <v>1018</v>
      </c>
      <c r="H808" t="s">
        <v>56</v>
      </c>
      <c r="I808">
        <v>0</v>
      </c>
      <c r="J808">
        <v>1</v>
      </c>
      <c r="K808">
        <v>6.2</v>
      </c>
      <c r="L808">
        <v>16764</v>
      </c>
      <c r="M808" t="s">
        <v>989</v>
      </c>
      <c r="N808" t="str">
        <f>IF(ISNUMBER(SEARCH("Streaming", M808)), "streaming", "cinema")</f>
        <v>cinema</v>
      </c>
      <c r="O808" t="str">
        <f>IF(I808=1, "non-original", "original")</f>
        <v>original</v>
      </c>
      <c r="P808" t="str">
        <f>IF(J808 = 1, "franchise", "non-franchise")</f>
        <v>franchise</v>
      </c>
      <c r="Q808" t="str">
        <f>IF(OR(I808 = 1,J808 =1), "old", "new")</f>
        <v>old</v>
      </c>
      <c r="R808">
        <f t="shared" si="24"/>
        <v>0.54533002910937733</v>
      </c>
      <c r="S808">
        <f>IF(Q808="new",1.5,1)*(K808/10)*(1-(MIN(F808,180)/180))</f>
        <v>0.29966666666666664</v>
      </c>
      <c r="T808" t="str">
        <f t="shared" si="25"/>
        <v>Scenario 1: Strong Commitment</v>
      </c>
    </row>
    <row r="809" spans="1:20" x14ac:dyDescent="0.35">
      <c r="A809" t="s">
        <v>1034</v>
      </c>
      <c r="B809" s="1">
        <v>44378</v>
      </c>
      <c r="C809">
        <v>2021</v>
      </c>
      <c r="D809">
        <v>7</v>
      </c>
      <c r="E809" t="s">
        <v>78</v>
      </c>
      <c r="F809">
        <v>107</v>
      </c>
      <c r="G809" t="s">
        <v>1018</v>
      </c>
      <c r="H809" t="s">
        <v>56</v>
      </c>
      <c r="I809">
        <v>0</v>
      </c>
      <c r="J809">
        <v>1</v>
      </c>
      <c r="K809">
        <v>5.9</v>
      </c>
      <c r="L809">
        <v>26121</v>
      </c>
      <c r="M809" t="s">
        <v>983</v>
      </c>
      <c r="N809" t="str">
        <f>IF(ISNUMBER(SEARCH("Streaming", M809)), "streaming", "cinema")</f>
        <v>cinema</v>
      </c>
      <c r="O809" t="str">
        <f>IF(I809=1, "non-original", "original")</f>
        <v>original</v>
      </c>
      <c r="P809" t="str">
        <f>IF(J809 = 1, "franchise", "non-franchise")</f>
        <v>franchise</v>
      </c>
      <c r="Q809" t="str">
        <f>IF(OR(I809 = 1,J809 =1), "old", "new")</f>
        <v>old</v>
      </c>
      <c r="R809">
        <f t="shared" si="24"/>
        <v>0.65603030542087082</v>
      </c>
      <c r="S809">
        <f>IF(Q809="new",1.5,1)*(K809/10)*(1-(MIN(F809,180)/180))</f>
        <v>0.23927777777777781</v>
      </c>
      <c r="T809" t="str">
        <f t="shared" si="25"/>
        <v>Scenario 1: Strong Commitment</v>
      </c>
    </row>
    <row r="810" spans="1:20" x14ac:dyDescent="0.35">
      <c r="A810" t="s">
        <v>1035</v>
      </c>
      <c r="B810" s="1">
        <v>44391</v>
      </c>
      <c r="C810">
        <v>2021</v>
      </c>
      <c r="D810">
        <v>7</v>
      </c>
      <c r="E810" t="s">
        <v>78</v>
      </c>
      <c r="F810">
        <v>115</v>
      </c>
      <c r="G810" t="s">
        <v>1018</v>
      </c>
      <c r="H810" t="s">
        <v>56</v>
      </c>
      <c r="I810">
        <v>1</v>
      </c>
      <c r="J810">
        <v>1</v>
      </c>
      <c r="K810">
        <v>4.5</v>
      </c>
      <c r="L810">
        <v>86318</v>
      </c>
      <c r="M810" t="s">
        <v>983</v>
      </c>
      <c r="N810" t="str">
        <f>IF(ISNUMBER(SEARCH("Streaming", M810)), "streaming", "cinema")</f>
        <v>cinema</v>
      </c>
      <c r="O810" t="str">
        <f>IF(I810=1, "non-original", "original")</f>
        <v>non-original</v>
      </c>
      <c r="P810" t="str">
        <f>IF(J810 = 1, "franchise", "non-franchise")</f>
        <v>franchise</v>
      </c>
      <c r="Q810" t="str">
        <f>IF(OR(I810 = 1,J810 =1), "old", "new")</f>
        <v>old</v>
      </c>
      <c r="R810">
        <f t="shared" si="24"/>
        <v>0.78794451818752587</v>
      </c>
      <c r="S810">
        <f>IF(Q810="new",1.5,1)*(K810/10)*(1-(MIN(F810,180)/180))</f>
        <v>0.16250000000000003</v>
      </c>
      <c r="T810" t="str">
        <f t="shared" si="25"/>
        <v>Scenario 1: Strong Commitment</v>
      </c>
    </row>
    <row r="811" spans="1:20" x14ac:dyDescent="0.35">
      <c r="A811" t="s">
        <v>1036</v>
      </c>
      <c r="B811" s="1">
        <v>44510</v>
      </c>
      <c r="C811">
        <v>2021</v>
      </c>
      <c r="D811">
        <v>11</v>
      </c>
      <c r="E811" t="s">
        <v>125</v>
      </c>
      <c r="F811">
        <v>96</v>
      </c>
      <c r="G811" t="s">
        <v>1014</v>
      </c>
      <c r="H811" t="s">
        <v>56</v>
      </c>
      <c r="I811">
        <v>0</v>
      </c>
      <c r="J811">
        <v>0</v>
      </c>
      <c r="K811">
        <v>5.9</v>
      </c>
      <c r="L811">
        <v>18721</v>
      </c>
      <c r="M811" t="s">
        <v>983</v>
      </c>
      <c r="N811" t="str">
        <f>IF(ISNUMBER(SEARCH("Streaming", M811)), "streaming", "cinema")</f>
        <v>cinema</v>
      </c>
      <c r="O811" t="str">
        <f>IF(I811=1, "non-original", "original")</f>
        <v>original</v>
      </c>
      <c r="P811" t="str">
        <f>IF(J811 = 1, "franchise", "non-franchise")</f>
        <v>non-franchise</v>
      </c>
      <c r="Q811" t="str">
        <f>IF(OR(I811 = 1,J811 =1), "old", "new")</f>
        <v>new</v>
      </c>
      <c r="R811">
        <f t="shared" si="24"/>
        <v>0.37954073619472495</v>
      </c>
      <c r="S811">
        <f>IF(Q811="new",1.5,1)*(K811/10)*(1-(MIN(F811,180)/180))</f>
        <v>0.41300000000000009</v>
      </c>
      <c r="T811" t="str">
        <f t="shared" si="25"/>
        <v>Scenario 3: Strong Convenience</v>
      </c>
    </row>
    <row r="812" spans="1:20" x14ac:dyDescent="0.35">
      <c r="A812" t="s">
        <v>1037</v>
      </c>
      <c r="B812" s="1">
        <v>44524</v>
      </c>
      <c r="C812">
        <v>2021</v>
      </c>
      <c r="D812">
        <v>11</v>
      </c>
      <c r="E812" t="s">
        <v>125</v>
      </c>
      <c r="F812">
        <v>102</v>
      </c>
      <c r="G812" t="s">
        <v>1038</v>
      </c>
      <c r="H812" t="s">
        <v>56</v>
      </c>
      <c r="I812">
        <v>1</v>
      </c>
      <c r="J812">
        <v>0</v>
      </c>
      <c r="K812">
        <v>7.2</v>
      </c>
      <c r="L812">
        <v>294328</v>
      </c>
      <c r="M812" t="s">
        <v>983</v>
      </c>
      <c r="N812" t="str">
        <f>IF(ISNUMBER(SEARCH("Streaming", M812)), "streaming", "cinema")</f>
        <v>cinema</v>
      </c>
      <c r="O812" t="str">
        <f>IF(I812=1, "non-original", "original")</f>
        <v>non-original</v>
      </c>
      <c r="P812" t="str">
        <f>IF(J812 = 1, "franchise", "non-franchise")</f>
        <v>non-franchise</v>
      </c>
      <c r="Q812" t="str">
        <f>IF(OR(I812 = 1,J812 =1), "old", "new")</f>
        <v>old</v>
      </c>
      <c r="R812">
        <f t="shared" si="24"/>
        <v>0.77429855500885736</v>
      </c>
      <c r="S812">
        <f>IF(Q812="new",1.5,1)*(K812/10)*(1-(MIN(F812,180)/180))</f>
        <v>0.312</v>
      </c>
      <c r="T812" t="str">
        <f t="shared" si="25"/>
        <v>Scenario 1: Strong Commitment</v>
      </c>
    </row>
    <row r="813" spans="1:20" x14ac:dyDescent="0.35">
      <c r="A813" t="s">
        <v>1039</v>
      </c>
      <c r="B813" s="1">
        <v>44531</v>
      </c>
      <c r="C813">
        <v>2021</v>
      </c>
      <c r="D813">
        <v>12</v>
      </c>
      <c r="E813" t="s">
        <v>14</v>
      </c>
      <c r="F813">
        <v>110</v>
      </c>
      <c r="G813" t="s">
        <v>1018</v>
      </c>
      <c r="H813" t="s">
        <v>56</v>
      </c>
      <c r="I813">
        <v>1</v>
      </c>
      <c r="J813">
        <v>1</v>
      </c>
      <c r="K813">
        <v>7.3</v>
      </c>
      <c r="L813">
        <v>100104</v>
      </c>
      <c r="M813" t="s">
        <v>989</v>
      </c>
      <c r="N813" t="str">
        <f>IF(ISNUMBER(SEARCH("Streaming", M813)), "streaming", "cinema")</f>
        <v>cinema</v>
      </c>
      <c r="O813" t="str">
        <f>IF(I813=1, "non-original", "original")</f>
        <v>non-original</v>
      </c>
      <c r="P813" t="str">
        <f>IF(J813 = 1, "franchise", "non-franchise")</f>
        <v>franchise</v>
      </c>
      <c r="Q813" t="str">
        <f>IF(OR(I813 = 1,J813 =1), "old", "new")</f>
        <v>old</v>
      </c>
      <c r="R813">
        <f t="shared" si="24"/>
        <v>0.76351157729830554</v>
      </c>
      <c r="S813">
        <f>IF(Q813="new",1.5,1)*(K813/10)*(1-(MIN(F813,180)/180))</f>
        <v>0.28388888888888886</v>
      </c>
      <c r="T813" t="str">
        <f t="shared" si="25"/>
        <v>Scenario 1: Strong Commitment</v>
      </c>
    </row>
    <row r="814" spans="1:20" x14ac:dyDescent="0.35">
      <c r="A814" t="s">
        <v>1040</v>
      </c>
      <c r="B814" s="1">
        <v>44630</v>
      </c>
      <c r="C814">
        <v>2022</v>
      </c>
      <c r="D814">
        <v>3</v>
      </c>
      <c r="E814" t="s">
        <v>38</v>
      </c>
      <c r="F814">
        <v>100</v>
      </c>
      <c r="G814" t="s">
        <v>1018</v>
      </c>
      <c r="H814" t="s">
        <v>56</v>
      </c>
      <c r="I814">
        <v>1</v>
      </c>
      <c r="J814">
        <v>0</v>
      </c>
      <c r="K814">
        <v>6.9</v>
      </c>
      <c r="L814">
        <v>172050</v>
      </c>
      <c r="M814" t="s">
        <v>983</v>
      </c>
      <c r="N814" t="str">
        <f>IF(ISNUMBER(SEARCH("Streaming", M814)), "streaming", "cinema")</f>
        <v>cinema</v>
      </c>
      <c r="O814" t="str">
        <f>IF(I814=1, "non-original", "original")</f>
        <v>non-original</v>
      </c>
      <c r="P814" t="str">
        <f>IF(J814 = 1, "franchise", "non-franchise")</f>
        <v>non-franchise</v>
      </c>
      <c r="Q814" t="str">
        <f>IF(OR(I814 = 1,J814 =1), "old", "new")</f>
        <v>old</v>
      </c>
      <c r="R814">
        <f t="shared" si="24"/>
        <v>0.72674946821525732</v>
      </c>
      <c r="S814">
        <f>IF(Q814="new",1.5,1)*(K814/10)*(1-(MIN(F814,180)/180))</f>
        <v>0.3066666666666667</v>
      </c>
      <c r="T814" t="str">
        <f t="shared" si="25"/>
        <v>Scenario 1: Strong Commitment</v>
      </c>
    </row>
    <row r="815" spans="1:20" x14ac:dyDescent="0.35">
      <c r="A815" t="s">
        <v>1041</v>
      </c>
      <c r="B815" s="1">
        <v>44637</v>
      </c>
      <c r="C815">
        <v>2022</v>
      </c>
      <c r="D815">
        <v>3</v>
      </c>
      <c r="E815" t="s">
        <v>38</v>
      </c>
      <c r="F815">
        <v>100</v>
      </c>
      <c r="G815" t="s">
        <v>1018</v>
      </c>
      <c r="H815" t="s">
        <v>56</v>
      </c>
      <c r="I815">
        <v>0</v>
      </c>
      <c r="J815">
        <v>1</v>
      </c>
      <c r="K815">
        <v>6.9</v>
      </c>
      <c r="L815">
        <v>78492</v>
      </c>
      <c r="M815" t="s">
        <v>989</v>
      </c>
      <c r="N815" t="str">
        <f>IF(ISNUMBER(SEARCH("Streaming", M815)), "streaming", "cinema")</f>
        <v>cinema</v>
      </c>
      <c r="O815" t="str">
        <f>IF(I815=1, "non-original", "original")</f>
        <v>original</v>
      </c>
      <c r="P815" t="str">
        <f>IF(J815 = 1, "franchise", "non-franchise")</f>
        <v>franchise</v>
      </c>
      <c r="Q815" t="str">
        <f>IF(OR(I815 = 1,J815 =1), "old", "new")</f>
        <v>old</v>
      </c>
      <c r="R815">
        <f t="shared" si="24"/>
        <v>0.67943972099796202</v>
      </c>
      <c r="S815">
        <f>IF(Q815="new",1.5,1)*(K815/10)*(1-(MIN(F815,180)/180))</f>
        <v>0.3066666666666667</v>
      </c>
      <c r="T815" t="str">
        <f t="shared" si="25"/>
        <v>Scenario 1: Strong Commitment</v>
      </c>
    </row>
    <row r="816" spans="1:20" x14ac:dyDescent="0.35">
      <c r="A816" t="s">
        <v>1042</v>
      </c>
      <c r="B816" s="1">
        <v>44650</v>
      </c>
      <c r="C816">
        <v>2022</v>
      </c>
      <c r="D816">
        <v>3</v>
      </c>
      <c r="E816" t="s">
        <v>38</v>
      </c>
      <c r="F816">
        <v>122</v>
      </c>
      <c r="G816" t="s">
        <v>1043</v>
      </c>
      <c r="H816" t="s">
        <v>56</v>
      </c>
      <c r="I816">
        <v>0</v>
      </c>
      <c r="J816">
        <v>1</v>
      </c>
      <c r="K816">
        <v>6.5</v>
      </c>
      <c r="L816">
        <v>114591</v>
      </c>
      <c r="M816" t="s">
        <v>989</v>
      </c>
      <c r="N816" t="str">
        <f>IF(ISNUMBER(SEARCH("Streaming", M816)), "streaming", "cinema")</f>
        <v>cinema</v>
      </c>
      <c r="O816" t="str">
        <f>IF(I816=1, "non-original", "original")</f>
        <v>original</v>
      </c>
      <c r="P816" t="str">
        <f>IF(J816 = 1, "franchise", "non-franchise")</f>
        <v>franchise</v>
      </c>
      <c r="Q816" t="str">
        <f>IF(OR(I816 = 1,J816 =1), "old", "new")</f>
        <v>old</v>
      </c>
      <c r="R816">
        <f t="shared" si="24"/>
        <v>0.85674417172268302</v>
      </c>
      <c r="S816">
        <f>IF(Q816="new",1.5,1)*(K816/10)*(1-(MIN(F816,180)/180))</f>
        <v>0.20944444444444443</v>
      </c>
      <c r="T816" t="str">
        <f t="shared" si="25"/>
        <v>Scenario 1: Strong Commitment</v>
      </c>
    </row>
    <row r="817" spans="1:20" x14ac:dyDescent="0.35">
      <c r="A817" t="s">
        <v>1044</v>
      </c>
      <c r="B817" s="1">
        <v>44727</v>
      </c>
      <c r="C817">
        <v>2022</v>
      </c>
      <c r="D817">
        <v>6</v>
      </c>
      <c r="E817" t="s">
        <v>78</v>
      </c>
      <c r="F817">
        <v>105</v>
      </c>
      <c r="G817" t="s">
        <v>1008</v>
      </c>
      <c r="H817" t="s">
        <v>56</v>
      </c>
      <c r="I817">
        <v>0</v>
      </c>
      <c r="J817">
        <v>1</v>
      </c>
      <c r="K817">
        <v>6.1</v>
      </c>
      <c r="L817">
        <v>135119</v>
      </c>
      <c r="M817" t="s">
        <v>983</v>
      </c>
      <c r="N817" t="str">
        <f>IF(ISNUMBER(SEARCH("Streaming", M817)), "streaming", "cinema")</f>
        <v>cinema</v>
      </c>
      <c r="O817" t="str">
        <f>IF(I817=1, "non-original", "original")</f>
        <v>original</v>
      </c>
      <c r="P817" t="str">
        <f>IF(J817 = 1, "franchise", "non-franchise")</f>
        <v>franchise</v>
      </c>
      <c r="Q817" t="str">
        <f>IF(OR(I817 = 1,J817 =1), "old", "new")</f>
        <v>old</v>
      </c>
      <c r="R817">
        <f t="shared" si="24"/>
        <v>0.74779238599522591</v>
      </c>
      <c r="S817">
        <f>IF(Q817="new",1.5,1)*(K817/10)*(1-(MIN(F817,180)/180))</f>
        <v>0.25416666666666665</v>
      </c>
      <c r="T817" t="str">
        <f t="shared" si="25"/>
        <v>Scenario 1: Strong Commitment</v>
      </c>
    </row>
    <row r="818" spans="1:20" x14ac:dyDescent="0.35">
      <c r="A818" t="s">
        <v>1045</v>
      </c>
      <c r="B818" s="1">
        <v>44728</v>
      </c>
      <c r="C818">
        <v>2022</v>
      </c>
      <c r="D818">
        <v>6</v>
      </c>
      <c r="E818" t="s">
        <v>78</v>
      </c>
      <c r="F818">
        <v>87</v>
      </c>
      <c r="G818" t="s">
        <v>1018</v>
      </c>
      <c r="H818" t="s">
        <v>56</v>
      </c>
      <c r="I818">
        <v>0</v>
      </c>
      <c r="J818">
        <v>1</v>
      </c>
      <c r="K818">
        <v>6.5</v>
      </c>
      <c r="L818">
        <v>104124</v>
      </c>
      <c r="M818" t="s">
        <v>989</v>
      </c>
      <c r="N818" t="str">
        <f>IF(ISNUMBER(SEARCH("Streaming", M818)), "streaming", "cinema")</f>
        <v>cinema</v>
      </c>
      <c r="O818" t="str">
        <f>IF(I818=1, "non-original", "original")</f>
        <v>original</v>
      </c>
      <c r="P818" t="str">
        <f>IF(J818 = 1, "franchise", "non-franchise")</f>
        <v>franchise</v>
      </c>
      <c r="Q818" t="str">
        <f>IF(OR(I818 = 1,J818 =1), "old", "new")</f>
        <v>old</v>
      </c>
      <c r="R818">
        <f t="shared" si="24"/>
        <v>0.60593321944540557</v>
      </c>
      <c r="S818">
        <f>IF(Q818="new",1.5,1)*(K818/10)*(1-(MIN(F818,180)/180))</f>
        <v>0.33583333333333332</v>
      </c>
      <c r="T818" t="str">
        <f t="shared" si="25"/>
        <v>Scenario 4: Hybrid Logic</v>
      </c>
    </row>
    <row r="819" spans="1:20" x14ac:dyDescent="0.35">
      <c r="A819" t="s">
        <v>1046</v>
      </c>
      <c r="B819" s="1">
        <v>44757</v>
      </c>
      <c r="C819">
        <v>2022</v>
      </c>
      <c r="D819">
        <v>7</v>
      </c>
      <c r="E819" t="s">
        <v>78</v>
      </c>
      <c r="F819">
        <v>98</v>
      </c>
      <c r="G819" t="s">
        <v>1008</v>
      </c>
      <c r="H819" t="s">
        <v>56</v>
      </c>
      <c r="I819">
        <v>0</v>
      </c>
      <c r="J819">
        <v>0</v>
      </c>
      <c r="K819">
        <v>5.8</v>
      </c>
      <c r="L819">
        <v>7481</v>
      </c>
      <c r="M819" t="s">
        <v>983</v>
      </c>
      <c r="N819" t="str">
        <f>IF(ISNUMBER(SEARCH("Streaming", M819)), "streaming", "cinema")</f>
        <v>cinema</v>
      </c>
      <c r="O819" t="str">
        <f>IF(I819=1, "non-original", "original")</f>
        <v>original</v>
      </c>
      <c r="P819" t="str">
        <f>IF(J819 = 1, "franchise", "non-franchise")</f>
        <v>non-franchise</v>
      </c>
      <c r="Q819" t="str">
        <f>IF(OR(I819 = 1,J819 =1), "old", "new")</f>
        <v>new</v>
      </c>
      <c r="R819">
        <f t="shared" si="24"/>
        <v>0.35132061818819593</v>
      </c>
      <c r="S819">
        <f>IF(Q819="new",1.5,1)*(K819/10)*(1-(MIN(F819,180)/180))</f>
        <v>0.39633333333333332</v>
      </c>
      <c r="T819" t="str">
        <f t="shared" si="25"/>
        <v>Scenario 3: Strong Convenience</v>
      </c>
    </row>
    <row r="820" spans="1:20" x14ac:dyDescent="0.35">
      <c r="A820" t="s">
        <v>1047</v>
      </c>
      <c r="B820" s="1">
        <v>44757</v>
      </c>
      <c r="C820">
        <v>2022</v>
      </c>
      <c r="D820">
        <v>7</v>
      </c>
      <c r="E820" t="s">
        <v>78</v>
      </c>
      <c r="F820">
        <v>115</v>
      </c>
      <c r="G820" t="s">
        <v>985</v>
      </c>
      <c r="H820" t="s">
        <v>56</v>
      </c>
      <c r="I820">
        <v>0</v>
      </c>
      <c r="J820">
        <v>0</v>
      </c>
      <c r="K820">
        <v>7.1</v>
      </c>
      <c r="L820">
        <v>36566</v>
      </c>
      <c r="M820" t="s">
        <v>983</v>
      </c>
      <c r="N820" t="str">
        <f>IF(ISNUMBER(SEARCH("Streaming", M820)), "streaming", "cinema")</f>
        <v>cinema</v>
      </c>
      <c r="O820" t="str">
        <f>IF(I820=1, "non-original", "original")</f>
        <v>original</v>
      </c>
      <c r="P820" t="str">
        <f>IF(J820 = 1, "franchise", "non-franchise")</f>
        <v>non-franchise</v>
      </c>
      <c r="Q820" t="str">
        <f>IF(OR(I820 = 1,J820 =1), "old", "new")</f>
        <v>new</v>
      </c>
      <c r="R820">
        <f t="shared" si="24"/>
        <v>0.48559940970966092</v>
      </c>
      <c r="S820">
        <f>IF(Q820="new",1.5,1)*(K820/10)*(1-(MIN(F820,180)/180))</f>
        <v>0.38458333333333339</v>
      </c>
      <c r="T820" t="str">
        <f t="shared" si="25"/>
        <v>Scenario 4: Hybrid Logic</v>
      </c>
    </row>
    <row r="821" spans="1:20" x14ac:dyDescent="0.35">
      <c r="A821" t="s">
        <v>1048</v>
      </c>
      <c r="B821" s="1">
        <v>44840</v>
      </c>
      <c r="C821">
        <v>2022</v>
      </c>
      <c r="D821">
        <v>10</v>
      </c>
      <c r="E821" t="s">
        <v>125</v>
      </c>
      <c r="F821">
        <v>106</v>
      </c>
      <c r="G821" t="s">
        <v>1014</v>
      </c>
      <c r="H821" t="s">
        <v>56</v>
      </c>
      <c r="I821">
        <v>0</v>
      </c>
      <c r="J821">
        <v>0</v>
      </c>
      <c r="K821">
        <v>6.1</v>
      </c>
      <c r="L821">
        <v>17928</v>
      </c>
      <c r="M821" t="s">
        <v>983</v>
      </c>
      <c r="N821" t="str">
        <f>IF(ISNUMBER(SEARCH("Streaming", M821)), "streaming", "cinema")</f>
        <v>cinema</v>
      </c>
      <c r="O821" t="str">
        <f>IF(I821=1, "non-original", "original")</f>
        <v>original</v>
      </c>
      <c r="P821" t="str">
        <f>IF(J821 = 1, "franchise", "non-franchise")</f>
        <v>non-franchise</v>
      </c>
      <c r="Q821" t="str">
        <f>IF(OR(I821 = 1,J821 =1), "old", "new")</f>
        <v>new</v>
      </c>
      <c r="R821">
        <f t="shared" si="24"/>
        <v>0.4172323969417579</v>
      </c>
      <c r="S821">
        <f>IF(Q821="new",1.5,1)*(K821/10)*(1-(MIN(F821,180)/180))</f>
        <v>0.37616666666666665</v>
      </c>
      <c r="T821" t="str">
        <f t="shared" si="25"/>
        <v>Scenario 3: Strong Convenience</v>
      </c>
    </row>
    <row r="822" spans="1:20" x14ac:dyDescent="0.35">
      <c r="A822" t="s">
        <v>1049</v>
      </c>
      <c r="B822" s="1">
        <v>44887</v>
      </c>
      <c r="C822">
        <v>2022</v>
      </c>
      <c r="D822">
        <v>11</v>
      </c>
      <c r="E822" t="s">
        <v>125</v>
      </c>
      <c r="F822">
        <v>102</v>
      </c>
      <c r="G822" t="s">
        <v>1008</v>
      </c>
      <c r="H822" t="s">
        <v>56</v>
      </c>
      <c r="I822">
        <v>1</v>
      </c>
      <c r="J822">
        <v>0</v>
      </c>
      <c r="K822">
        <v>5.7</v>
      </c>
      <c r="L822">
        <v>50295</v>
      </c>
      <c r="M822" t="s">
        <v>983</v>
      </c>
      <c r="N822" t="str">
        <f>IF(ISNUMBER(SEARCH("Streaming", M822)), "streaming", "cinema")</f>
        <v>cinema</v>
      </c>
      <c r="O822" t="str">
        <f>IF(I822=1, "non-original", "original")</f>
        <v>non-original</v>
      </c>
      <c r="P822" t="str">
        <f>IF(J822 = 1, "franchise", "non-franchise")</f>
        <v>non-franchise</v>
      </c>
      <c r="Q822" t="str">
        <f>IF(OR(I822 = 1,J822 =1), "old", "new")</f>
        <v>old</v>
      </c>
      <c r="R822">
        <f t="shared" si="24"/>
        <v>0.66566026322520311</v>
      </c>
      <c r="S822">
        <f>IF(Q822="new",1.5,1)*(K822/10)*(1-(MIN(F822,180)/180))</f>
        <v>0.24700000000000003</v>
      </c>
      <c r="T822" t="str">
        <f t="shared" si="25"/>
        <v>Scenario 1: Strong Commitment</v>
      </c>
    </row>
    <row r="823" spans="1:20" x14ac:dyDescent="0.35">
      <c r="A823" t="s">
        <v>1050</v>
      </c>
      <c r="B823" s="1">
        <v>44896</v>
      </c>
      <c r="C823">
        <v>2022</v>
      </c>
      <c r="D823">
        <v>12</v>
      </c>
      <c r="E823" t="s">
        <v>14</v>
      </c>
      <c r="F823">
        <v>110</v>
      </c>
      <c r="G823" t="s">
        <v>1051</v>
      </c>
      <c r="H823" t="s">
        <v>56</v>
      </c>
      <c r="I823">
        <v>0</v>
      </c>
      <c r="J823">
        <v>0</v>
      </c>
      <c r="K823">
        <v>6.6</v>
      </c>
      <c r="L823">
        <v>1363</v>
      </c>
      <c r="M823" t="s">
        <v>983</v>
      </c>
      <c r="N823" t="str">
        <f>IF(ISNUMBER(SEARCH("Streaming", M823)), "streaming", "cinema")</f>
        <v>cinema</v>
      </c>
      <c r="O823" t="str">
        <f>IF(I823=1, "non-original", "original")</f>
        <v>original</v>
      </c>
      <c r="P823" t="str">
        <f>IF(J823 = 1, "franchise", "non-franchise")</f>
        <v>non-franchise</v>
      </c>
      <c r="Q823" t="str">
        <f>IF(OR(I823 = 1,J823 =1), "old", "new")</f>
        <v>new</v>
      </c>
      <c r="R823">
        <f t="shared" si="24"/>
        <v>0.31906770920986516</v>
      </c>
      <c r="S823">
        <f>IF(Q823="new",1.5,1)*(K823/10)*(1-(MIN(F823,180)/180))</f>
        <v>0.3849999999999999</v>
      </c>
      <c r="T823" t="str">
        <f t="shared" si="25"/>
        <v>Scenario 3: Strong Convenience</v>
      </c>
    </row>
    <row r="824" spans="1:20" x14ac:dyDescent="0.35">
      <c r="A824" t="s">
        <v>1052</v>
      </c>
      <c r="B824" s="1">
        <v>44897</v>
      </c>
      <c r="C824">
        <v>2022</v>
      </c>
      <c r="D824">
        <v>12</v>
      </c>
      <c r="E824" t="s">
        <v>14</v>
      </c>
      <c r="F824">
        <v>102</v>
      </c>
      <c r="G824" t="s">
        <v>1008</v>
      </c>
      <c r="H824" t="s">
        <v>56</v>
      </c>
      <c r="I824">
        <v>0</v>
      </c>
      <c r="J824">
        <v>1</v>
      </c>
      <c r="K824">
        <v>7.8</v>
      </c>
      <c r="L824">
        <v>221583</v>
      </c>
      <c r="M824" t="s">
        <v>989</v>
      </c>
      <c r="N824" t="str">
        <f>IF(ISNUMBER(SEARCH("Streaming", M824)), "streaming", "cinema")</f>
        <v>cinema</v>
      </c>
      <c r="O824" t="str">
        <f>IF(I824=1, "non-original", "original")</f>
        <v>original</v>
      </c>
      <c r="P824" t="str">
        <f>IF(J824 = 1, "franchise", "non-franchise")</f>
        <v>franchise</v>
      </c>
      <c r="Q824" t="str">
        <f>IF(OR(I824 = 1,J824 =1), "old", "new")</f>
        <v>old</v>
      </c>
      <c r="R824">
        <f t="shared" si="24"/>
        <v>0.75684194687771478</v>
      </c>
      <c r="S824">
        <f>IF(Q824="new",1.5,1)*(K824/10)*(1-(MIN(F824,180)/180))</f>
        <v>0.33800000000000002</v>
      </c>
      <c r="T824" t="str">
        <f t="shared" si="25"/>
        <v>Scenario 4: Hybrid Logic</v>
      </c>
    </row>
    <row r="825" spans="1:20" x14ac:dyDescent="0.35">
      <c r="A825" t="s">
        <v>1053</v>
      </c>
      <c r="B825" s="1">
        <v>45020</v>
      </c>
      <c r="C825">
        <v>2023</v>
      </c>
      <c r="D825">
        <v>4</v>
      </c>
      <c r="E825" t="s">
        <v>38</v>
      </c>
      <c r="F825">
        <v>92</v>
      </c>
      <c r="G825" t="s">
        <v>1018</v>
      </c>
      <c r="H825" t="s">
        <v>56</v>
      </c>
      <c r="I825">
        <v>0</v>
      </c>
      <c r="J825">
        <v>1</v>
      </c>
      <c r="K825">
        <v>7</v>
      </c>
      <c r="L825">
        <v>284398</v>
      </c>
      <c r="M825" t="s">
        <v>989</v>
      </c>
      <c r="N825" t="str">
        <f>IF(ISNUMBER(SEARCH("Streaming", M825)), "streaming", "cinema")</f>
        <v>cinema</v>
      </c>
      <c r="O825" t="str">
        <f>IF(I825=1, "non-original", "original")</f>
        <v>original</v>
      </c>
      <c r="P825" t="str">
        <f>IF(J825 = 1, "franchise", "non-franchise")</f>
        <v>franchise</v>
      </c>
      <c r="Q825" t="str">
        <f>IF(OR(I825 = 1,J825 =1), "old", "new")</f>
        <v>old</v>
      </c>
      <c r="R825">
        <f t="shared" si="24"/>
        <v>0.69648351146786691</v>
      </c>
      <c r="S825">
        <f>IF(Q825="new",1.5,1)*(K825/10)*(1-(MIN(F825,180)/180))</f>
        <v>0.34222222222222221</v>
      </c>
      <c r="T825" t="str">
        <f t="shared" si="25"/>
        <v>Scenario 4: Hybrid Logic</v>
      </c>
    </row>
    <row r="826" spans="1:20" x14ac:dyDescent="0.35">
      <c r="A826" t="s">
        <v>1054</v>
      </c>
      <c r="B826" s="1">
        <v>45070</v>
      </c>
      <c r="C826">
        <v>2023</v>
      </c>
      <c r="D826">
        <v>5</v>
      </c>
      <c r="E826" t="s">
        <v>38</v>
      </c>
      <c r="F826">
        <v>135</v>
      </c>
      <c r="G826" t="s">
        <v>1055</v>
      </c>
      <c r="H826" t="s">
        <v>56</v>
      </c>
      <c r="I826">
        <v>0</v>
      </c>
      <c r="J826">
        <v>1</v>
      </c>
      <c r="K826">
        <v>7.2</v>
      </c>
      <c r="L826">
        <v>177582</v>
      </c>
      <c r="M826" t="s">
        <v>983</v>
      </c>
      <c r="N826" t="str">
        <f>IF(ISNUMBER(SEARCH("Streaming", M826)), "streaming", "cinema")</f>
        <v>cinema</v>
      </c>
      <c r="O826" t="str">
        <f>IF(I826=1, "non-original", "original")</f>
        <v>original</v>
      </c>
      <c r="P826" t="str">
        <f>IF(J826 = 1, "franchise", "non-franchise")</f>
        <v>franchise</v>
      </c>
      <c r="Q826" t="str">
        <f>IF(OR(I826 = 1,J826 =1), "old", "new")</f>
        <v>old</v>
      </c>
      <c r="R826">
        <f t="shared" si="24"/>
        <v>0.98368732651905322</v>
      </c>
      <c r="S826">
        <f>IF(Q826="new",1.5,1)*(K826/10)*(1-(MIN(F826,180)/180))</f>
        <v>0.18</v>
      </c>
      <c r="T826" t="str">
        <f t="shared" si="25"/>
        <v>Scenario 1: Strong Commitment</v>
      </c>
    </row>
    <row r="827" spans="1:20" x14ac:dyDescent="0.35">
      <c r="A827" t="s">
        <v>1057</v>
      </c>
      <c r="B827" s="1">
        <v>45077</v>
      </c>
      <c r="C827">
        <v>2023</v>
      </c>
      <c r="D827">
        <v>5</v>
      </c>
      <c r="E827" t="s">
        <v>38</v>
      </c>
      <c r="F827">
        <v>140</v>
      </c>
      <c r="G827" t="s">
        <v>1008</v>
      </c>
      <c r="H827" t="s">
        <v>56</v>
      </c>
      <c r="I827">
        <v>0</v>
      </c>
      <c r="J827">
        <v>1</v>
      </c>
      <c r="K827">
        <v>8.5</v>
      </c>
      <c r="L827">
        <v>511698</v>
      </c>
      <c r="M827" t="s">
        <v>989</v>
      </c>
      <c r="N827" t="str">
        <f>IF(ISNUMBER(SEARCH("Streaming", M827)), "streaming", "cinema")</f>
        <v>cinema</v>
      </c>
      <c r="O827" t="str">
        <f>IF(I827=1, "non-original", "original")</f>
        <v>original</v>
      </c>
      <c r="P827" t="str">
        <f>IF(J827 = 1, "franchise", "non-franchise")</f>
        <v>franchise</v>
      </c>
      <c r="Q827" t="str">
        <f>IF(OR(I827 = 1,J827 =1), "old", "new")</f>
        <v>old</v>
      </c>
      <c r="R827">
        <f t="shared" si="24"/>
        <v>1.1094375234731824</v>
      </c>
      <c r="S827">
        <f>IF(Q827="new",1.5,1)*(K827/10)*(1-(MIN(F827,180)/180))</f>
        <v>0.18888888888888888</v>
      </c>
      <c r="T827" t="str">
        <f t="shared" si="25"/>
        <v>Scenario 1: Strong Commitment</v>
      </c>
    </row>
    <row r="828" spans="1:20" x14ac:dyDescent="0.35">
      <c r="A828" t="s">
        <v>1058</v>
      </c>
      <c r="B828" s="1">
        <v>45091</v>
      </c>
      <c r="C828">
        <v>2023</v>
      </c>
      <c r="D828">
        <v>6</v>
      </c>
      <c r="E828" t="s">
        <v>78</v>
      </c>
      <c r="F828">
        <v>101</v>
      </c>
      <c r="G828" t="s">
        <v>1018</v>
      </c>
      <c r="H828" t="s">
        <v>56</v>
      </c>
      <c r="I828">
        <v>1</v>
      </c>
      <c r="J828">
        <v>0</v>
      </c>
      <c r="K828">
        <v>7</v>
      </c>
      <c r="L828">
        <v>161948</v>
      </c>
      <c r="M828" t="s">
        <v>983</v>
      </c>
      <c r="N828" t="str">
        <f>IF(ISNUMBER(SEARCH("Streaming", M828)), "streaming", "cinema")</f>
        <v>cinema</v>
      </c>
      <c r="O828" t="str">
        <f>IF(I828=1, "non-original", "original")</f>
        <v>non-original</v>
      </c>
      <c r="P828" t="str">
        <f>IF(J828 = 1, "franchise", "non-franchise")</f>
        <v>non-franchise</v>
      </c>
      <c r="Q828" t="str">
        <f>IF(OR(I828 = 1,J828 =1), "old", "new")</f>
        <v>old</v>
      </c>
      <c r="R828">
        <f t="shared" si="24"/>
        <v>0.73033274429975681</v>
      </c>
      <c r="S828">
        <f>IF(Q828="new",1.5,1)*(K828/10)*(1-(MIN(F828,180)/180))</f>
        <v>0.30722222222222217</v>
      </c>
      <c r="T828" t="str">
        <f t="shared" si="25"/>
        <v>Scenario 1: Strong Commitment</v>
      </c>
    </row>
    <row r="829" spans="1:20" x14ac:dyDescent="0.35">
      <c r="A829" t="s">
        <v>1059</v>
      </c>
      <c r="B829" s="1">
        <v>45140</v>
      </c>
      <c r="C829">
        <v>2023</v>
      </c>
      <c r="D829">
        <v>8</v>
      </c>
      <c r="E829" t="s">
        <v>78</v>
      </c>
      <c r="F829">
        <v>99</v>
      </c>
      <c r="G829" t="s">
        <v>1008</v>
      </c>
      <c r="H829" t="s">
        <v>56</v>
      </c>
      <c r="I829">
        <v>0</v>
      </c>
      <c r="J829">
        <v>1</v>
      </c>
      <c r="K829">
        <v>7.2</v>
      </c>
      <c r="L829">
        <v>77420</v>
      </c>
      <c r="M829" t="s">
        <v>989</v>
      </c>
      <c r="N829" t="str">
        <f>IF(ISNUMBER(SEARCH("Streaming", M829)), "streaming", "cinema")</f>
        <v>cinema</v>
      </c>
      <c r="O829" t="str">
        <f>IF(I829=1, "non-original", "original")</f>
        <v>original</v>
      </c>
      <c r="P829" t="str">
        <f>IF(J829 = 1, "franchise", "non-franchise")</f>
        <v>franchise</v>
      </c>
      <c r="Q829" t="str">
        <f>IF(OR(I829 = 1,J829 =1), "old", "new")</f>
        <v>old</v>
      </c>
      <c r="R829">
        <f t="shared" si="24"/>
        <v>0.67182462211943461</v>
      </c>
      <c r="S829">
        <f>IF(Q829="new",1.5,1)*(K829/10)*(1-(MIN(F829,180)/180))</f>
        <v>0.32399999999999995</v>
      </c>
      <c r="T829" t="str">
        <f t="shared" si="25"/>
        <v>Scenario 4: Hybrid Logic</v>
      </c>
    </row>
    <row r="830" spans="1:20" x14ac:dyDescent="0.35">
      <c r="A830" t="s">
        <v>1060</v>
      </c>
      <c r="B830" s="1">
        <v>45190</v>
      </c>
      <c r="C830">
        <v>2023</v>
      </c>
      <c r="D830">
        <v>9</v>
      </c>
      <c r="E830" t="s">
        <v>125</v>
      </c>
      <c r="F830">
        <v>88</v>
      </c>
      <c r="G830" t="s">
        <v>1008</v>
      </c>
      <c r="H830" t="s">
        <v>56</v>
      </c>
      <c r="I830">
        <v>0</v>
      </c>
      <c r="J830">
        <v>1</v>
      </c>
      <c r="K830">
        <v>5.9</v>
      </c>
      <c r="L830">
        <v>6458</v>
      </c>
      <c r="M830" t="s">
        <v>989</v>
      </c>
      <c r="N830" t="str">
        <f>IF(ISNUMBER(SEARCH("Streaming", M830)), "streaming", "cinema")</f>
        <v>cinema</v>
      </c>
      <c r="O830" t="str">
        <f>IF(I830=1, "non-original", "original")</f>
        <v>original</v>
      </c>
      <c r="P830" t="str">
        <f>IF(J830 = 1, "franchise", "non-franchise")</f>
        <v>franchise</v>
      </c>
      <c r="Q830" t="str">
        <f>IF(OR(I830 = 1,J830 =1), "old", "new")</f>
        <v>old</v>
      </c>
      <c r="R830">
        <f t="shared" si="24"/>
        <v>0.46540661450569709</v>
      </c>
      <c r="S830">
        <f>IF(Q830="new",1.5,1)*(K830/10)*(1-(MIN(F830,180)/180))</f>
        <v>0.30155555555555558</v>
      </c>
      <c r="T830" t="str">
        <f t="shared" si="25"/>
        <v>Scenario 2: Weak Commitment/Convenience</v>
      </c>
    </row>
    <row r="831" spans="1:20" x14ac:dyDescent="0.35">
      <c r="A831" t="s">
        <v>1061</v>
      </c>
      <c r="B831" s="1">
        <v>45211</v>
      </c>
      <c r="C831">
        <v>2023</v>
      </c>
      <c r="D831">
        <v>10</v>
      </c>
      <c r="E831" t="s">
        <v>125</v>
      </c>
      <c r="F831">
        <v>91</v>
      </c>
      <c r="G831" t="s">
        <v>1018</v>
      </c>
      <c r="H831" t="s">
        <v>56</v>
      </c>
      <c r="I831">
        <v>0</v>
      </c>
      <c r="J831">
        <v>1</v>
      </c>
      <c r="K831">
        <v>6</v>
      </c>
      <c r="L831">
        <v>19725</v>
      </c>
      <c r="M831" t="s">
        <v>983</v>
      </c>
      <c r="N831" t="str">
        <f>IF(ISNUMBER(SEARCH("Streaming", M831)), "streaming", "cinema")</f>
        <v>cinema</v>
      </c>
      <c r="O831" t="str">
        <f>IF(I831=1, "non-original", "original")</f>
        <v>original</v>
      </c>
      <c r="P831" t="str">
        <f>IF(J831 = 1, "franchise", "non-franchise")</f>
        <v>franchise</v>
      </c>
      <c r="Q831" t="str">
        <f>IF(OR(I831 = 1,J831 =1), "old", "new")</f>
        <v>old</v>
      </c>
      <c r="R831">
        <f t="shared" si="24"/>
        <v>0.54252531631227363</v>
      </c>
      <c r="S831">
        <f>IF(Q831="new",1.5,1)*(K831/10)*(1-(MIN(F831,180)/180))</f>
        <v>0.29666666666666669</v>
      </c>
      <c r="T831" t="str">
        <f t="shared" si="25"/>
        <v>Scenario 1: Strong Commitment</v>
      </c>
    </row>
    <row r="832" spans="1:20" x14ac:dyDescent="0.35">
      <c r="A832" t="s">
        <v>1062</v>
      </c>
      <c r="B832" s="1">
        <v>45240</v>
      </c>
      <c r="C832">
        <v>2023</v>
      </c>
      <c r="D832">
        <v>11</v>
      </c>
      <c r="E832" t="s">
        <v>125</v>
      </c>
      <c r="F832">
        <v>99</v>
      </c>
      <c r="G832" t="s">
        <v>1063</v>
      </c>
      <c r="H832" t="s">
        <v>56</v>
      </c>
      <c r="I832">
        <v>0</v>
      </c>
      <c r="J832">
        <v>0</v>
      </c>
      <c r="K832">
        <v>6.5</v>
      </c>
      <c r="L832">
        <v>3862</v>
      </c>
      <c r="M832" t="s">
        <v>983</v>
      </c>
      <c r="N832" t="str">
        <f>IF(ISNUMBER(SEARCH("Streaming", M832)), "streaming", "cinema")</f>
        <v>cinema</v>
      </c>
      <c r="O832" t="str">
        <f>IF(I832=1, "non-original", "original")</f>
        <v>original</v>
      </c>
      <c r="P832" t="str">
        <f>IF(J832 = 1, "franchise", "non-franchise")</f>
        <v>non-franchise</v>
      </c>
      <c r="Q832" t="str">
        <f>IF(OR(I832 = 1,J832 =1), "old", "new")</f>
        <v>new</v>
      </c>
      <c r="R832">
        <f t="shared" si="24"/>
        <v>0.32859905520122273</v>
      </c>
      <c r="S832">
        <f>IF(Q832="new",1.5,1)*(K832/10)*(1-(MIN(F832,180)/180))</f>
        <v>0.43874999999999997</v>
      </c>
      <c r="T832" t="str">
        <f t="shared" si="25"/>
        <v>Scenario 3: Strong Convenience</v>
      </c>
    </row>
    <row r="833" spans="1:20" x14ac:dyDescent="0.35">
      <c r="A833" t="s">
        <v>1064</v>
      </c>
      <c r="B833" s="1">
        <v>45252</v>
      </c>
      <c r="C833">
        <v>2023</v>
      </c>
      <c r="D833">
        <v>11</v>
      </c>
      <c r="E833" t="s">
        <v>125</v>
      </c>
      <c r="F833">
        <v>95</v>
      </c>
      <c r="G833" t="s">
        <v>1018</v>
      </c>
      <c r="H833" t="s">
        <v>56</v>
      </c>
      <c r="I833">
        <v>1</v>
      </c>
      <c r="J833">
        <v>0</v>
      </c>
      <c r="K833">
        <v>5.5</v>
      </c>
      <c r="L833">
        <v>49797</v>
      </c>
      <c r="M833" t="s">
        <v>983</v>
      </c>
      <c r="N833" t="str">
        <f>IF(ISNUMBER(SEARCH("Streaming", M833)), "streaming", "cinema")</f>
        <v>cinema</v>
      </c>
      <c r="O833" t="str">
        <f>IF(I833=1, "non-original", "original")</f>
        <v>non-original</v>
      </c>
      <c r="P833" t="str">
        <f>IF(J833 = 1, "franchise", "non-franchise")</f>
        <v>non-franchise</v>
      </c>
      <c r="Q833" t="str">
        <f>IF(OR(I833 = 1,J833 =1), "old", "new")</f>
        <v>old</v>
      </c>
      <c r="R833">
        <f t="shared" si="24"/>
        <v>0.61940781380017629</v>
      </c>
      <c r="S833">
        <f>IF(Q833="new",1.5,1)*(K833/10)*(1-(MIN(F833,180)/180))</f>
        <v>0.25972222222222224</v>
      </c>
      <c r="T833" t="str">
        <f t="shared" si="25"/>
        <v>Scenario 1: Strong Commitment</v>
      </c>
    </row>
    <row r="834" spans="1:20" x14ac:dyDescent="0.35">
      <c r="A834" t="s">
        <v>1065</v>
      </c>
      <c r="B834" s="1">
        <v>45266</v>
      </c>
      <c r="C834">
        <v>2023</v>
      </c>
      <c r="D834">
        <v>12</v>
      </c>
      <c r="E834" t="s">
        <v>14</v>
      </c>
      <c r="F834">
        <v>83</v>
      </c>
      <c r="G834" t="s">
        <v>1018</v>
      </c>
      <c r="H834" t="s">
        <v>56</v>
      </c>
      <c r="I834">
        <v>1</v>
      </c>
      <c r="J834">
        <v>0</v>
      </c>
      <c r="K834">
        <v>6.6</v>
      </c>
      <c r="L834">
        <v>46018</v>
      </c>
      <c r="M834" t="s">
        <v>989</v>
      </c>
      <c r="N834" t="str">
        <f>IF(ISNUMBER(SEARCH("Streaming", M834)), "streaming", "cinema")</f>
        <v>cinema</v>
      </c>
      <c r="O834" t="str">
        <f>IF(I834=1, "non-original", "original")</f>
        <v>non-original</v>
      </c>
      <c r="P834" t="str">
        <f>IF(J834 = 1, "franchise", "non-franchise")</f>
        <v>non-franchise</v>
      </c>
      <c r="Q834" t="str">
        <f>IF(OR(I834 = 1,J834 =1), "old", "new")</f>
        <v>old</v>
      </c>
      <c r="R834">
        <f t="shared" si="24"/>
        <v>0.53721793841606125</v>
      </c>
      <c r="S834">
        <f>IF(Q834="new",1.5,1)*(K834/10)*(1-(MIN(F834,180)/180))</f>
        <v>0.35566666666666663</v>
      </c>
      <c r="T834" t="str">
        <f t="shared" si="25"/>
        <v>Scenario 4: Hybrid Logic</v>
      </c>
    </row>
    <row r="835" spans="1:20" x14ac:dyDescent="0.35">
      <c r="A835" t="s">
        <v>1066</v>
      </c>
      <c r="B835" s="1">
        <v>45266</v>
      </c>
      <c r="C835">
        <v>2023</v>
      </c>
      <c r="D835">
        <v>12</v>
      </c>
      <c r="E835" t="s">
        <v>14</v>
      </c>
      <c r="F835">
        <v>116</v>
      </c>
      <c r="G835" t="s">
        <v>1014</v>
      </c>
      <c r="H835" t="s">
        <v>56</v>
      </c>
      <c r="I835">
        <v>0</v>
      </c>
      <c r="J835">
        <v>1</v>
      </c>
      <c r="K835">
        <v>6.9</v>
      </c>
      <c r="L835">
        <v>191182</v>
      </c>
      <c r="M835" t="s">
        <v>989</v>
      </c>
      <c r="N835" t="str">
        <f>IF(ISNUMBER(SEARCH("Streaming", M835)), "streaming", "cinema")</f>
        <v>cinema</v>
      </c>
      <c r="O835" t="str">
        <f>IF(I835=1, "non-original", "original")</f>
        <v>original</v>
      </c>
      <c r="P835" t="str">
        <f>IF(J835 = 1, "franchise", "non-franchise")</f>
        <v>franchise</v>
      </c>
      <c r="Q835" t="str">
        <f>IF(OR(I835 = 1,J835 =1), "old", "new")</f>
        <v>old</v>
      </c>
      <c r="R835">
        <f t="shared" ref="R835:R898" si="26">IF(Q835="old",1.5,1)*(LOG10(L835)/LOG10(MAX($L$2:$L$1078)))*(MIN(F835,180)/180)</f>
        <v>0.85040272547063411</v>
      </c>
      <c r="S835">
        <f>IF(Q835="new",1.5,1)*(K835/10)*(1-(MIN(F835,180)/180))</f>
        <v>0.24533333333333332</v>
      </c>
      <c r="T835" t="str">
        <f t="shared" ref="T835:T898" si="27">IF(AND(R835&gt;=AVERAGE($R$2:$R$1078),S835&gt;=AVERAGE($S$2:$S$1078)),"Scenario 4: Hybrid Logic",
 IF(AND(R835&gt;=AVERAGE($R$2:$R$1078),S835&lt;AVERAGE($S$2:$S$1078)),"Scenario 1: Strong Commitment",
  IF(AND(R835&lt;AVERAGE($R$2:$R$1078),S835&gt;=AVERAGE($S$2:$S$1078)),"Scenario 3: Strong Convenience",
   "Scenario 2: Weak Commitment/Convenience")))</f>
        <v>Scenario 1: Strong Commitment</v>
      </c>
    </row>
    <row r="836" spans="1:20" x14ac:dyDescent="0.35">
      <c r="A836" t="s">
        <v>1067</v>
      </c>
      <c r="B836" s="1">
        <v>45357</v>
      </c>
      <c r="C836">
        <v>2024</v>
      </c>
      <c r="D836">
        <v>3</v>
      </c>
      <c r="E836" t="s">
        <v>38</v>
      </c>
      <c r="F836">
        <v>94</v>
      </c>
      <c r="G836" t="s">
        <v>1008</v>
      </c>
      <c r="H836" t="s">
        <v>56</v>
      </c>
      <c r="I836">
        <v>1</v>
      </c>
      <c r="J836">
        <v>1</v>
      </c>
      <c r="K836">
        <v>6.3</v>
      </c>
      <c r="L836">
        <v>79640</v>
      </c>
      <c r="M836" t="s">
        <v>989</v>
      </c>
      <c r="N836" t="str">
        <f>IF(ISNUMBER(SEARCH("Streaming", M836)), "streaming", "cinema")</f>
        <v>cinema</v>
      </c>
      <c r="O836" t="str">
        <f>IF(I836=1, "non-original", "original")</f>
        <v>non-original</v>
      </c>
      <c r="P836" t="str">
        <f>IF(J836 = 1, "franchise", "non-franchise")</f>
        <v>franchise</v>
      </c>
      <c r="Q836" t="str">
        <f>IF(OR(I836 = 1,J836 =1), "old", "new")</f>
        <v>old</v>
      </c>
      <c r="R836">
        <f t="shared" si="26"/>
        <v>0.63949612136894662</v>
      </c>
      <c r="S836">
        <f>IF(Q836="new",1.5,1)*(K836/10)*(1-(MIN(F836,180)/180))</f>
        <v>0.30099999999999999</v>
      </c>
      <c r="T836" t="str">
        <f t="shared" si="27"/>
        <v>Scenario 1: Strong Commitment</v>
      </c>
    </row>
    <row r="837" spans="1:20" x14ac:dyDescent="0.35">
      <c r="A837" t="s">
        <v>1068</v>
      </c>
      <c r="B837" s="1">
        <v>45408</v>
      </c>
      <c r="C837">
        <v>2024</v>
      </c>
      <c r="D837">
        <v>4</v>
      </c>
      <c r="E837" t="s">
        <v>38</v>
      </c>
      <c r="F837">
        <v>113</v>
      </c>
      <c r="G837" t="s">
        <v>1051</v>
      </c>
      <c r="H837" t="s">
        <v>56</v>
      </c>
      <c r="I837">
        <v>0</v>
      </c>
      <c r="J837">
        <v>0</v>
      </c>
      <c r="K837">
        <v>7</v>
      </c>
      <c r="L837">
        <v>5743</v>
      </c>
      <c r="M837" t="s">
        <v>989</v>
      </c>
      <c r="N837" t="str">
        <f>IF(ISNUMBER(SEARCH("Streaming", M837)), "streaming", "cinema")</f>
        <v>cinema</v>
      </c>
      <c r="O837" t="str">
        <f>IF(I837=1, "non-original", "original")</f>
        <v>original</v>
      </c>
      <c r="P837" t="str">
        <f>IF(J837 = 1, "franchise", "non-franchise")</f>
        <v>non-franchise</v>
      </c>
      <c r="Q837" t="str">
        <f>IF(OR(I837 = 1,J837 =1), "old", "new")</f>
        <v>new</v>
      </c>
      <c r="R837">
        <f t="shared" si="26"/>
        <v>0.39308753840023503</v>
      </c>
      <c r="S837">
        <f>IF(Q837="new",1.5,1)*(K837/10)*(1-(MIN(F837,180)/180))</f>
        <v>0.39083333333333325</v>
      </c>
      <c r="T837" t="str">
        <f t="shared" si="27"/>
        <v>Scenario 3: Strong Convenience</v>
      </c>
    </row>
    <row r="838" spans="1:20" x14ac:dyDescent="0.35">
      <c r="A838" t="s">
        <v>1069</v>
      </c>
      <c r="B838" s="1">
        <v>45413</v>
      </c>
      <c r="C838">
        <v>2024</v>
      </c>
      <c r="D838">
        <v>5</v>
      </c>
      <c r="E838" t="s">
        <v>38</v>
      </c>
      <c r="F838">
        <v>101</v>
      </c>
      <c r="G838" t="s">
        <v>1018</v>
      </c>
      <c r="H838" t="s">
        <v>56</v>
      </c>
      <c r="I838">
        <v>0</v>
      </c>
      <c r="J838">
        <v>1</v>
      </c>
      <c r="K838">
        <v>5.7</v>
      </c>
      <c r="L838">
        <v>27300</v>
      </c>
      <c r="M838" t="s">
        <v>989</v>
      </c>
      <c r="N838" t="str">
        <f>IF(ISNUMBER(SEARCH("Streaming", M838)), "streaming", "cinema")</f>
        <v>cinema</v>
      </c>
      <c r="O838" t="str">
        <f>IF(I838=1, "non-original", "original")</f>
        <v>original</v>
      </c>
      <c r="P838" t="str">
        <f>IF(J838 = 1, "franchise", "non-franchise")</f>
        <v>franchise</v>
      </c>
      <c r="Q838" t="str">
        <f>IF(OR(I838 = 1,J838 =1), "old", "new")</f>
        <v>old</v>
      </c>
      <c r="R838">
        <f t="shared" si="26"/>
        <v>0.62193151267805935</v>
      </c>
      <c r="S838">
        <f>IF(Q838="new",1.5,1)*(K838/10)*(1-(MIN(F838,180)/180))</f>
        <v>0.2501666666666667</v>
      </c>
      <c r="T838" t="str">
        <f t="shared" si="27"/>
        <v>Scenario 1: Strong Commitment</v>
      </c>
    </row>
    <row r="839" spans="1:20" x14ac:dyDescent="0.35">
      <c r="A839" t="s">
        <v>1070</v>
      </c>
      <c r="B839" s="1">
        <v>45420</v>
      </c>
      <c r="C839">
        <v>2024</v>
      </c>
      <c r="D839">
        <v>5</v>
      </c>
      <c r="E839" t="s">
        <v>38</v>
      </c>
      <c r="F839">
        <v>104</v>
      </c>
      <c r="G839" t="s">
        <v>1056</v>
      </c>
      <c r="H839" t="s">
        <v>56</v>
      </c>
      <c r="I839">
        <v>1</v>
      </c>
      <c r="J839">
        <v>0</v>
      </c>
      <c r="K839">
        <v>6.4</v>
      </c>
      <c r="L839">
        <v>65401</v>
      </c>
      <c r="M839" t="s">
        <v>983</v>
      </c>
      <c r="N839" t="str">
        <f>IF(ISNUMBER(SEARCH("Streaming", M839)), "streaming", "cinema")</f>
        <v>cinema</v>
      </c>
      <c r="O839" t="str">
        <f>IF(I839=1, "non-original", "original")</f>
        <v>non-original</v>
      </c>
      <c r="P839" t="str">
        <f>IF(J839 = 1, "franchise", "non-franchise")</f>
        <v>non-franchise</v>
      </c>
      <c r="Q839" t="str">
        <f>IF(OR(I839 = 1,J839 =1), "old", "new")</f>
        <v>old</v>
      </c>
      <c r="R839">
        <f t="shared" si="26"/>
        <v>0.69517807305362489</v>
      </c>
      <c r="S839">
        <f>IF(Q839="new",1.5,1)*(K839/10)*(1-(MIN(F839,180)/180))</f>
        <v>0.27022222222222225</v>
      </c>
      <c r="T839" t="str">
        <f t="shared" si="27"/>
        <v>Scenario 1: Strong Commitment</v>
      </c>
    </row>
    <row r="840" spans="1:20" x14ac:dyDescent="0.35">
      <c r="A840" t="s">
        <v>1071</v>
      </c>
      <c r="B840" s="1">
        <v>45455</v>
      </c>
      <c r="C840">
        <v>2024</v>
      </c>
      <c r="D840">
        <v>6</v>
      </c>
      <c r="E840" t="s">
        <v>78</v>
      </c>
      <c r="F840">
        <v>96</v>
      </c>
      <c r="G840" t="s">
        <v>1018</v>
      </c>
      <c r="H840" t="s">
        <v>56</v>
      </c>
      <c r="I840">
        <v>1</v>
      </c>
      <c r="J840">
        <v>1</v>
      </c>
      <c r="K840">
        <v>7.5</v>
      </c>
      <c r="L840">
        <v>245505</v>
      </c>
      <c r="M840" t="s">
        <v>989</v>
      </c>
      <c r="N840" t="str">
        <f>IF(ISNUMBER(SEARCH("Streaming", M840)), "streaming", "cinema")</f>
        <v>cinema</v>
      </c>
      <c r="O840" t="str">
        <f>IF(I840=1, "non-original", "original")</f>
        <v>non-original</v>
      </c>
      <c r="P840" t="str">
        <f>IF(J840 = 1, "franchise", "non-franchise")</f>
        <v>franchise</v>
      </c>
      <c r="Q840" t="str">
        <f>IF(OR(I840 = 1,J840 =1), "old", "new")</f>
        <v>old</v>
      </c>
      <c r="R840">
        <f t="shared" si="26"/>
        <v>0.71825488489339495</v>
      </c>
      <c r="S840">
        <f>IF(Q840="new",1.5,1)*(K840/10)*(1-(MIN(F840,180)/180))</f>
        <v>0.35</v>
      </c>
      <c r="T840" t="str">
        <f t="shared" si="27"/>
        <v>Scenario 4: Hybrid Logic</v>
      </c>
    </row>
    <row r="841" spans="1:20" x14ac:dyDescent="0.35">
      <c r="A841" t="s">
        <v>1072</v>
      </c>
      <c r="B841" s="1">
        <v>45463</v>
      </c>
      <c r="C841">
        <v>2024</v>
      </c>
      <c r="D841">
        <v>6</v>
      </c>
      <c r="E841" t="s">
        <v>78</v>
      </c>
      <c r="F841">
        <v>94</v>
      </c>
      <c r="G841" t="s">
        <v>1018</v>
      </c>
      <c r="H841" t="s">
        <v>56</v>
      </c>
      <c r="I841">
        <v>1</v>
      </c>
      <c r="J841">
        <v>1</v>
      </c>
      <c r="K841">
        <v>6.2</v>
      </c>
      <c r="L841">
        <v>76821</v>
      </c>
      <c r="M841" t="s">
        <v>989</v>
      </c>
      <c r="N841" t="str">
        <f>IF(ISNUMBER(SEARCH("Streaming", M841)), "streaming", "cinema")</f>
        <v>cinema</v>
      </c>
      <c r="O841" t="str">
        <f>IF(I841=1, "non-original", "original")</f>
        <v>non-original</v>
      </c>
      <c r="P841" t="str">
        <f>IF(J841 = 1, "franchise", "non-franchise")</f>
        <v>franchise</v>
      </c>
      <c r="Q841" t="str">
        <f>IF(OR(I841 = 1,J841 =1), "old", "new")</f>
        <v>old</v>
      </c>
      <c r="R841">
        <f t="shared" si="26"/>
        <v>0.63745395150338124</v>
      </c>
      <c r="S841">
        <f>IF(Q841="new",1.5,1)*(K841/10)*(1-(MIN(F841,180)/180))</f>
        <v>0.29622222222222222</v>
      </c>
      <c r="T841" t="str">
        <f t="shared" si="27"/>
        <v>Scenario 1: Strong Commitment</v>
      </c>
    </row>
    <row r="842" spans="1:20" x14ac:dyDescent="0.35">
      <c r="A842" t="s">
        <v>1073</v>
      </c>
      <c r="B842" s="1">
        <v>45504</v>
      </c>
      <c r="C842">
        <v>2024</v>
      </c>
      <c r="D842">
        <v>7</v>
      </c>
      <c r="E842" t="s">
        <v>78</v>
      </c>
      <c r="F842">
        <v>90</v>
      </c>
      <c r="G842" t="s">
        <v>1018</v>
      </c>
      <c r="H842" t="s">
        <v>56</v>
      </c>
      <c r="I842">
        <v>0</v>
      </c>
      <c r="J842">
        <v>0</v>
      </c>
      <c r="K842">
        <v>5.7</v>
      </c>
      <c r="L842">
        <v>9960</v>
      </c>
      <c r="M842" t="s">
        <v>983</v>
      </c>
      <c r="N842" t="str">
        <f>IF(ISNUMBER(SEARCH("Streaming", M842)), "streaming", "cinema")</f>
        <v>cinema</v>
      </c>
      <c r="O842" t="str">
        <f>IF(I842=1, "non-original", "original")</f>
        <v>original</v>
      </c>
      <c r="P842" t="str">
        <f>IF(J842 = 1, "franchise", "non-franchise")</f>
        <v>non-franchise</v>
      </c>
      <c r="Q842" t="str">
        <f>IF(OR(I842 = 1,J842 =1), "old", "new")</f>
        <v>new</v>
      </c>
      <c r="R842">
        <f t="shared" si="26"/>
        <v>0.33299364002459053</v>
      </c>
      <c r="S842">
        <f>IF(Q842="new",1.5,1)*(K842/10)*(1-(MIN(F842,180)/180))</f>
        <v>0.42750000000000005</v>
      </c>
      <c r="T842" t="str">
        <f t="shared" si="27"/>
        <v>Scenario 3: Strong Convenience</v>
      </c>
    </row>
    <row r="843" spans="1:20" x14ac:dyDescent="0.35">
      <c r="A843" t="s">
        <v>1074</v>
      </c>
      <c r="B843" s="1">
        <v>45527</v>
      </c>
      <c r="C843">
        <v>2024</v>
      </c>
      <c r="D843">
        <v>8</v>
      </c>
      <c r="E843" t="s">
        <v>78</v>
      </c>
      <c r="F843">
        <v>124</v>
      </c>
      <c r="G843" t="s">
        <v>1075</v>
      </c>
      <c r="H843" t="s">
        <v>56</v>
      </c>
      <c r="I843">
        <v>1</v>
      </c>
      <c r="J843">
        <v>0</v>
      </c>
      <c r="K843">
        <v>6.8</v>
      </c>
      <c r="L843">
        <v>5875</v>
      </c>
      <c r="M843" t="s">
        <v>989</v>
      </c>
      <c r="N843" t="str">
        <f>IF(ISNUMBER(SEARCH("Streaming", M843)), "streaming", "cinema")</f>
        <v>cinema</v>
      </c>
      <c r="O843" t="str">
        <f>IF(I843=1, "non-original", "original")</f>
        <v>non-original</v>
      </c>
      <c r="P843" t="str">
        <f>IF(J843 = 1, "franchise", "non-franchise")</f>
        <v>non-franchise</v>
      </c>
      <c r="Q843" t="str">
        <f>IF(OR(I843 = 1,J843 =1), "old", "new")</f>
        <v>old</v>
      </c>
      <c r="R843">
        <f t="shared" si="26"/>
        <v>0.64872772313918547</v>
      </c>
      <c r="S843">
        <f>IF(Q843="new",1.5,1)*(K843/10)*(1-(MIN(F843,180)/180))</f>
        <v>0.21155555555555555</v>
      </c>
      <c r="T843" t="str">
        <f t="shared" si="27"/>
        <v>Scenario 1: Strong Commitment</v>
      </c>
    </row>
    <row r="844" spans="1:20" x14ac:dyDescent="0.35">
      <c r="A844" t="s">
        <v>1076</v>
      </c>
      <c r="B844" s="1">
        <v>45546</v>
      </c>
      <c r="C844">
        <v>2024</v>
      </c>
      <c r="D844">
        <v>9</v>
      </c>
      <c r="E844" t="s">
        <v>125</v>
      </c>
      <c r="F844">
        <v>104</v>
      </c>
      <c r="G844" t="s">
        <v>1008</v>
      </c>
      <c r="H844" t="s">
        <v>56</v>
      </c>
      <c r="I844">
        <v>0</v>
      </c>
      <c r="J844">
        <v>1</v>
      </c>
      <c r="K844">
        <v>7.6</v>
      </c>
      <c r="L844">
        <v>62961</v>
      </c>
      <c r="M844" t="s">
        <v>983</v>
      </c>
      <c r="N844" t="str">
        <f>IF(ISNUMBER(SEARCH("Streaming", M844)), "streaming", "cinema")</f>
        <v>cinema</v>
      </c>
      <c r="O844" t="str">
        <f>IF(I844=1, "non-original", "original")</f>
        <v>original</v>
      </c>
      <c r="P844" t="str">
        <f>IF(J844 = 1, "franchise", "non-franchise")</f>
        <v>franchise</v>
      </c>
      <c r="Q844" t="str">
        <f>IF(OR(I844 = 1,J844 =1), "old", "new")</f>
        <v>old</v>
      </c>
      <c r="R844">
        <f t="shared" si="26"/>
        <v>0.69279428827683143</v>
      </c>
      <c r="S844">
        <f>IF(Q844="new",1.5,1)*(K844/10)*(1-(MIN(F844,180)/180))</f>
        <v>0.32088888888888895</v>
      </c>
      <c r="T844" t="str">
        <f t="shared" si="27"/>
        <v>Scenario 4: Hybrid Logic</v>
      </c>
    </row>
    <row r="845" spans="1:20" x14ac:dyDescent="0.35">
      <c r="A845" t="s">
        <v>1077</v>
      </c>
      <c r="B845" s="1">
        <v>45548</v>
      </c>
      <c r="C845">
        <v>2024</v>
      </c>
      <c r="D845">
        <v>9</v>
      </c>
      <c r="E845" t="s">
        <v>125</v>
      </c>
      <c r="F845">
        <v>102</v>
      </c>
      <c r="G845" t="s">
        <v>1078</v>
      </c>
      <c r="H845" t="s">
        <v>56</v>
      </c>
      <c r="I845">
        <v>0</v>
      </c>
      <c r="J845">
        <v>0</v>
      </c>
      <c r="K845">
        <v>8.1999999999999993</v>
      </c>
      <c r="L845">
        <v>216140</v>
      </c>
      <c r="M845" t="s">
        <v>989</v>
      </c>
      <c r="N845" t="str">
        <f>IF(ISNUMBER(SEARCH("Streaming", M845)), "streaming", "cinema")</f>
        <v>cinema</v>
      </c>
      <c r="O845" t="str">
        <f>IF(I845=1, "non-original", "original")</f>
        <v>original</v>
      </c>
      <c r="P845" t="str">
        <f>IF(J845 = 1, "franchise", "non-franchise")</f>
        <v>non-franchise</v>
      </c>
      <c r="Q845" t="str">
        <f>IF(OR(I845 = 1,J845 =1), "old", "new")</f>
        <v>new</v>
      </c>
      <c r="R845">
        <f t="shared" si="26"/>
        <v>0.50354177192993732</v>
      </c>
      <c r="S845">
        <f>IF(Q845="new",1.5,1)*(K845/10)*(1-(MIN(F845,180)/180))</f>
        <v>0.53300000000000003</v>
      </c>
      <c r="T845" t="str">
        <f t="shared" si="27"/>
        <v>Scenario 4: Hybrid Logic</v>
      </c>
    </row>
    <row r="846" spans="1:20" x14ac:dyDescent="0.35">
      <c r="A846" t="s">
        <v>1079</v>
      </c>
      <c r="B846" s="1">
        <v>45616</v>
      </c>
      <c r="C846">
        <v>2024</v>
      </c>
      <c r="D846">
        <v>11</v>
      </c>
      <c r="E846" t="s">
        <v>125</v>
      </c>
      <c r="F846">
        <v>160</v>
      </c>
      <c r="G846" t="s">
        <v>1080</v>
      </c>
      <c r="H846" t="s">
        <v>56</v>
      </c>
      <c r="I846">
        <v>0</v>
      </c>
      <c r="J846">
        <v>1</v>
      </c>
      <c r="K846">
        <v>7.3</v>
      </c>
      <c r="L846">
        <v>225598</v>
      </c>
      <c r="M846" t="s">
        <v>989</v>
      </c>
      <c r="N846" t="str">
        <f>IF(ISNUMBER(SEARCH("Streaming", M846)), "streaming", "cinema")</f>
        <v>cinema</v>
      </c>
      <c r="O846" t="str">
        <f>IF(I846=1, "non-original", "original")</f>
        <v>original</v>
      </c>
      <c r="P846" t="str">
        <f>IF(J846 = 1, "franchise", "non-franchise")</f>
        <v>franchise</v>
      </c>
      <c r="Q846" t="str">
        <f>IF(OR(I846 = 1,J846 =1), "old", "new")</f>
        <v>old</v>
      </c>
      <c r="R846">
        <f t="shared" si="26"/>
        <v>1.1889351097887217</v>
      </c>
      <c r="S846">
        <f>IF(Q846="new",1.5,1)*(K846/10)*(1-(MIN(F846,180)/180))</f>
        <v>8.1111111111111148E-2</v>
      </c>
      <c r="T846" t="str">
        <f t="shared" si="27"/>
        <v>Scenario 1: Strong Commitment</v>
      </c>
    </row>
    <row r="847" spans="1:20" x14ac:dyDescent="0.35">
      <c r="A847" t="s">
        <v>1081</v>
      </c>
      <c r="B847" s="1">
        <v>45623</v>
      </c>
      <c r="C847">
        <v>2024</v>
      </c>
      <c r="D847">
        <v>11</v>
      </c>
      <c r="E847" t="s">
        <v>125</v>
      </c>
      <c r="F847">
        <v>100</v>
      </c>
      <c r="G847" t="s">
        <v>1018</v>
      </c>
      <c r="H847" t="s">
        <v>56</v>
      </c>
      <c r="I847">
        <v>1</v>
      </c>
      <c r="J847">
        <v>1</v>
      </c>
      <c r="K847">
        <v>6.3</v>
      </c>
      <c r="L847">
        <v>123176</v>
      </c>
      <c r="M847" t="s">
        <v>989</v>
      </c>
      <c r="N847" t="str">
        <f>IF(ISNUMBER(SEARCH("Streaming", M847)), "streaming", "cinema")</f>
        <v>cinema</v>
      </c>
      <c r="O847" t="str">
        <f>IF(I847=1, "non-original", "original")</f>
        <v>non-original</v>
      </c>
      <c r="P847" t="str">
        <f>IF(J847 = 1, "franchise", "non-franchise")</f>
        <v>franchise</v>
      </c>
      <c r="Q847" t="str">
        <f>IF(OR(I847 = 1,J847 =1), "old", "new")</f>
        <v>old</v>
      </c>
      <c r="R847">
        <f t="shared" si="26"/>
        <v>0.70660449590815289</v>
      </c>
      <c r="S847">
        <f>IF(Q847="new",1.5,1)*(K847/10)*(1-(MIN(F847,180)/180))</f>
        <v>0.27999999999999997</v>
      </c>
      <c r="T847" t="str">
        <f t="shared" si="27"/>
        <v>Scenario 1: Strong Commitment</v>
      </c>
    </row>
    <row r="848" spans="1:20" x14ac:dyDescent="0.35">
      <c r="A848" t="s">
        <v>1082</v>
      </c>
      <c r="B848" s="1">
        <v>45644</v>
      </c>
      <c r="C848">
        <v>2024</v>
      </c>
      <c r="D848">
        <v>12</v>
      </c>
      <c r="E848" t="s">
        <v>14</v>
      </c>
      <c r="F848">
        <v>118</v>
      </c>
      <c r="G848" t="s">
        <v>1083</v>
      </c>
      <c r="H848" t="s">
        <v>56</v>
      </c>
      <c r="I848">
        <v>1</v>
      </c>
      <c r="J848">
        <v>1</v>
      </c>
      <c r="K848">
        <v>6.6</v>
      </c>
      <c r="L848">
        <v>81125</v>
      </c>
      <c r="M848" t="s">
        <v>989</v>
      </c>
      <c r="N848" t="str">
        <f>IF(ISNUMBER(SEARCH("Streaming", M848)), "streaming", "cinema")</f>
        <v>cinema</v>
      </c>
      <c r="O848" t="str">
        <f>IF(I848=1, "non-original", "original")</f>
        <v>non-original</v>
      </c>
      <c r="P848" t="str">
        <f>IF(J848 = 1, "franchise", "non-franchise")</f>
        <v>franchise</v>
      </c>
      <c r="Q848" t="str">
        <f>IF(OR(I848 = 1,J848 =1), "old", "new")</f>
        <v>old</v>
      </c>
      <c r="R848">
        <f t="shared" si="26"/>
        <v>0.80408591435975296</v>
      </c>
      <c r="S848">
        <f>IF(Q848="new",1.5,1)*(K848/10)*(1-(MIN(F848,180)/180))</f>
        <v>0.2273333333333333</v>
      </c>
      <c r="T848" t="str">
        <f t="shared" si="27"/>
        <v>Scenario 1: Strong Commitment</v>
      </c>
    </row>
    <row r="849" spans="1:20" x14ac:dyDescent="0.35">
      <c r="A849" t="s">
        <v>1084</v>
      </c>
      <c r="B849" s="1">
        <v>45645</v>
      </c>
      <c r="C849">
        <v>2024</v>
      </c>
      <c r="D849">
        <v>12</v>
      </c>
      <c r="E849" t="s">
        <v>14</v>
      </c>
      <c r="F849">
        <v>110</v>
      </c>
      <c r="G849" t="s">
        <v>1043</v>
      </c>
      <c r="H849" t="s">
        <v>56</v>
      </c>
      <c r="I849">
        <v>0</v>
      </c>
      <c r="J849">
        <v>1</v>
      </c>
      <c r="K849">
        <v>6.9</v>
      </c>
      <c r="L849">
        <v>77829</v>
      </c>
      <c r="M849" t="s">
        <v>989</v>
      </c>
      <c r="N849" t="str">
        <f>IF(ISNUMBER(SEARCH("Streaming", M849)), "streaming", "cinema")</f>
        <v>cinema</v>
      </c>
      <c r="O849" t="str">
        <f>IF(I849=1, "non-original", "original")</f>
        <v>original</v>
      </c>
      <c r="P849" t="str">
        <f>IF(J849 = 1, "franchise", "non-franchise")</f>
        <v>franchise</v>
      </c>
      <c r="Q849" t="str">
        <f>IF(OR(I849 = 1,J849 =1), "old", "new")</f>
        <v>old</v>
      </c>
      <c r="R849">
        <f t="shared" si="26"/>
        <v>0.74682119698151572</v>
      </c>
      <c r="S849">
        <f>IF(Q849="new",1.5,1)*(K849/10)*(1-(MIN(F849,180)/180))</f>
        <v>0.26833333333333331</v>
      </c>
      <c r="T849" t="str">
        <f t="shared" si="27"/>
        <v>Scenario 1: Strong Commitment</v>
      </c>
    </row>
    <row r="850" spans="1:20" x14ac:dyDescent="0.35">
      <c r="A850" t="s">
        <v>1085</v>
      </c>
      <c r="B850" s="1">
        <v>43840</v>
      </c>
      <c r="C850">
        <v>2020</v>
      </c>
      <c r="D850">
        <v>1</v>
      </c>
      <c r="E850" t="s">
        <v>14</v>
      </c>
      <c r="F850">
        <v>99</v>
      </c>
      <c r="G850" t="s">
        <v>1086</v>
      </c>
      <c r="H850" t="s">
        <v>27</v>
      </c>
      <c r="I850">
        <v>1</v>
      </c>
      <c r="J850">
        <v>1</v>
      </c>
      <c r="K850">
        <v>6.4</v>
      </c>
      <c r="L850">
        <v>41298</v>
      </c>
      <c r="M850" t="s">
        <v>983</v>
      </c>
      <c r="N850" t="str">
        <f>IF(ISNUMBER(SEARCH("Streaming", M850)), "streaming", "cinema")</f>
        <v>cinema</v>
      </c>
      <c r="O850" t="str">
        <f>IF(I850=1, "non-original", "original")</f>
        <v>non-original</v>
      </c>
      <c r="P850" t="str">
        <f>IF(J850 = 1, "franchise", "non-franchise")</f>
        <v>franchise</v>
      </c>
      <c r="Q850" t="str">
        <f>IF(OR(I850 = 1,J850 =1), "old", "new")</f>
        <v>old</v>
      </c>
      <c r="R850">
        <f t="shared" si="26"/>
        <v>0.63431947404207745</v>
      </c>
      <c r="S850">
        <f>IF(Q850="new",1.5,1)*(K850/10)*(1-(MIN(F850,180)/180))</f>
        <v>0.28799999999999998</v>
      </c>
      <c r="T850" t="str">
        <f t="shared" si="27"/>
        <v>Scenario 1: Strong Commitment</v>
      </c>
    </row>
    <row r="851" spans="1:20" x14ac:dyDescent="0.35">
      <c r="A851" t="s">
        <v>1087</v>
      </c>
      <c r="B851" s="1">
        <v>43853</v>
      </c>
      <c r="C851">
        <v>2020</v>
      </c>
      <c r="D851">
        <v>1</v>
      </c>
      <c r="E851" t="s">
        <v>14</v>
      </c>
      <c r="F851">
        <v>94</v>
      </c>
      <c r="G851" t="s">
        <v>1088</v>
      </c>
      <c r="H851" t="s">
        <v>27</v>
      </c>
      <c r="I851">
        <v>0</v>
      </c>
      <c r="J851">
        <v>0</v>
      </c>
      <c r="K851">
        <v>3.9</v>
      </c>
      <c r="L851">
        <v>17451</v>
      </c>
      <c r="M851" t="s">
        <v>983</v>
      </c>
      <c r="N851" t="str">
        <f>IF(ISNUMBER(SEARCH("Streaming", M851)), "streaming", "cinema")</f>
        <v>cinema</v>
      </c>
      <c r="O851" t="str">
        <f>IF(I851=1, "non-original", "original")</f>
        <v>original</v>
      </c>
      <c r="P851" t="str">
        <f>IF(J851 = 1, "franchise", "non-franchise")</f>
        <v>non-franchise</v>
      </c>
      <c r="Q851" t="str">
        <f>IF(OR(I851 = 1,J851 =1), "old", "new")</f>
        <v>new</v>
      </c>
      <c r="R851">
        <f t="shared" si="26"/>
        <v>0.36897979971271777</v>
      </c>
      <c r="S851">
        <f>IF(Q851="new",1.5,1)*(K851/10)*(1-(MIN(F851,180)/180))</f>
        <v>0.27949999999999997</v>
      </c>
      <c r="T851" t="str">
        <f t="shared" si="27"/>
        <v>Scenario 2: Weak Commitment/Convenience</v>
      </c>
    </row>
    <row r="852" spans="1:20" x14ac:dyDescent="0.35">
      <c r="A852" t="s">
        <v>1089</v>
      </c>
      <c r="B852" s="1">
        <v>43860</v>
      </c>
      <c r="C852">
        <v>2020</v>
      </c>
      <c r="D852">
        <v>1</v>
      </c>
      <c r="E852" t="s">
        <v>14</v>
      </c>
      <c r="F852">
        <v>87</v>
      </c>
      <c r="G852" t="s">
        <v>1090</v>
      </c>
      <c r="H852" t="s">
        <v>27</v>
      </c>
      <c r="I852">
        <v>0</v>
      </c>
      <c r="J852">
        <v>0</v>
      </c>
      <c r="K852">
        <v>5.5</v>
      </c>
      <c r="L852">
        <v>38858</v>
      </c>
      <c r="M852" t="s">
        <v>989</v>
      </c>
      <c r="N852" t="str">
        <f>IF(ISNUMBER(SEARCH("Streaming", M852)), "streaming", "cinema")</f>
        <v>cinema</v>
      </c>
      <c r="O852" t="str">
        <f>IF(I852=1, "non-original", "original")</f>
        <v>original</v>
      </c>
      <c r="P852" t="str">
        <f>IF(J852 = 1, "franchise", "non-franchise")</f>
        <v>non-franchise</v>
      </c>
      <c r="Q852" t="str">
        <f>IF(OR(I852 = 1,J852 =1), "old", "new")</f>
        <v>new</v>
      </c>
      <c r="R852">
        <f t="shared" si="26"/>
        <v>0.36949217492978342</v>
      </c>
      <c r="S852">
        <f>IF(Q852="new",1.5,1)*(K852/10)*(1-(MIN(F852,180)/180))</f>
        <v>0.42624999999999996</v>
      </c>
      <c r="T852" t="str">
        <f t="shared" si="27"/>
        <v>Scenario 3: Strong Convenience</v>
      </c>
    </row>
    <row r="853" spans="1:20" x14ac:dyDescent="0.35">
      <c r="A853" t="s">
        <v>1091</v>
      </c>
      <c r="B853" s="1">
        <v>43873</v>
      </c>
      <c r="C853">
        <v>2020</v>
      </c>
      <c r="D853">
        <v>2</v>
      </c>
      <c r="E853" t="s">
        <v>14</v>
      </c>
      <c r="F853">
        <v>109</v>
      </c>
      <c r="G853" t="s">
        <v>1090</v>
      </c>
      <c r="H853" t="s">
        <v>27</v>
      </c>
      <c r="I853">
        <v>0</v>
      </c>
      <c r="J853">
        <v>0</v>
      </c>
      <c r="K853">
        <v>4.9000000000000004</v>
      </c>
      <c r="L853">
        <v>63497</v>
      </c>
      <c r="M853" t="s">
        <v>989</v>
      </c>
      <c r="N853" t="str">
        <f>IF(ISNUMBER(SEARCH("Streaming", M853)), "streaming", "cinema")</f>
        <v>cinema</v>
      </c>
      <c r="O853" t="str">
        <f>IF(I853=1, "non-original", "original")</f>
        <v>original</v>
      </c>
      <c r="P853" t="str">
        <f>IF(J853 = 1, "franchise", "non-franchise")</f>
        <v>non-franchise</v>
      </c>
      <c r="Q853" t="str">
        <f>IF(OR(I853 = 1,J853 =1), "old", "new")</f>
        <v>new</v>
      </c>
      <c r="R853">
        <f t="shared" si="26"/>
        <v>0.48443915478121063</v>
      </c>
      <c r="S853">
        <f>IF(Q853="new",1.5,1)*(K853/10)*(1-(MIN(F853,180)/180))</f>
        <v>0.28991666666666671</v>
      </c>
      <c r="T853" t="str">
        <f t="shared" si="27"/>
        <v>Scenario 1: Strong Commitment</v>
      </c>
    </row>
    <row r="854" spans="1:20" x14ac:dyDescent="0.35">
      <c r="A854" t="s">
        <v>1092</v>
      </c>
      <c r="B854" s="1">
        <v>43875</v>
      </c>
      <c r="C854">
        <v>2020</v>
      </c>
      <c r="D854">
        <v>2</v>
      </c>
      <c r="E854" t="s">
        <v>14</v>
      </c>
      <c r="F854">
        <v>106</v>
      </c>
      <c r="G854" t="s">
        <v>1024</v>
      </c>
      <c r="H854" t="s">
        <v>27</v>
      </c>
      <c r="I854">
        <v>1</v>
      </c>
      <c r="J854">
        <v>0</v>
      </c>
      <c r="K854">
        <v>6.1</v>
      </c>
      <c r="L854">
        <v>6629</v>
      </c>
      <c r="M854" t="s">
        <v>983</v>
      </c>
      <c r="N854" t="str">
        <f>IF(ISNUMBER(SEARCH("Streaming", M854)), "streaming", "cinema")</f>
        <v>cinema</v>
      </c>
      <c r="O854" t="str">
        <f>IF(I854=1, "non-original", "original")</f>
        <v>non-original</v>
      </c>
      <c r="P854" t="str">
        <f>IF(J854 = 1, "franchise", "non-franchise")</f>
        <v>non-franchise</v>
      </c>
      <c r="Q854" t="str">
        <f>IF(OR(I854 = 1,J854 =1), "old", "new")</f>
        <v>old</v>
      </c>
      <c r="R854">
        <f t="shared" si="26"/>
        <v>0.56227341492320504</v>
      </c>
      <c r="S854">
        <f>IF(Q854="new",1.5,1)*(K854/10)*(1-(MIN(F854,180)/180))</f>
        <v>0.25077777777777777</v>
      </c>
      <c r="T854" t="str">
        <f t="shared" si="27"/>
        <v>Scenario 1: Strong Commitment</v>
      </c>
    </row>
    <row r="855" spans="1:20" x14ac:dyDescent="0.35">
      <c r="A855" t="s">
        <v>1093</v>
      </c>
      <c r="B855" s="1">
        <v>43879</v>
      </c>
      <c r="C855">
        <v>2020</v>
      </c>
      <c r="D855">
        <v>2</v>
      </c>
      <c r="E855" t="s">
        <v>14</v>
      </c>
      <c r="F855">
        <v>103</v>
      </c>
      <c r="G855" t="s">
        <v>1004</v>
      </c>
      <c r="H855" t="s">
        <v>27</v>
      </c>
      <c r="I855">
        <v>0</v>
      </c>
      <c r="J855">
        <v>0</v>
      </c>
      <c r="K855">
        <v>5.2</v>
      </c>
      <c r="L855">
        <v>74527</v>
      </c>
      <c r="M855" t="s">
        <v>983</v>
      </c>
      <c r="N855" t="str">
        <f>IF(ISNUMBER(SEARCH("Streaming", M855)), "streaming", "cinema")</f>
        <v>cinema</v>
      </c>
      <c r="O855" t="str">
        <f>IF(I855=1, "non-original", "original")</f>
        <v>original</v>
      </c>
      <c r="P855" t="str">
        <f>IF(J855 = 1, "franchise", "non-franchise")</f>
        <v>non-franchise</v>
      </c>
      <c r="Q855" t="str">
        <f>IF(OR(I855 = 1,J855 =1), "old", "new")</f>
        <v>new</v>
      </c>
      <c r="R855">
        <f t="shared" si="26"/>
        <v>0.46440290813016244</v>
      </c>
      <c r="S855">
        <f>IF(Q855="new",1.5,1)*(K855/10)*(1-(MIN(F855,180)/180))</f>
        <v>0.33366666666666672</v>
      </c>
      <c r="T855" t="str">
        <f t="shared" si="27"/>
        <v>Scenario 3: Strong Convenience</v>
      </c>
    </row>
    <row r="856" spans="1:20" x14ac:dyDescent="0.35">
      <c r="A856" t="s">
        <v>1094</v>
      </c>
      <c r="B856" s="1">
        <v>43881</v>
      </c>
      <c r="C856">
        <v>2020</v>
      </c>
      <c r="D856">
        <v>2</v>
      </c>
      <c r="E856" t="s">
        <v>14</v>
      </c>
      <c r="F856">
        <v>86</v>
      </c>
      <c r="G856" t="s">
        <v>1088</v>
      </c>
      <c r="H856" t="s">
        <v>27</v>
      </c>
      <c r="I856">
        <v>1</v>
      </c>
      <c r="J856">
        <v>1</v>
      </c>
      <c r="K856">
        <v>4.7</v>
      </c>
      <c r="L856">
        <v>22407</v>
      </c>
      <c r="M856" t="s">
        <v>983</v>
      </c>
      <c r="N856" t="str">
        <f>IF(ISNUMBER(SEARCH("Streaming", M856)), "streaming", "cinema")</f>
        <v>cinema</v>
      </c>
      <c r="O856" t="str">
        <f>IF(I856=1, "non-original", "original")</f>
        <v>non-original</v>
      </c>
      <c r="P856" t="str">
        <f>IF(J856 = 1, "franchise", "non-franchise")</f>
        <v>franchise</v>
      </c>
      <c r="Q856" t="str">
        <f>IF(OR(I856 = 1,J856 =1), "old", "new")</f>
        <v>old</v>
      </c>
      <c r="R856">
        <f t="shared" si="26"/>
        <v>0.51932561474159156</v>
      </c>
      <c r="S856">
        <f>IF(Q856="new",1.5,1)*(K856/10)*(1-(MIN(F856,180)/180))</f>
        <v>0.24544444444444441</v>
      </c>
      <c r="T856" t="str">
        <f t="shared" si="27"/>
        <v>Scenario 1: Strong Commitment</v>
      </c>
    </row>
    <row r="857" spans="1:20" x14ac:dyDescent="0.35">
      <c r="A857" t="s">
        <v>1095</v>
      </c>
      <c r="B857" s="1">
        <v>43882</v>
      </c>
      <c r="C857">
        <v>2020</v>
      </c>
      <c r="D857">
        <v>2</v>
      </c>
      <c r="E857" t="s">
        <v>14</v>
      </c>
      <c r="F857">
        <v>92</v>
      </c>
      <c r="G857" t="s">
        <v>21</v>
      </c>
      <c r="H857" t="s">
        <v>27</v>
      </c>
      <c r="I857">
        <v>0</v>
      </c>
      <c r="J857">
        <v>0</v>
      </c>
      <c r="K857">
        <v>5.7</v>
      </c>
      <c r="L857">
        <v>7717</v>
      </c>
      <c r="M857" t="s">
        <v>989</v>
      </c>
      <c r="N857" t="str">
        <f>IF(ISNUMBER(SEARCH("Streaming", M857)), "streaming", "cinema")</f>
        <v>cinema</v>
      </c>
      <c r="O857" t="str">
        <f>IF(I857=1, "non-original", "original")</f>
        <v>original</v>
      </c>
      <c r="P857" t="str">
        <f>IF(J857 = 1, "franchise", "non-franchise")</f>
        <v>non-franchise</v>
      </c>
      <c r="Q857" t="str">
        <f>IF(OR(I857 = 1,J857 =1), "old", "new")</f>
        <v>new</v>
      </c>
      <c r="R857">
        <f t="shared" si="26"/>
        <v>0.33095957114827335</v>
      </c>
      <c r="S857">
        <f>IF(Q857="new",1.5,1)*(K857/10)*(1-(MIN(F857,180)/180))</f>
        <v>0.41800000000000009</v>
      </c>
      <c r="T857" t="str">
        <f t="shared" si="27"/>
        <v>Scenario 3: Strong Convenience</v>
      </c>
    </row>
    <row r="858" spans="1:20" x14ac:dyDescent="0.35">
      <c r="A858" t="s">
        <v>1096</v>
      </c>
      <c r="B858" s="1">
        <v>43896</v>
      </c>
      <c r="C858">
        <v>2020</v>
      </c>
      <c r="D858">
        <v>3</v>
      </c>
      <c r="E858" t="s">
        <v>38</v>
      </c>
      <c r="F858">
        <v>120</v>
      </c>
      <c r="G858" t="s">
        <v>1097</v>
      </c>
      <c r="H858" t="s">
        <v>27</v>
      </c>
      <c r="I858">
        <v>0</v>
      </c>
      <c r="J858">
        <v>0</v>
      </c>
      <c r="K858">
        <v>7.3</v>
      </c>
      <c r="L858">
        <v>42364</v>
      </c>
      <c r="M858" t="s">
        <v>983</v>
      </c>
      <c r="N858" t="str">
        <f>IF(ISNUMBER(SEARCH("Streaming", M858)), "streaming", "cinema")</f>
        <v>cinema</v>
      </c>
      <c r="O858" t="str">
        <f>IF(I858=1, "non-original", "original")</f>
        <v>original</v>
      </c>
      <c r="P858" t="str">
        <f>IF(J858 = 1, "franchise", "non-franchise")</f>
        <v>non-franchise</v>
      </c>
      <c r="Q858" t="str">
        <f>IF(OR(I858 = 1,J858 =1), "old", "new")</f>
        <v>new</v>
      </c>
      <c r="R858">
        <f t="shared" si="26"/>
        <v>0.51381044581906776</v>
      </c>
      <c r="S858">
        <f>IF(Q858="new",1.5,1)*(K858/10)*(1-(MIN(F858,180)/180))</f>
        <v>0.36500000000000005</v>
      </c>
      <c r="T858" t="str">
        <f t="shared" si="27"/>
        <v>Scenario 4: Hybrid Logic</v>
      </c>
    </row>
    <row r="859" spans="1:20" x14ac:dyDescent="0.35">
      <c r="A859" t="s">
        <v>1098</v>
      </c>
      <c r="B859" s="1">
        <v>44043</v>
      </c>
      <c r="C859">
        <v>2020</v>
      </c>
      <c r="D859">
        <v>7</v>
      </c>
      <c r="E859" t="s">
        <v>78</v>
      </c>
      <c r="F859">
        <v>119</v>
      </c>
      <c r="G859" t="s">
        <v>1099</v>
      </c>
      <c r="H859" t="s">
        <v>27</v>
      </c>
      <c r="I859">
        <v>1</v>
      </c>
      <c r="J859">
        <v>0</v>
      </c>
      <c r="K859">
        <v>6.4</v>
      </c>
      <c r="L859">
        <v>164892</v>
      </c>
      <c r="M859" t="s">
        <v>983</v>
      </c>
      <c r="N859" t="str">
        <f>IF(ISNUMBER(SEARCH("Streaming", M859)), "streaming", "cinema")</f>
        <v>cinema</v>
      </c>
      <c r="O859" t="str">
        <f>IF(I859=1, "non-original", "original")</f>
        <v>non-original</v>
      </c>
      <c r="P859" t="str">
        <f>IF(J859 = 1, "franchise", "non-franchise")</f>
        <v>non-franchise</v>
      </c>
      <c r="Q859" t="str">
        <f>IF(OR(I859 = 1,J859 =1), "old", "new")</f>
        <v>old</v>
      </c>
      <c r="R859">
        <f t="shared" si="26"/>
        <v>0.86178343253934586</v>
      </c>
      <c r="S859">
        <f>IF(Q859="new",1.5,1)*(K859/10)*(1-(MIN(F859,180)/180))</f>
        <v>0.21688888888888891</v>
      </c>
      <c r="T859" t="str">
        <f t="shared" si="27"/>
        <v>Scenario 1: Strong Commitment</v>
      </c>
    </row>
    <row r="860" spans="1:20" x14ac:dyDescent="0.35">
      <c r="A860" t="s">
        <v>1100</v>
      </c>
      <c r="B860" s="1">
        <v>44064</v>
      </c>
      <c r="C860">
        <v>2020</v>
      </c>
      <c r="D860">
        <v>8</v>
      </c>
      <c r="E860" t="s">
        <v>78</v>
      </c>
      <c r="F860">
        <v>110</v>
      </c>
      <c r="G860" t="s">
        <v>1024</v>
      </c>
      <c r="H860" t="s">
        <v>27</v>
      </c>
      <c r="I860">
        <v>0</v>
      </c>
      <c r="J860">
        <v>0</v>
      </c>
      <c r="K860">
        <v>7.2</v>
      </c>
      <c r="L860">
        <v>15530</v>
      </c>
      <c r="M860" t="s">
        <v>983</v>
      </c>
      <c r="N860" t="str">
        <f>IF(ISNUMBER(SEARCH("Streaming", M860)), "streaming", "cinema")</f>
        <v>cinema</v>
      </c>
      <c r="O860" t="str">
        <f>IF(I860=1, "non-original", "original")</f>
        <v>original</v>
      </c>
      <c r="P860" t="str">
        <f>IF(J860 = 1, "franchise", "non-franchise")</f>
        <v>non-franchise</v>
      </c>
      <c r="Q860" t="str">
        <f>IF(OR(I860 = 1,J860 =1), "old", "new")</f>
        <v>new</v>
      </c>
      <c r="R860">
        <f t="shared" si="26"/>
        <v>0.42662920507482716</v>
      </c>
      <c r="S860">
        <f>IF(Q860="new",1.5,1)*(K860/10)*(1-(MIN(F860,180)/180))</f>
        <v>0.42</v>
      </c>
      <c r="T860" t="str">
        <f t="shared" si="27"/>
        <v>Scenario 3: Strong Convenience</v>
      </c>
    </row>
    <row r="861" spans="1:20" x14ac:dyDescent="0.35">
      <c r="A861" t="s">
        <v>1101</v>
      </c>
      <c r="B861" s="1">
        <v>44066</v>
      </c>
      <c r="C861">
        <v>2020</v>
      </c>
      <c r="D861">
        <v>8</v>
      </c>
      <c r="E861" t="s">
        <v>78</v>
      </c>
      <c r="F861">
        <v>91</v>
      </c>
      <c r="G861" t="s">
        <v>1102</v>
      </c>
      <c r="H861" t="s">
        <v>27</v>
      </c>
      <c r="I861">
        <v>1</v>
      </c>
      <c r="J861">
        <v>1</v>
      </c>
      <c r="K861">
        <v>5.9</v>
      </c>
      <c r="L861">
        <v>56409</v>
      </c>
      <c r="M861" t="s">
        <v>983</v>
      </c>
      <c r="N861" t="str">
        <f>IF(ISNUMBER(SEARCH("Streaming", M861)), "streaming", "cinema")</f>
        <v>cinema</v>
      </c>
      <c r="O861" t="str">
        <f>IF(I861=1, "non-original", "original")</f>
        <v>non-original</v>
      </c>
      <c r="P861" t="str">
        <f>IF(J861 = 1, "franchise", "non-franchise")</f>
        <v>franchise</v>
      </c>
      <c r="Q861" t="str">
        <f>IF(OR(I861 = 1,J861 =1), "old", "new")</f>
        <v>old</v>
      </c>
      <c r="R861">
        <f t="shared" si="26"/>
        <v>0.60016684145935273</v>
      </c>
      <c r="S861">
        <f>IF(Q861="new",1.5,1)*(K861/10)*(1-(MIN(F861,180)/180))</f>
        <v>0.29172222222222227</v>
      </c>
      <c r="T861" t="str">
        <f t="shared" si="27"/>
        <v>Scenario 1: Strong Commitment</v>
      </c>
    </row>
    <row r="862" spans="1:20" x14ac:dyDescent="0.35">
      <c r="A862" t="s">
        <v>1103</v>
      </c>
      <c r="B862" s="1">
        <v>44069</v>
      </c>
      <c r="C862">
        <v>2020</v>
      </c>
      <c r="D862">
        <v>8</v>
      </c>
      <c r="E862" t="s">
        <v>78</v>
      </c>
      <c r="F862">
        <v>94</v>
      </c>
      <c r="G862" t="s">
        <v>1104</v>
      </c>
      <c r="H862" t="s">
        <v>27</v>
      </c>
      <c r="I862">
        <v>0</v>
      </c>
      <c r="J862">
        <v>1</v>
      </c>
      <c r="K862">
        <v>5.3</v>
      </c>
      <c r="L862">
        <v>100572</v>
      </c>
      <c r="M862" t="s">
        <v>983</v>
      </c>
      <c r="N862" t="str">
        <f>IF(ISNUMBER(SEARCH("Streaming", M862)), "streaming", "cinema")</f>
        <v>cinema</v>
      </c>
      <c r="O862" t="str">
        <f>IF(I862=1, "non-original", "original")</f>
        <v>original</v>
      </c>
      <c r="P862" t="str">
        <f>IF(J862 = 1, "franchise", "non-franchise")</f>
        <v>franchise</v>
      </c>
      <c r="Q862" t="str">
        <f>IF(OR(I862 = 1,J862 =1), "old", "new")</f>
        <v>old</v>
      </c>
      <c r="R862">
        <f t="shared" si="26"/>
        <v>0.65271965391643028</v>
      </c>
      <c r="S862">
        <f>IF(Q862="new",1.5,1)*(K862/10)*(1-(MIN(F862,180)/180))</f>
        <v>0.25322222222222224</v>
      </c>
      <c r="T862" t="str">
        <f t="shared" si="27"/>
        <v>Scenario 1: Strong Commitment</v>
      </c>
    </row>
    <row r="863" spans="1:20" x14ac:dyDescent="0.35">
      <c r="A863" t="s">
        <v>1105</v>
      </c>
      <c r="B863" s="1">
        <v>44069</v>
      </c>
      <c r="C863">
        <v>2020</v>
      </c>
      <c r="D863">
        <v>8</v>
      </c>
      <c r="E863" t="s">
        <v>78</v>
      </c>
      <c r="F863">
        <v>150</v>
      </c>
      <c r="G863" t="s">
        <v>1106</v>
      </c>
      <c r="H863" t="s">
        <v>27</v>
      </c>
      <c r="I863">
        <v>1</v>
      </c>
      <c r="J863">
        <v>0</v>
      </c>
      <c r="K863">
        <v>7.3</v>
      </c>
      <c r="L863">
        <v>678934</v>
      </c>
      <c r="M863" t="s">
        <v>983</v>
      </c>
      <c r="N863" t="str">
        <f>IF(ISNUMBER(SEARCH("Streaming", M863)), "streaming", "cinema")</f>
        <v>cinema</v>
      </c>
      <c r="O863" t="str">
        <f>IF(I863=1, "non-original", "original")</f>
        <v>non-original</v>
      </c>
      <c r="P863" t="str">
        <f>IF(J863 = 1, "franchise", "non-franchise")</f>
        <v>non-franchise</v>
      </c>
      <c r="Q863" t="str">
        <f>IF(OR(I863 = 1,J863 =1), "old", "new")</f>
        <v>old</v>
      </c>
      <c r="R863">
        <f t="shared" si="26"/>
        <v>1.2142543305559159</v>
      </c>
      <c r="S863">
        <f>IF(Q863="new",1.5,1)*(K863/10)*(1-(MIN(F863,180)/180))</f>
        <v>0.12166666666666663</v>
      </c>
      <c r="T863" t="str">
        <f t="shared" si="27"/>
        <v>Scenario 1: Strong Commitment</v>
      </c>
    </row>
    <row r="864" spans="1:20" x14ac:dyDescent="0.35">
      <c r="A864" t="s">
        <v>1107</v>
      </c>
      <c r="B864" s="1">
        <v>44078</v>
      </c>
      <c r="C864">
        <v>2020</v>
      </c>
      <c r="D864">
        <v>9</v>
      </c>
      <c r="E864" t="s">
        <v>125</v>
      </c>
      <c r="F864">
        <v>115</v>
      </c>
      <c r="G864" t="s">
        <v>1006</v>
      </c>
      <c r="H864" t="s">
        <v>27</v>
      </c>
      <c r="I864">
        <v>0</v>
      </c>
      <c r="J864">
        <v>0</v>
      </c>
      <c r="K864">
        <v>5.8</v>
      </c>
      <c r="L864">
        <v>167359</v>
      </c>
      <c r="M864" t="s">
        <v>983</v>
      </c>
      <c r="N864" t="str">
        <f>IF(ISNUMBER(SEARCH("Streaming", M864)), "streaming", "cinema")</f>
        <v>cinema</v>
      </c>
      <c r="O864" t="str">
        <f>IF(I864=1, "non-original", "original")</f>
        <v>original</v>
      </c>
      <c r="P864" t="str">
        <f>IF(J864 = 1, "franchise", "non-franchise")</f>
        <v>non-franchise</v>
      </c>
      <c r="Q864" t="str">
        <f>IF(OR(I864 = 1,J864 =1), "old", "new")</f>
        <v>new</v>
      </c>
      <c r="R864">
        <f t="shared" si="26"/>
        <v>0.55589696450504444</v>
      </c>
      <c r="S864">
        <f>IF(Q864="new",1.5,1)*(K864/10)*(1-(MIN(F864,180)/180))</f>
        <v>0.31416666666666665</v>
      </c>
      <c r="T864" t="str">
        <f t="shared" si="27"/>
        <v>Scenario 1: Strong Commitment</v>
      </c>
    </row>
    <row r="865" spans="1:20" x14ac:dyDescent="0.35">
      <c r="A865" t="s">
        <v>1108</v>
      </c>
      <c r="B865" s="1">
        <v>44112</v>
      </c>
      <c r="C865">
        <v>2020</v>
      </c>
      <c r="D865">
        <v>10</v>
      </c>
      <c r="E865" t="s">
        <v>125</v>
      </c>
      <c r="F865">
        <v>99</v>
      </c>
      <c r="G865" t="s">
        <v>982</v>
      </c>
      <c r="H865" t="s">
        <v>27</v>
      </c>
      <c r="I865">
        <v>1</v>
      </c>
      <c r="J865">
        <v>0</v>
      </c>
      <c r="K865">
        <v>6</v>
      </c>
      <c r="L865">
        <v>63174</v>
      </c>
      <c r="M865" t="s">
        <v>983</v>
      </c>
      <c r="N865" t="str">
        <f>IF(ISNUMBER(SEARCH("Streaming", M865)), "streaming", "cinema")</f>
        <v>cinema</v>
      </c>
      <c r="O865" t="str">
        <f>IF(I865=1, "non-original", "original")</f>
        <v>non-original</v>
      </c>
      <c r="P865" t="str">
        <f>IF(J865 = 1, "franchise", "non-franchise")</f>
        <v>non-franchise</v>
      </c>
      <c r="Q865" t="str">
        <f>IF(OR(I865 = 1,J865 =1), "old", "new")</f>
        <v>old</v>
      </c>
      <c r="R865">
        <f t="shared" si="26"/>
        <v>0.65968843209571171</v>
      </c>
      <c r="S865">
        <f>IF(Q865="new",1.5,1)*(K865/10)*(1-(MIN(F865,180)/180))</f>
        <v>0.26999999999999996</v>
      </c>
      <c r="T865" t="str">
        <f t="shared" si="27"/>
        <v>Scenario 1: Strong Commitment</v>
      </c>
    </row>
    <row r="866" spans="1:20" x14ac:dyDescent="0.35">
      <c r="A866" t="s">
        <v>1109</v>
      </c>
      <c r="B866" s="1">
        <v>44120</v>
      </c>
      <c r="C866">
        <v>2020</v>
      </c>
      <c r="D866">
        <v>10</v>
      </c>
      <c r="E866" t="s">
        <v>125</v>
      </c>
      <c r="F866">
        <v>109</v>
      </c>
      <c r="G866" t="s">
        <v>1043</v>
      </c>
      <c r="H866" t="s">
        <v>27</v>
      </c>
      <c r="I866">
        <v>1</v>
      </c>
      <c r="J866">
        <v>0</v>
      </c>
      <c r="K866">
        <v>6.9</v>
      </c>
      <c r="L866">
        <v>158382</v>
      </c>
      <c r="M866" t="s">
        <v>983</v>
      </c>
      <c r="N866" t="str">
        <f>IF(ISNUMBER(SEARCH("Streaming", M866)), "streaming", "cinema")</f>
        <v>cinema</v>
      </c>
      <c r="O866" t="str">
        <f>IF(I866=1, "non-original", "original")</f>
        <v>non-original</v>
      </c>
      <c r="P866" t="str">
        <f>IF(J866 = 1, "franchise", "non-franchise")</f>
        <v>non-franchise</v>
      </c>
      <c r="Q866" t="str">
        <f>IF(OR(I866 = 1,J866 =1), "old", "new")</f>
        <v>old</v>
      </c>
      <c r="R866">
        <f t="shared" si="26"/>
        <v>0.78671784246399146</v>
      </c>
      <c r="S866">
        <f>IF(Q866="new",1.5,1)*(K866/10)*(1-(MIN(F866,180)/180))</f>
        <v>0.27216666666666672</v>
      </c>
      <c r="T866" t="str">
        <f t="shared" si="27"/>
        <v>Scenario 1: Strong Commitment</v>
      </c>
    </row>
    <row r="867" spans="1:20" x14ac:dyDescent="0.35">
      <c r="A867" t="s">
        <v>1110</v>
      </c>
      <c r="B867" s="1">
        <v>44127</v>
      </c>
      <c r="C867">
        <v>2020</v>
      </c>
      <c r="D867">
        <v>10</v>
      </c>
      <c r="E867" t="s">
        <v>125</v>
      </c>
      <c r="F867">
        <v>91</v>
      </c>
      <c r="G867" t="s">
        <v>1024</v>
      </c>
      <c r="H867" t="s">
        <v>27</v>
      </c>
      <c r="I867">
        <v>0</v>
      </c>
      <c r="J867">
        <v>0</v>
      </c>
      <c r="K867">
        <v>6.3</v>
      </c>
      <c r="L867">
        <v>6976</v>
      </c>
      <c r="M867" t="s">
        <v>983</v>
      </c>
      <c r="N867" t="str">
        <f>IF(ISNUMBER(SEARCH("Streaming", M867)), "streaming", "cinema")</f>
        <v>cinema</v>
      </c>
      <c r="O867" t="str">
        <f>IF(I867=1, "non-original", "original")</f>
        <v>original</v>
      </c>
      <c r="P867" t="str">
        <f>IF(J867 = 1, "franchise", "non-franchise")</f>
        <v>non-franchise</v>
      </c>
      <c r="Q867" t="str">
        <f>IF(OR(I867 = 1,J867 =1), "old", "new")</f>
        <v>new</v>
      </c>
      <c r="R867">
        <f t="shared" si="26"/>
        <v>0.32367024565013142</v>
      </c>
      <c r="S867">
        <f>IF(Q867="new",1.5,1)*(K867/10)*(1-(MIN(F867,180)/180))</f>
        <v>0.46725000000000005</v>
      </c>
      <c r="T867" t="str">
        <f t="shared" si="27"/>
        <v>Scenario 3: Strong Convenience</v>
      </c>
    </row>
    <row r="868" spans="1:20" x14ac:dyDescent="0.35">
      <c r="A868" t="s">
        <v>1111</v>
      </c>
      <c r="B868" s="1">
        <v>44133</v>
      </c>
      <c r="C868">
        <v>2020</v>
      </c>
      <c r="D868">
        <v>10</v>
      </c>
      <c r="E868" t="s">
        <v>125</v>
      </c>
      <c r="F868">
        <v>96</v>
      </c>
      <c r="G868" t="s">
        <v>1088</v>
      </c>
      <c r="H868" t="s">
        <v>27</v>
      </c>
      <c r="I868">
        <v>0</v>
      </c>
      <c r="J868">
        <v>0</v>
      </c>
      <c r="K868">
        <v>5.8</v>
      </c>
      <c r="L868">
        <v>20022</v>
      </c>
      <c r="M868" t="s">
        <v>983</v>
      </c>
      <c r="N868" t="str">
        <f>IF(ISNUMBER(SEARCH("Streaming", M868)), "streaming", "cinema")</f>
        <v>cinema</v>
      </c>
      <c r="O868" t="str">
        <f>IF(I868=1, "non-original", "original")</f>
        <v>original</v>
      </c>
      <c r="P868" t="str">
        <f>IF(J868 = 1, "franchise", "non-franchise")</f>
        <v>non-franchise</v>
      </c>
      <c r="Q868" t="str">
        <f>IF(OR(I868 = 1,J868 =1), "old", "new")</f>
        <v>new</v>
      </c>
      <c r="R868">
        <f t="shared" si="26"/>
        <v>0.38213285785224943</v>
      </c>
      <c r="S868">
        <f>IF(Q868="new",1.5,1)*(K868/10)*(1-(MIN(F868,180)/180))</f>
        <v>0.40599999999999997</v>
      </c>
      <c r="T868" t="str">
        <f t="shared" si="27"/>
        <v>Scenario 3: Strong Convenience</v>
      </c>
    </row>
    <row r="869" spans="1:20" x14ac:dyDescent="0.35">
      <c r="A869" t="s">
        <v>191</v>
      </c>
      <c r="B869" s="1">
        <v>44174</v>
      </c>
      <c r="C869">
        <v>2020</v>
      </c>
      <c r="D869">
        <v>12</v>
      </c>
      <c r="E869" t="s">
        <v>14</v>
      </c>
      <c r="F869">
        <v>118</v>
      </c>
      <c r="G869" t="s">
        <v>1112</v>
      </c>
      <c r="H869" t="s">
        <v>27</v>
      </c>
      <c r="I869">
        <v>0</v>
      </c>
      <c r="J869">
        <v>0</v>
      </c>
      <c r="K869">
        <v>5.7</v>
      </c>
      <c r="L869">
        <v>93957</v>
      </c>
      <c r="M869" t="s">
        <v>983</v>
      </c>
      <c r="N869" t="str">
        <f>IF(ISNUMBER(SEARCH("Streaming", M869)), "streaming", "cinema")</f>
        <v>cinema</v>
      </c>
      <c r="O869" t="str">
        <f>IF(I869=1, "non-original", "original")</f>
        <v>original</v>
      </c>
      <c r="P869" t="str">
        <f>IF(J869 = 1, "franchise", "non-franchise")</f>
        <v>non-franchise</v>
      </c>
      <c r="Q869" t="str">
        <f>IF(OR(I869 = 1,J869 =1), "old", "new")</f>
        <v>new</v>
      </c>
      <c r="R869">
        <f t="shared" si="26"/>
        <v>0.54302115295154529</v>
      </c>
      <c r="S869">
        <f>IF(Q869="new",1.5,1)*(K869/10)*(1-(MIN(F869,180)/180))</f>
        <v>0.29450000000000004</v>
      </c>
      <c r="T869" t="str">
        <f t="shared" si="27"/>
        <v>Scenario 1: Strong Commitment</v>
      </c>
    </row>
    <row r="870" spans="1:20" x14ac:dyDescent="0.35">
      <c r="A870" t="s">
        <v>1113</v>
      </c>
      <c r="B870" s="1">
        <v>44176</v>
      </c>
      <c r="C870">
        <v>2020</v>
      </c>
      <c r="D870">
        <v>12</v>
      </c>
      <c r="E870" t="s">
        <v>14</v>
      </c>
      <c r="F870">
        <v>115</v>
      </c>
      <c r="G870" t="s">
        <v>34</v>
      </c>
      <c r="H870" t="s">
        <v>27</v>
      </c>
      <c r="I870">
        <v>1</v>
      </c>
      <c r="J870">
        <v>0</v>
      </c>
      <c r="K870">
        <v>7.4</v>
      </c>
      <c r="L870">
        <v>124316</v>
      </c>
      <c r="M870" t="s">
        <v>989</v>
      </c>
      <c r="N870" t="str">
        <f>IF(ISNUMBER(SEARCH("Streaming", M870)), "streaming", "cinema")</f>
        <v>cinema</v>
      </c>
      <c r="O870" t="str">
        <f>IF(I870=1, "non-original", "original")</f>
        <v>non-original</v>
      </c>
      <c r="P870" t="str">
        <f>IF(J870 = 1, "franchise", "non-franchise")</f>
        <v>non-franchise</v>
      </c>
      <c r="Q870" t="str">
        <f>IF(OR(I870 = 1,J870 =1), "old", "new")</f>
        <v>old</v>
      </c>
      <c r="R870">
        <f t="shared" si="26"/>
        <v>0.81323383458325083</v>
      </c>
      <c r="S870">
        <f>IF(Q870="new",1.5,1)*(K870/10)*(1-(MIN(F870,180)/180))</f>
        <v>0.26722222222222225</v>
      </c>
      <c r="T870" t="str">
        <f t="shared" si="27"/>
        <v>Scenario 1: Strong Commitment</v>
      </c>
    </row>
    <row r="871" spans="1:20" x14ac:dyDescent="0.35">
      <c r="A871" t="s">
        <v>1114</v>
      </c>
      <c r="B871" s="1">
        <v>44181</v>
      </c>
      <c r="C871">
        <v>2020</v>
      </c>
      <c r="D871">
        <v>12</v>
      </c>
      <c r="E871" t="s">
        <v>14</v>
      </c>
      <c r="F871">
        <v>151</v>
      </c>
      <c r="G871" t="s">
        <v>1004</v>
      </c>
      <c r="H871" t="s">
        <v>27</v>
      </c>
      <c r="I871">
        <v>0</v>
      </c>
      <c r="J871">
        <v>1</v>
      </c>
      <c r="K871">
        <v>5.3</v>
      </c>
      <c r="L871">
        <v>309585</v>
      </c>
      <c r="M871" t="s">
        <v>983</v>
      </c>
      <c r="N871" t="str">
        <f>IF(ISNUMBER(SEARCH("Streaming", M871)), "streaming", "cinema")</f>
        <v>cinema</v>
      </c>
      <c r="O871" t="str">
        <f>IF(I871=1, "non-original", "original")</f>
        <v>original</v>
      </c>
      <c r="P871" t="str">
        <f>IF(J871 = 1, "franchise", "non-franchise")</f>
        <v>franchise</v>
      </c>
      <c r="Q871" t="str">
        <f>IF(OR(I871 = 1,J871 =1), "old", "new")</f>
        <v>old</v>
      </c>
      <c r="R871">
        <f t="shared" si="26"/>
        <v>1.1508658716449056</v>
      </c>
      <c r="S871">
        <f>IF(Q871="new",1.5,1)*(K871/10)*(1-(MIN(F871,180)/180))</f>
        <v>8.5388888888888889E-2</v>
      </c>
      <c r="T871" t="str">
        <f t="shared" si="27"/>
        <v>Scenario 1: Strong Commitment</v>
      </c>
    </row>
    <row r="872" spans="1:20" x14ac:dyDescent="0.35">
      <c r="A872" t="s">
        <v>1115</v>
      </c>
      <c r="B872" s="1">
        <v>44190</v>
      </c>
      <c r="C872">
        <v>2020</v>
      </c>
      <c r="D872">
        <v>12</v>
      </c>
      <c r="E872" t="s">
        <v>14</v>
      </c>
      <c r="F872">
        <v>97</v>
      </c>
      <c r="G872" t="s">
        <v>1116</v>
      </c>
      <c r="H872" t="s">
        <v>27</v>
      </c>
      <c r="I872">
        <v>0</v>
      </c>
      <c r="J872">
        <v>0</v>
      </c>
      <c r="K872">
        <v>8.1999999999999993</v>
      </c>
      <c r="L872">
        <v>241840</v>
      </c>
      <c r="M872" t="s">
        <v>989</v>
      </c>
      <c r="N872" t="str">
        <f>IF(ISNUMBER(SEARCH("Streaming", M872)), "streaming", "cinema")</f>
        <v>cinema</v>
      </c>
      <c r="O872" t="str">
        <f>IF(I872=1, "non-original", "original")</f>
        <v>original</v>
      </c>
      <c r="P872" t="str">
        <f>IF(J872 = 1, "franchise", "non-franchise")</f>
        <v>non-franchise</v>
      </c>
      <c r="Q872" t="str">
        <f>IF(OR(I872 = 1,J872 =1), "old", "new")</f>
        <v>new</v>
      </c>
      <c r="R872">
        <f t="shared" si="26"/>
        <v>0.48323812481035455</v>
      </c>
      <c r="S872">
        <f>IF(Q872="new",1.5,1)*(K872/10)*(1-(MIN(F872,180)/180))</f>
        <v>0.56716666666666671</v>
      </c>
      <c r="T872" t="str">
        <f t="shared" si="27"/>
        <v>Scenario 4: Hybrid Logic</v>
      </c>
    </row>
    <row r="873" spans="1:20" x14ac:dyDescent="0.35">
      <c r="A873" t="s">
        <v>1117</v>
      </c>
      <c r="B873" s="1">
        <v>44190</v>
      </c>
      <c r="C873">
        <v>2020</v>
      </c>
      <c r="D873">
        <v>12</v>
      </c>
      <c r="E873" t="s">
        <v>14</v>
      </c>
      <c r="F873">
        <v>118</v>
      </c>
      <c r="G873" t="s">
        <v>1006</v>
      </c>
      <c r="H873" t="s">
        <v>27</v>
      </c>
      <c r="I873">
        <v>0</v>
      </c>
      <c r="J873">
        <v>0</v>
      </c>
      <c r="K873">
        <v>6.8</v>
      </c>
      <c r="L873">
        <v>100686</v>
      </c>
      <c r="M873" t="s">
        <v>983</v>
      </c>
      <c r="N873" t="str">
        <f>IF(ISNUMBER(SEARCH("Streaming", M873)), "streaming", "cinema")</f>
        <v>cinema</v>
      </c>
      <c r="O873" t="str">
        <f>IF(I873=1, "non-original", "original")</f>
        <v>original</v>
      </c>
      <c r="P873" t="str">
        <f>IF(J873 = 1, "franchise", "non-franchise")</f>
        <v>non-franchise</v>
      </c>
      <c r="Q873" t="str">
        <f>IF(OR(I873 = 1,J873 =1), "old", "new")</f>
        <v>new</v>
      </c>
      <c r="R873">
        <f t="shared" si="26"/>
        <v>0.54630137790287581</v>
      </c>
      <c r="S873">
        <f>IF(Q873="new",1.5,1)*(K873/10)*(1-(MIN(F873,180)/180))</f>
        <v>0.35133333333333333</v>
      </c>
      <c r="T873" t="str">
        <f t="shared" si="27"/>
        <v>Scenario 4: Hybrid Logic</v>
      </c>
    </row>
    <row r="874" spans="1:20" x14ac:dyDescent="0.35">
      <c r="A874" t="s">
        <v>1118</v>
      </c>
      <c r="B874" s="1">
        <v>44211</v>
      </c>
      <c r="C874">
        <v>2021</v>
      </c>
      <c r="D874">
        <v>1</v>
      </c>
      <c r="E874" t="s">
        <v>14</v>
      </c>
      <c r="F874">
        <v>108</v>
      </c>
      <c r="G874" t="s">
        <v>1119</v>
      </c>
      <c r="H874" t="s">
        <v>27</v>
      </c>
      <c r="I874">
        <v>1</v>
      </c>
      <c r="J874">
        <v>0</v>
      </c>
      <c r="K874">
        <v>5.7</v>
      </c>
      <c r="L874">
        <v>48716</v>
      </c>
      <c r="M874" t="s">
        <v>983</v>
      </c>
      <c r="N874" t="str">
        <f>IF(ISNUMBER(SEARCH("Streaming", M874)), "streaming", "cinema")</f>
        <v>cinema</v>
      </c>
      <c r="O874" t="str">
        <f>IF(I874=1, "non-original", "original")</f>
        <v>non-original</v>
      </c>
      <c r="P874" t="str">
        <f>IF(J874 = 1, "franchise", "non-franchise")</f>
        <v>non-franchise</v>
      </c>
      <c r="Q874" t="str">
        <f>IF(OR(I874 = 1,J874 =1), "old", "new")</f>
        <v>old</v>
      </c>
      <c r="R874">
        <f t="shared" si="26"/>
        <v>0.70273998458468667</v>
      </c>
      <c r="S874">
        <f>IF(Q874="new",1.5,1)*(K874/10)*(1-(MIN(F874,180)/180))</f>
        <v>0.22800000000000004</v>
      </c>
      <c r="T874" t="str">
        <f t="shared" si="27"/>
        <v>Scenario 1: Strong Commitment</v>
      </c>
    </row>
    <row r="875" spans="1:20" x14ac:dyDescent="0.35">
      <c r="A875" t="s">
        <v>1120</v>
      </c>
      <c r="B875" s="1">
        <v>44230</v>
      </c>
      <c r="C875">
        <v>2021</v>
      </c>
      <c r="D875">
        <v>2</v>
      </c>
      <c r="E875" t="s">
        <v>14</v>
      </c>
      <c r="F875">
        <v>109</v>
      </c>
      <c r="G875" t="s">
        <v>1006</v>
      </c>
      <c r="H875" t="s">
        <v>27</v>
      </c>
      <c r="I875">
        <v>0</v>
      </c>
      <c r="J875">
        <v>0</v>
      </c>
      <c r="K875">
        <v>5.7</v>
      </c>
      <c r="L875">
        <v>63090</v>
      </c>
      <c r="M875" t="s">
        <v>983</v>
      </c>
      <c r="N875" t="str">
        <f>IF(ISNUMBER(SEARCH("Streaming", M875)), "streaming", "cinema")</f>
        <v>cinema</v>
      </c>
      <c r="O875" t="str">
        <f>IF(I875=1, "non-original", "original")</f>
        <v>original</v>
      </c>
      <c r="P875" t="str">
        <f>IF(J875 = 1, "franchise", "non-franchise")</f>
        <v>non-franchise</v>
      </c>
      <c r="Q875" t="str">
        <f>IF(OR(I875 = 1,J875 =1), "old", "new")</f>
        <v>new</v>
      </c>
      <c r="R875">
        <f t="shared" si="26"/>
        <v>0.48415746566179652</v>
      </c>
      <c r="S875">
        <f>IF(Q875="new",1.5,1)*(K875/10)*(1-(MIN(F875,180)/180))</f>
        <v>0.33725000000000005</v>
      </c>
      <c r="T875" t="str">
        <f t="shared" si="27"/>
        <v>Scenario 4: Hybrid Logic</v>
      </c>
    </row>
    <row r="876" spans="1:20" x14ac:dyDescent="0.35">
      <c r="A876" t="s">
        <v>1121</v>
      </c>
      <c r="B876" s="1">
        <v>44280</v>
      </c>
      <c r="C876">
        <v>2021</v>
      </c>
      <c r="D876">
        <v>3</v>
      </c>
      <c r="E876" t="s">
        <v>38</v>
      </c>
      <c r="F876">
        <v>113</v>
      </c>
      <c r="G876" t="s">
        <v>1106</v>
      </c>
      <c r="H876" t="s">
        <v>27</v>
      </c>
      <c r="I876">
        <v>1</v>
      </c>
      <c r="J876">
        <v>1</v>
      </c>
      <c r="K876">
        <v>6.3</v>
      </c>
      <c r="L876">
        <v>265242</v>
      </c>
      <c r="M876" t="s">
        <v>989</v>
      </c>
      <c r="N876" t="str">
        <f>IF(ISNUMBER(SEARCH("Streaming", M876)), "streaming", "cinema")</f>
        <v>cinema</v>
      </c>
      <c r="O876" t="str">
        <f>IF(I876=1, "non-original", "original")</f>
        <v>non-original</v>
      </c>
      <c r="P876" t="str">
        <f>IF(J876 = 1, "franchise", "non-franchise")</f>
        <v>franchise</v>
      </c>
      <c r="Q876" t="str">
        <f>IF(OR(I876 = 1,J876 =1), "old", "new")</f>
        <v>old</v>
      </c>
      <c r="R876">
        <f t="shared" si="26"/>
        <v>0.85071327610762049</v>
      </c>
      <c r="S876">
        <f>IF(Q876="new",1.5,1)*(K876/10)*(1-(MIN(F876,180)/180))</f>
        <v>0.23450000000000001</v>
      </c>
      <c r="T876" t="str">
        <f t="shared" si="27"/>
        <v>Scenario 1: Strong Commitment</v>
      </c>
    </row>
    <row r="877" spans="1:20" x14ac:dyDescent="0.35">
      <c r="A877" t="s">
        <v>1122</v>
      </c>
      <c r="B877" s="1">
        <v>44288</v>
      </c>
      <c r="C877">
        <v>2021</v>
      </c>
      <c r="D877">
        <v>4</v>
      </c>
      <c r="E877" t="s">
        <v>38</v>
      </c>
      <c r="F877">
        <v>99</v>
      </c>
      <c r="G877" t="s">
        <v>1088</v>
      </c>
      <c r="H877" t="s">
        <v>27</v>
      </c>
      <c r="I877">
        <v>0</v>
      </c>
      <c r="J877">
        <v>0</v>
      </c>
      <c r="K877">
        <v>5.0999999999999996</v>
      </c>
      <c r="L877">
        <v>30833</v>
      </c>
      <c r="M877" t="s">
        <v>989</v>
      </c>
      <c r="N877" t="str">
        <f>IF(ISNUMBER(SEARCH("Streaming", M877)), "streaming", "cinema")</f>
        <v>cinema</v>
      </c>
      <c r="O877" t="str">
        <f>IF(I877=1, "non-original", "original")</f>
        <v>original</v>
      </c>
      <c r="P877" t="str">
        <f>IF(J877 = 1, "franchise", "non-franchise")</f>
        <v>non-franchise</v>
      </c>
      <c r="Q877" t="str">
        <f>IF(OR(I877 = 1,J877 =1), "old", "new")</f>
        <v>new</v>
      </c>
      <c r="R877">
        <f t="shared" si="26"/>
        <v>0.4112527320197088</v>
      </c>
      <c r="S877">
        <f>IF(Q877="new",1.5,1)*(K877/10)*(1-(MIN(F877,180)/180))</f>
        <v>0.34424999999999994</v>
      </c>
      <c r="T877" t="str">
        <f t="shared" si="27"/>
        <v>Scenario 3: Strong Convenience</v>
      </c>
    </row>
    <row r="878" spans="1:20" x14ac:dyDescent="0.35">
      <c r="A878" t="s">
        <v>1123</v>
      </c>
      <c r="B878" s="1">
        <v>44294</v>
      </c>
      <c r="C878">
        <v>2021</v>
      </c>
      <c r="D878">
        <v>4</v>
      </c>
      <c r="E878" t="s">
        <v>38</v>
      </c>
      <c r="F878">
        <v>108</v>
      </c>
      <c r="G878" t="s">
        <v>1124</v>
      </c>
      <c r="H878" t="s">
        <v>27</v>
      </c>
      <c r="I878">
        <v>1</v>
      </c>
      <c r="J878">
        <v>0</v>
      </c>
      <c r="K878">
        <v>5.5</v>
      </c>
      <c r="L878">
        <v>29770</v>
      </c>
      <c r="M878" t="s">
        <v>983</v>
      </c>
      <c r="N878" t="str">
        <f>IF(ISNUMBER(SEARCH("Streaming", M878)), "streaming", "cinema")</f>
        <v>cinema</v>
      </c>
      <c r="O878" t="str">
        <f>IF(I878=1, "non-original", "original")</f>
        <v>non-original</v>
      </c>
      <c r="P878" t="str">
        <f>IF(J878 = 1, "franchise", "non-franchise")</f>
        <v>non-franchise</v>
      </c>
      <c r="Q878" t="str">
        <f>IF(OR(I878 = 1,J878 =1), "old", "new")</f>
        <v>old</v>
      </c>
      <c r="R878">
        <f t="shared" si="26"/>
        <v>0.67067480893381859</v>
      </c>
      <c r="S878">
        <f>IF(Q878="new",1.5,1)*(K878/10)*(1-(MIN(F878,180)/180))</f>
        <v>0.22000000000000003</v>
      </c>
      <c r="T878" t="str">
        <f t="shared" si="27"/>
        <v>Scenario 1: Strong Commitment</v>
      </c>
    </row>
    <row r="879" spans="1:20" x14ac:dyDescent="0.35">
      <c r="A879" t="s">
        <v>1125</v>
      </c>
      <c r="B879" s="1">
        <v>44336</v>
      </c>
      <c r="C879">
        <v>2021</v>
      </c>
      <c r="D879">
        <v>5</v>
      </c>
      <c r="E879" t="s">
        <v>38</v>
      </c>
      <c r="F879">
        <v>143</v>
      </c>
      <c r="G879" t="s">
        <v>1126</v>
      </c>
      <c r="H879" t="s">
        <v>27</v>
      </c>
      <c r="I879">
        <v>1</v>
      </c>
      <c r="J879">
        <v>1</v>
      </c>
      <c r="K879">
        <v>5.2</v>
      </c>
      <c r="L879">
        <v>178590</v>
      </c>
      <c r="M879" t="s">
        <v>989</v>
      </c>
      <c r="N879" t="str">
        <f>IF(ISNUMBER(SEARCH("Streaming", M879)), "streaming", "cinema")</f>
        <v>cinema</v>
      </c>
      <c r="O879" t="str">
        <f>IF(I879=1, "non-original", "original")</f>
        <v>non-original</v>
      </c>
      <c r="P879" t="str">
        <f>IF(J879 = 1, "franchise", "non-franchise")</f>
        <v>franchise</v>
      </c>
      <c r="Q879" t="str">
        <f>IF(OR(I879 = 1,J879 =1), "old", "new")</f>
        <v>old</v>
      </c>
      <c r="R879">
        <f t="shared" si="26"/>
        <v>1.0424678483452285</v>
      </c>
      <c r="S879">
        <f>IF(Q879="new",1.5,1)*(K879/10)*(1-(MIN(F879,180)/180))</f>
        <v>0.10688888888888892</v>
      </c>
      <c r="T879" t="str">
        <f t="shared" si="27"/>
        <v>Scenario 1: Strong Commitment</v>
      </c>
    </row>
    <row r="880" spans="1:20" x14ac:dyDescent="0.35">
      <c r="A880" t="s">
        <v>1127</v>
      </c>
      <c r="B880" s="1">
        <v>44357</v>
      </c>
      <c r="C880">
        <v>2021</v>
      </c>
      <c r="D880">
        <v>6</v>
      </c>
      <c r="E880" t="s">
        <v>78</v>
      </c>
      <c r="F880">
        <v>143</v>
      </c>
      <c r="G880" t="s">
        <v>1128</v>
      </c>
      <c r="H880" t="s">
        <v>27</v>
      </c>
      <c r="I880">
        <v>0</v>
      </c>
      <c r="J880">
        <v>0</v>
      </c>
      <c r="K880">
        <v>7.2</v>
      </c>
      <c r="L880">
        <v>55581</v>
      </c>
      <c r="M880" t="s">
        <v>983</v>
      </c>
      <c r="N880" t="str">
        <f>IF(ISNUMBER(SEARCH("Streaming", M880)), "streaming", "cinema")</f>
        <v>cinema</v>
      </c>
      <c r="O880" t="str">
        <f>IF(I880=1, "non-original", "original")</f>
        <v>original</v>
      </c>
      <c r="P880" t="str">
        <f>IF(J880 = 1, "franchise", "non-franchise")</f>
        <v>non-franchise</v>
      </c>
      <c r="Q880" t="str">
        <f>IF(OR(I880 = 1,J880 =1), "old", "new")</f>
        <v>new</v>
      </c>
      <c r="R880">
        <f t="shared" si="26"/>
        <v>0.62789638532949443</v>
      </c>
      <c r="S880">
        <f>IF(Q880="new",1.5,1)*(K880/10)*(1-(MIN(F880,180)/180))</f>
        <v>0.22200000000000006</v>
      </c>
      <c r="T880" t="str">
        <f t="shared" si="27"/>
        <v>Scenario 1: Strong Commitment</v>
      </c>
    </row>
    <row r="881" spans="1:20" x14ac:dyDescent="0.35">
      <c r="A881" t="s">
        <v>1129</v>
      </c>
      <c r="B881" s="1">
        <v>44378</v>
      </c>
      <c r="C881">
        <v>2021</v>
      </c>
      <c r="D881">
        <v>7</v>
      </c>
      <c r="E881" t="s">
        <v>78</v>
      </c>
      <c r="F881">
        <v>88</v>
      </c>
      <c r="G881" t="s">
        <v>1130</v>
      </c>
      <c r="H881" t="s">
        <v>27</v>
      </c>
      <c r="I881">
        <v>1</v>
      </c>
      <c r="J881">
        <v>1</v>
      </c>
      <c r="K881">
        <v>5.8</v>
      </c>
      <c r="L881">
        <v>67879</v>
      </c>
      <c r="M881" t="s">
        <v>989</v>
      </c>
      <c r="N881" t="str">
        <f>IF(ISNUMBER(SEARCH("Streaming", M881)), "streaming", "cinema")</f>
        <v>cinema</v>
      </c>
      <c r="O881" t="str">
        <f>IF(I881=1, "non-original", "original")</f>
        <v>non-original</v>
      </c>
      <c r="P881" t="str">
        <f>IF(J881 = 1, "franchise", "non-franchise")</f>
        <v>franchise</v>
      </c>
      <c r="Q881" t="str">
        <f>IF(OR(I881 = 1,J881 =1), "old", "new")</f>
        <v>old</v>
      </c>
      <c r="R881">
        <f t="shared" si="26"/>
        <v>0.59020046394374559</v>
      </c>
      <c r="S881">
        <f>IF(Q881="new",1.5,1)*(K881/10)*(1-(MIN(F881,180)/180))</f>
        <v>0.2964444444444444</v>
      </c>
      <c r="T881" t="str">
        <f t="shared" si="27"/>
        <v>Scenario 1: Strong Commitment</v>
      </c>
    </row>
    <row r="882" spans="1:20" x14ac:dyDescent="0.35">
      <c r="A882" t="s">
        <v>1131</v>
      </c>
      <c r="B882" s="1">
        <v>44379</v>
      </c>
      <c r="C882">
        <v>2021</v>
      </c>
      <c r="D882">
        <v>7</v>
      </c>
      <c r="E882" t="s">
        <v>78</v>
      </c>
      <c r="F882">
        <v>138</v>
      </c>
      <c r="G882" t="s">
        <v>1006</v>
      </c>
      <c r="H882" t="s">
        <v>27</v>
      </c>
      <c r="I882">
        <v>1</v>
      </c>
      <c r="J882">
        <v>0</v>
      </c>
      <c r="K882">
        <v>6.6</v>
      </c>
      <c r="L882">
        <v>251653</v>
      </c>
      <c r="M882" t="s">
        <v>983</v>
      </c>
      <c r="N882" t="str">
        <f>IF(ISNUMBER(SEARCH("Streaming", M882)), "streaming", "cinema")</f>
        <v>cinema</v>
      </c>
      <c r="O882" t="str">
        <f>IF(I882=1, "non-original", "original")</f>
        <v>non-original</v>
      </c>
      <c r="P882" t="str">
        <f>IF(J882 = 1, "franchise", "non-franchise")</f>
        <v>non-franchise</v>
      </c>
      <c r="Q882" t="str">
        <f>IF(OR(I882 = 1,J882 =1), "old", "new")</f>
        <v>old</v>
      </c>
      <c r="R882">
        <f t="shared" si="26"/>
        <v>1.0345490336887149</v>
      </c>
      <c r="S882">
        <f>IF(Q882="new",1.5,1)*(K882/10)*(1-(MIN(F882,180)/180))</f>
        <v>0.15399999999999994</v>
      </c>
      <c r="T882" t="str">
        <f t="shared" si="27"/>
        <v>Scenario 1: Strong Commitment</v>
      </c>
    </row>
    <row r="883" spans="1:20" x14ac:dyDescent="0.35">
      <c r="A883" t="s">
        <v>1132</v>
      </c>
      <c r="B883" s="1">
        <v>44384</v>
      </c>
      <c r="C883">
        <v>2021</v>
      </c>
      <c r="D883">
        <v>7</v>
      </c>
      <c r="E883" t="s">
        <v>78</v>
      </c>
      <c r="F883">
        <v>134</v>
      </c>
      <c r="G883" t="s">
        <v>1133</v>
      </c>
      <c r="H883" t="s">
        <v>27</v>
      </c>
      <c r="I883">
        <v>0</v>
      </c>
      <c r="J883">
        <v>1</v>
      </c>
      <c r="K883">
        <v>6.6</v>
      </c>
      <c r="L883">
        <v>473206</v>
      </c>
      <c r="M883" t="s">
        <v>983</v>
      </c>
      <c r="N883" t="str">
        <f>IF(ISNUMBER(SEARCH("Streaming", M883)), "streaming", "cinema")</f>
        <v>cinema</v>
      </c>
      <c r="O883" t="str">
        <f>IF(I883=1, "non-original", "original")</f>
        <v>original</v>
      </c>
      <c r="P883" t="str">
        <f>IF(J883 = 1, "franchise", "non-franchise")</f>
        <v>franchise</v>
      </c>
      <c r="Q883" t="str">
        <f>IF(OR(I883 = 1,J883 =1), "old", "new")</f>
        <v>old</v>
      </c>
      <c r="R883">
        <f t="shared" si="26"/>
        <v>1.0555729131351368</v>
      </c>
      <c r="S883">
        <f>IF(Q883="new",1.5,1)*(K883/10)*(1-(MIN(F883,180)/180))</f>
        <v>0.16866666666666663</v>
      </c>
      <c r="T883" t="str">
        <f t="shared" si="27"/>
        <v>Scenario 1: Strong Commitment</v>
      </c>
    </row>
    <row r="884" spans="1:20" x14ac:dyDescent="0.35">
      <c r="A884" t="s">
        <v>1134</v>
      </c>
      <c r="B884" s="1">
        <v>44398</v>
      </c>
      <c r="C884">
        <v>2021</v>
      </c>
      <c r="D884">
        <v>7</v>
      </c>
      <c r="E884" t="s">
        <v>78</v>
      </c>
      <c r="F884">
        <v>108</v>
      </c>
      <c r="G884" t="s">
        <v>991</v>
      </c>
      <c r="H884" t="s">
        <v>27</v>
      </c>
      <c r="I884">
        <v>0</v>
      </c>
      <c r="J884">
        <v>0</v>
      </c>
      <c r="K884">
        <v>5.8</v>
      </c>
      <c r="L884">
        <v>182314</v>
      </c>
      <c r="M884" t="s">
        <v>989</v>
      </c>
      <c r="N884" t="str">
        <f>IF(ISNUMBER(SEARCH("Streaming", M884)), "streaming", "cinema")</f>
        <v>cinema</v>
      </c>
      <c r="O884" t="str">
        <f>IF(I884=1, "non-original", "original")</f>
        <v>original</v>
      </c>
      <c r="P884" t="str">
        <f>IF(J884 = 1, "franchise", "non-franchise")</f>
        <v>non-franchise</v>
      </c>
      <c r="Q884" t="str">
        <f>IF(OR(I884 = 1,J884 =1), "old", "new")</f>
        <v>new</v>
      </c>
      <c r="R884">
        <f t="shared" si="26"/>
        <v>0.52577468130522131</v>
      </c>
      <c r="S884">
        <f>IF(Q884="new",1.5,1)*(K884/10)*(1-(MIN(F884,180)/180))</f>
        <v>0.34799999999999998</v>
      </c>
      <c r="T884" t="str">
        <f t="shared" si="27"/>
        <v>Scenario 4: Hybrid Logic</v>
      </c>
    </row>
    <row r="885" spans="1:20" x14ac:dyDescent="0.35">
      <c r="A885" t="s">
        <v>1135</v>
      </c>
      <c r="B885" s="1">
        <v>44405</v>
      </c>
      <c r="C885">
        <v>2021</v>
      </c>
      <c r="D885">
        <v>7</v>
      </c>
      <c r="E885" t="s">
        <v>78</v>
      </c>
      <c r="F885">
        <v>127</v>
      </c>
      <c r="G885" t="s">
        <v>1043</v>
      </c>
      <c r="H885" t="s">
        <v>27</v>
      </c>
      <c r="I885">
        <v>0</v>
      </c>
      <c r="J885">
        <v>0</v>
      </c>
      <c r="K885">
        <v>6.5</v>
      </c>
      <c r="L885">
        <v>226088</v>
      </c>
      <c r="M885" t="s">
        <v>983</v>
      </c>
      <c r="N885" t="str">
        <f>IF(ISNUMBER(SEARCH("Streaming", M885)), "streaming", "cinema")</f>
        <v>cinema</v>
      </c>
      <c r="O885" t="str">
        <f>IF(I885=1, "non-original", "original")</f>
        <v>original</v>
      </c>
      <c r="P885" t="str">
        <f>IF(J885 = 1, "franchise", "non-franchise")</f>
        <v>non-franchise</v>
      </c>
      <c r="Q885" t="str">
        <f>IF(OR(I885 = 1,J885 =1), "old", "new")</f>
        <v>new</v>
      </c>
      <c r="R885">
        <f t="shared" si="26"/>
        <v>0.62925556780752478</v>
      </c>
      <c r="S885">
        <f>IF(Q885="new",1.5,1)*(K885/10)*(1-(MIN(F885,180)/180))</f>
        <v>0.2870833333333333</v>
      </c>
      <c r="T885" t="str">
        <f t="shared" si="27"/>
        <v>Scenario 1: Strong Commitment</v>
      </c>
    </row>
    <row r="886" spans="1:20" x14ac:dyDescent="0.35">
      <c r="A886" t="s">
        <v>1136</v>
      </c>
      <c r="B886" s="1">
        <v>44421</v>
      </c>
      <c r="C886">
        <v>2021</v>
      </c>
      <c r="D886">
        <v>8</v>
      </c>
      <c r="E886" t="s">
        <v>78</v>
      </c>
      <c r="F886">
        <v>111</v>
      </c>
      <c r="G886" t="s">
        <v>1137</v>
      </c>
      <c r="H886" t="s">
        <v>27</v>
      </c>
      <c r="I886">
        <v>0</v>
      </c>
      <c r="J886">
        <v>0</v>
      </c>
      <c r="K886">
        <v>8</v>
      </c>
      <c r="L886">
        <v>204707</v>
      </c>
      <c r="M886" t="s">
        <v>983</v>
      </c>
      <c r="N886" t="str">
        <f>IF(ISNUMBER(SEARCH("Streaming", M886)), "streaming", "cinema")</f>
        <v>cinema</v>
      </c>
      <c r="O886" t="str">
        <f>IF(I886=1, "non-original", "original")</f>
        <v>original</v>
      </c>
      <c r="P886" t="str">
        <f>IF(J886 = 1, "franchise", "non-franchise")</f>
        <v>non-franchise</v>
      </c>
      <c r="Q886" t="str">
        <f>IF(OR(I886 = 1,J886 =1), "old", "new")</f>
        <v>new</v>
      </c>
      <c r="R886">
        <f t="shared" si="26"/>
        <v>0.54554753764492381</v>
      </c>
      <c r="S886">
        <f>IF(Q886="new",1.5,1)*(K886/10)*(1-(MIN(F886,180)/180))</f>
        <v>0.46</v>
      </c>
      <c r="T886" t="str">
        <f t="shared" si="27"/>
        <v>Scenario 4: Hybrid Logic</v>
      </c>
    </row>
    <row r="887" spans="1:20" x14ac:dyDescent="0.35">
      <c r="A887" t="s">
        <v>1138</v>
      </c>
      <c r="B887" s="1">
        <v>44426</v>
      </c>
      <c r="C887">
        <v>2021</v>
      </c>
      <c r="D887">
        <v>8</v>
      </c>
      <c r="E887" t="s">
        <v>78</v>
      </c>
      <c r="F887">
        <v>116</v>
      </c>
      <c r="G887" t="s">
        <v>1139</v>
      </c>
      <c r="H887" t="s">
        <v>27</v>
      </c>
      <c r="I887">
        <v>1</v>
      </c>
      <c r="J887">
        <v>0</v>
      </c>
      <c r="K887">
        <v>5.9</v>
      </c>
      <c r="L887">
        <v>70583</v>
      </c>
      <c r="M887" t="s">
        <v>983</v>
      </c>
      <c r="N887" t="str">
        <f>IF(ISNUMBER(SEARCH("Streaming", M887)), "streaming", "cinema")</f>
        <v>cinema</v>
      </c>
      <c r="O887" t="str">
        <f>IF(I887=1, "non-original", "original")</f>
        <v>non-original</v>
      </c>
      <c r="P887" t="str">
        <f>IF(J887 = 1, "franchise", "non-franchise")</f>
        <v>non-franchise</v>
      </c>
      <c r="Q887" t="str">
        <f>IF(OR(I887 = 1,J887 =1), "old", "new")</f>
        <v>old</v>
      </c>
      <c r="R887">
        <f t="shared" si="26"/>
        <v>0.78072312207431849</v>
      </c>
      <c r="S887">
        <f>IF(Q887="new",1.5,1)*(K887/10)*(1-(MIN(F887,180)/180))</f>
        <v>0.20977777777777779</v>
      </c>
      <c r="T887" t="str">
        <f t="shared" si="27"/>
        <v>Scenario 1: Strong Commitment</v>
      </c>
    </row>
    <row r="888" spans="1:20" x14ac:dyDescent="0.35">
      <c r="A888" t="s">
        <v>1140</v>
      </c>
      <c r="B888" s="1">
        <v>44440</v>
      </c>
      <c r="C888">
        <v>2021</v>
      </c>
      <c r="D888">
        <v>9</v>
      </c>
      <c r="E888" t="s">
        <v>125</v>
      </c>
      <c r="F888">
        <v>132</v>
      </c>
      <c r="G888" t="s">
        <v>1004</v>
      </c>
      <c r="H888" t="s">
        <v>27</v>
      </c>
      <c r="I888">
        <v>0</v>
      </c>
      <c r="J888">
        <v>1</v>
      </c>
      <c r="K888">
        <v>7.3</v>
      </c>
      <c r="L888">
        <v>484213</v>
      </c>
      <c r="M888" t="s">
        <v>989</v>
      </c>
      <c r="N888" t="str">
        <f>IF(ISNUMBER(SEARCH("Streaming", M888)), "streaming", "cinema")</f>
        <v>cinema</v>
      </c>
      <c r="O888" t="str">
        <f>IF(I888=1, "non-original", "original")</f>
        <v>original</v>
      </c>
      <c r="P888" t="str">
        <f>IF(J888 = 1, "franchise", "non-franchise")</f>
        <v>franchise</v>
      </c>
      <c r="Q888" t="str">
        <f>IF(OR(I888 = 1,J888 =1), "old", "new")</f>
        <v>old</v>
      </c>
      <c r="R888">
        <f t="shared" si="26"/>
        <v>1.0416478278206114</v>
      </c>
      <c r="S888">
        <f>IF(Q888="new",1.5,1)*(K888/10)*(1-(MIN(F888,180)/180))</f>
        <v>0.19466666666666671</v>
      </c>
      <c r="T888" t="str">
        <f t="shared" si="27"/>
        <v>Scenario 1: Strong Commitment</v>
      </c>
    </row>
    <row r="889" spans="1:20" x14ac:dyDescent="0.35">
      <c r="A889" t="s">
        <v>1141</v>
      </c>
      <c r="B889" s="1">
        <v>44468</v>
      </c>
      <c r="C889">
        <v>2021</v>
      </c>
      <c r="D889">
        <v>9</v>
      </c>
      <c r="E889" t="s">
        <v>125</v>
      </c>
      <c r="F889">
        <v>163</v>
      </c>
      <c r="G889" t="s">
        <v>1099</v>
      </c>
      <c r="H889" t="s">
        <v>27</v>
      </c>
      <c r="I889">
        <v>0</v>
      </c>
      <c r="J889">
        <v>1</v>
      </c>
      <c r="K889">
        <v>7.3</v>
      </c>
      <c r="L889">
        <v>483802</v>
      </c>
      <c r="M889" t="s">
        <v>989</v>
      </c>
      <c r="N889" t="str">
        <f>IF(ISNUMBER(SEARCH("Streaming", M889)), "streaming", "cinema")</f>
        <v>cinema</v>
      </c>
      <c r="O889" t="str">
        <f>IF(I889=1, "non-original", "original")</f>
        <v>original</v>
      </c>
      <c r="P889" t="str">
        <f>IF(J889 = 1, "franchise", "non-franchise")</f>
        <v>franchise</v>
      </c>
      <c r="Q889" t="str">
        <f>IF(OR(I889 = 1,J889 =1), "old", "new")</f>
        <v>old</v>
      </c>
      <c r="R889">
        <f t="shared" si="26"/>
        <v>1.2861938017176822</v>
      </c>
      <c r="S889">
        <f>IF(Q889="new",1.5,1)*(K889/10)*(1-(MIN(F889,180)/180))</f>
        <v>6.8944444444444447E-2</v>
      </c>
      <c r="T889" t="str">
        <f t="shared" si="27"/>
        <v>Scenario 1: Strong Commitment</v>
      </c>
    </row>
    <row r="890" spans="1:20" x14ac:dyDescent="0.35">
      <c r="A890" t="s">
        <v>1142</v>
      </c>
      <c r="B890" s="1">
        <v>44503</v>
      </c>
      <c r="C890">
        <v>2021</v>
      </c>
      <c r="D890">
        <v>11</v>
      </c>
      <c r="E890" t="s">
        <v>125</v>
      </c>
      <c r="F890">
        <v>156</v>
      </c>
      <c r="G890" t="s">
        <v>1004</v>
      </c>
      <c r="H890" t="s">
        <v>27</v>
      </c>
      <c r="I890">
        <v>0</v>
      </c>
      <c r="J890">
        <v>1</v>
      </c>
      <c r="K890">
        <v>6.2</v>
      </c>
      <c r="L890">
        <v>423836</v>
      </c>
      <c r="M890" t="s">
        <v>983</v>
      </c>
      <c r="N890" t="str">
        <f>IF(ISNUMBER(SEARCH("Streaming", M890)), "streaming", "cinema")</f>
        <v>cinema</v>
      </c>
      <c r="O890" t="str">
        <f>IF(I890=1, "non-original", "original")</f>
        <v>original</v>
      </c>
      <c r="P890" t="str">
        <f>IF(J890 = 1, "franchise", "non-franchise")</f>
        <v>franchise</v>
      </c>
      <c r="Q890" t="str">
        <f>IF(OR(I890 = 1,J890 =1), "old", "new")</f>
        <v>old</v>
      </c>
      <c r="R890">
        <f t="shared" si="26"/>
        <v>1.2185139653231811</v>
      </c>
      <c r="S890">
        <f>IF(Q890="new",1.5,1)*(K890/10)*(1-(MIN(F890,180)/180))</f>
        <v>8.2666666666666652E-2</v>
      </c>
      <c r="T890" t="str">
        <f t="shared" si="27"/>
        <v>Scenario 1: Strong Commitment</v>
      </c>
    </row>
    <row r="891" spans="1:20" x14ac:dyDescent="0.35">
      <c r="A891" t="s">
        <v>330</v>
      </c>
      <c r="B891" s="1">
        <v>44504</v>
      </c>
      <c r="C891">
        <v>2021</v>
      </c>
      <c r="D891">
        <v>11</v>
      </c>
      <c r="E891" t="s">
        <v>125</v>
      </c>
      <c r="F891">
        <v>118</v>
      </c>
      <c r="G891" t="s">
        <v>1143</v>
      </c>
      <c r="H891" t="s">
        <v>27</v>
      </c>
      <c r="I891">
        <v>1</v>
      </c>
      <c r="J891">
        <v>0</v>
      </c>
      <c r="K891">
        <v>6.3</v>
      </c>
      <c r="L891">
        <v>351936</v>
      </c>
      <c r="M891" t="s">
        <v>983</v>
      </c>
      <c r="N891" t="str">
        <f>IF(ISNUMBER(SEARCH("Streaming", M891)), "streaming", "cinema")</f>
        <v>cinema</v>
      </c>
      <c r="O891" t="str">
        <f>IF(I891=1, "non-original", "original")</f>
        <v>non-original</v>
      </c>
      <c r="P891" t="str">
        <f>IF(J891 = 1, "franchise", "non-franchise")</f>
        <v>non-franchise</v>
      </c>
      <c r="Q891" t="str">
        <f>IF(OR(I891 = 1,J891 =1), "old", "new")</f>
        <v>old</v>
      </c>
      <c r="R891">
        <f t="shared" si="26"/>
        <v>0.90847276042731406</v>
      </c>
      <c r="S891">
        <f>IF(Q891="new",1.5,1)*(K891/10)*(1-(MIN(F891,180)/180))</f>
        <v>0.217</v>
      </c>
      <c r="T891" t="str">
        <f t="shared" si="27"/>
        <v>Scenario 1: Strong Commitment</v>
      </c>
    </row>
    <row r="892" spans="1:20" x14ac:dyDescent="0.35">
      <c r="A892" t="s">
        <v>1144</v>
      </c>
      <c r="B892" s="1">
        <v>44518</v>
      </c>
      <c r="C892">
        <v>2021</v>
      </c>
      <c r="D892">
        <v>11</v>
      </c>
      <c r="E892" t="s">
        <v>125</v>
      </c>
      <c r="F892">
        <v>144</v>
      </c>
      <c r="G892" t="s">
        <v>1145</v>
      </c>
      <c r="H892" t="s">
        <v>27</v>
      </c>
      <c r="I892">
        <v>0</v>
      </c>
      <c r="J892">
        <v>0</v>
      </c>
      <c r="K892">
        <v>7.5</v>
      </c>
      <c r="L892">
        <v>169224</v>
      </c>
      <c r="M892" t="s">
        <v>983</v>
      </c>
      <c r="N892" t="str">
        <f>IF(ISNUMBER(SEARCH("Streaming", M892)), "streaming", "cinema")</f>
        <v>cinema</v>
      </c>
      <c r="O892" t="str">
        <f>IF(I892=1, "non-original", "original")</f>
        <v>original</v>
      </c>
      <c r="P892" t="str">
        <f>IF(J892 = 1, "franchise", "non-franchise")</f>
        <v>non-franchise</v>
      </c>
      <c r="Q892" t="str">
        <f>IF(OR(I892 = 1,J892 =1), "old", "new")</f>
        <v>new</v>
      </c>
      <c r="R892">
        <f t="shared" si="26"/>
        <v>0.69672102031254413</v>
      </c>
      <c r="S892">
        <f>IF(Q892="new",1.5,1)*(K892/10)*(1-(MIN(F892,180)/180))</f>
        <v>0.22499999999999995</v>
      </c>
      <c r="T892" t="str">
        <f t="shared" si="27"/>
        <v>Scenario 1: Strong Commitment</v>
      </c>
    </row>
    <row r="893" spans="1:20" x14ac:dyDescent="0.35">
      <c r="A893" t="s">
        <v>1146</v>
      </c>
      <c r="B893" s="1">
        <v>44518</v>
      </c>
      <c r="C893">
        <v>2021</v>
      </c>
      <c r="D893">
        <v>11</v>
      </c>
      <c r="E893" t="s">
        <v>125</v>
      </c>
      <c r="F893">
        <v>124</v>
      </c>
      <c r="G893" t="s">
        <v>1147</v>
      </c>
      <c r="H893" t="s">
        <v>27</v>
      </c>
      <c r="I893">
        <v>1</v>
      </c>
      <c r="J893">
        <v>1</v>
      </c>
      <c r="K893">
        <v>7</v>
      </c>
      <c r="L893">
        <v>239649</v>
      </c>
      <c r="M893" t="s">
        <v>989</v>
      </c>
      <c r="N893" t="str">
        <f>IF(ISNUMBER(SEARCH("Streaming", M893)), "streaming", "cinema")</f>
        <v>cinema</v>
      </c>
      <c r="O893" t="str">
        <f>IF(I893=1, "non-original", "original")</f>
        <v>non-original</v>
      </c>
      <c r="P893" t="str">
        <f>IF(J893 = 1, "franchise", "non-franchise")</f>
        <v>franchise</v>
      </c>
      <c r="Q893" t="str">
        <f>IF(OR(I893 = 1,J893 =1), "old", "new")</f>
        <v>old</v>
      </c>
      <c r="R893">
        <f t="shared" si="26"/>
        <v>0.92594124598390504</v>
      </c>
      <c r="S893">
        <f>IF(Q893="new",1.5,1)*(K893/10)*(1-(MIN(F893,180)/180))</f>
        <v>0.21777777777777776</v>
      </c>
      <c r="T893" t="str">
        <f t="shared" si="27"/>
        <v>Scenario 1: Strong Commitment</v>
      </c>
    </row>
    <row r="894" spans="1:20" x14ac:dyDescent="0.35">
      <c r="A894" t="s">
        <v>1148</v>
      </c>
      <c r="B894" s="1">
        <v>44533</v>
      </c>
      <c r="C894">
        <v>2021</v>
      </c>
      <c r="D894">
        <v>12</v>
      </c>
      <c r="E894" t="s">
        <v>14</v>
      </c>
      <c r="F894">
        <v>89</v>
      </c>
      <c r="G894" t="s">
        <v>1149</v>
      </c>
      <c r="H894" t="s">
        <v>27</v>
      </c>
      <c r="I894">
        <v>0</v>
      </c>
      <c r="J894">
        <v>0</v>
      </c>
      <c r="K894">
        <v>7.9</v>
      </c>
      <c r="L894">
        <v>21057</v>
      </c>
      <c r="M894" t="s">
        <v>983</v>
      </c>
      <c r="N894" t="str">
        <f>IF(ISNUMBER(SEARCH("Streaming", M894)), "streaming", "cinema")</f>
        <v>cinema</v>
      </c>
      <c r="O894" t="str">
        <f>IF(I894=1, "non-original", "original")</f>
        <v>original</v>
      </c>
      <c r="P894" t="str">
        <f>IF(J894 = 1, "franchise", "non-franchise")</f>
        <v>non-franchise</v>
      </c>
      <c r="Q894" t="str">
        <f>IF(OR(I894 = 1,J894 =1), "old", "new")</f>
        <v>new</v>
      </c>
      <c r="R894">
        <f t="shared" si="26"/>
        <v>0.35607176894389098</v>
      </c>
      <c r="S894">
        <f>IF(Q894="new",1.5,1)*(K894/10)*(1-(MIN(F894,180)/180))</f>
        <v>0.5990833333333333</v>
      </c>
      <c r="T894" t="str">
        <f t="shared" si="27"/>
        <v>Scenario 3: Strong Convenience</v>
      </c>
    </row>
    <row r="895" spans="1:20" x14ac:dyDescent="0.35">
      <c r="A895" t="s">
        <v>1150</v>
      </c>
      <c r="B895" s="1">
        <v>44538</v>
      </c>
      <c r="C895">
        <v>2021</v>
      </c>
      <c r="D895">
        <v>12</v>
      </c>
      <c r="E895" t="s">
        <v>14</v>
      </c>
      <c r="F895">
        <v>156</v>
      </c>
      <c r="G895" t="s">
        <v>1151</v>
      </c>
      <c r="H895" t="s">
        <v>27</v>
      </c>
      <c r="I895">
        <v>0</v>
      </c>
      <c r="J895">
        <v>0</v>
      </c>
      <c r="K895">
        <v>7.1</v>
      </c>
      <c r="L895">
        <v>121997</v>
      </c>
      <c r="M895" t="s">
        <v>983</v>
      </c>
      <c r="N895" t="str">
        <f>IF(ISNUMBER(SEARCH("Streaming", M895)), "streaming", "cinema")</f>
        <v>cinema</v>
      </c>
      <c r="O895" t="str">
        <f>IF(I895=1, "non-original", "original")</f>
        <v>original</v>
      </c>
      <c r="P895" t="str">
        <f>IF(J895 = 1, "franchise", "non-franchise")</f>
        <v>non-franchise</v>
      </c>
      <c r="Q895" t="str">
        <f>IF(OR(I895 = 1,J895 =1), "old", "new")</f>
        <v>new</v>
      </c>
      <c r="R895">
        <f t="shared" si="26"/>
        <v>0.73426569160895017</v>
      </c>
      <c r="S895">
        <f>IF(Q895="new",1.5,1)*(K895/10)*(1-(MIN(F895,180)/180))</f>
        <v>0.14199999999999996</v>
      </c>
      <c r="T895" t="str">
        <f t="shared" si="27"/>
        <v>Scenario 1: Strong Commitment</v>
      </c>
    </row>
    <row r="896" spans="1:20" x14ac:dyDescent="0.35">
      <c r="A896" t="s">
        <v>1152</v>
      </c>
      <c r="B896" s="1">
        <v>44544</v>
      </c>
      <c r="C896">
        <v>2021</v>
      </c>
      <c r="D896">
        <v>12</v>
      </c>
      <c r="E896" t="s">
        <v>14</v>
      </c>
      <c r="F896">
        <v>148</v>
      </c>
      <c r="G896" t="s">
        <v>1004</v>
      </c>
      <c r="H896" t="s">
        <v>27</v>
      </c>
      <c r="I896">
        <v>0</v>
      </c>
      <c r="J896">
        <v>1</v>
      </c>
      <c r="K896">
        <v>8.1</v>
      </c>
      <c r="L896">
        <v>1006049</v>
      </c>
      <c r="M896" t="s">
        <v>989</v>
      </c>
      <c r="N896" t="str">
        <f>IF(ISNUMBER(SEARCH("Streaming", M896)), "streaming", "cinema")</f>
        <v>cinema</v>
      </c>
      <c r="O896" t="str">
        <f>IF(I896=1, "non-original", "original")</f>
        <v>original</v>
      </c>
      <c r="P896" t="str">
        <f>IF(J896 = 1, "franchise", "non-franchise")</f>
        <v>franchise</v>
      </c>
      <c r="Q896" t="str">
        <f>IF(OR(I896 = 1,J896 =1), "old", "new")</f>
        <v>old</v>
      </c>
      <c r="R896">
        <f t="shared" si="26"/>
        <v>1.2331509215335354</v>
      </c>
      <c r="S896">
        <f>IF(Q896="new",1.5,1)*(K896/10)*(1-(MIN(F896,180)/180))</f>
        <v>0.14400000000000002</v>
      </c>
      <c r="T896" t="str">
        <f t="shared" si="27"/>
        <v>Scenario 1: Strong Commitment</v>
      </c>
    </row>
    <row r="897" spans="1:20" x14ac:dyDescent="0.35">
      <c r="A897" t="s">
        <v>1153</v>
      </c>
      <c r="B897" s="1">
        <v>44555</v>
      </c>
      <c r="C897">
        <v>2021</v>
      </c>
      <c r="D897">
        <v>12</v>
      </c>
      <c r="E897" t="s">
        <v>14</v>
      </c>
      <c r="F897">
        <v>131</v>
      </c>
      <c r="G897" t="s">
        <v>1022</v>
      </c>
      <c r="H897" t="s">
        <v>27</v>
      </c>
      <c r="I897">
        <v>0</v>
      </c>
      <c r="J897">
        <v>0</v>
      </c>
      <c r="K897">
        <v>6</v>
      </c>
      <c r="L897">
        <v>3341</v>
      </c>
      <c r="M897" t="s">
        <v>983</v>
      </c>
      <c r="N897" t="str">
        <f>IF(ISNUMBER(SEARCH("Streaming", M897)), "streaming", "cinema")</f>
        <v>cinema</v>
      </c>
      <c r="O897" t="str">
        <f>IF(I897=1, "non-original", "original")</f>
        <v>original</v>
      </c>
      <c r="P897" t="str">
        <f>IF(J897 = 1, "franchise", "non-franchise")</f>
        <v>non-franchise</v>
      </c>
      <c r="Q897" t="str">
        <f>IF(OR(I897 = 1,J897 =1), "old", "new")</f>
        <v>new</v>
      </c>
      <c r="R897">
        <f t="shared" si="26"/>
        <v>0.42718347200613088</v>
      </c>
      <c r="S897">
        <f>IF(Q897="new",1.5,1)*(K897/10)*(1-(MIN(F897,180)/180))</f>
        <v>0.245</v>
      </c>
      <c r="T897" t="str">
        <f t="shared" si="27"/>
        <v>Scenario 2: Weak Commitment/Convenience</v>
      </c>
    </row>
    <row r="898" spans="1:20" x14ac:dyDescent="0.35">
      <c r="A898" t="s">
        <v>1154</v>
      </c>
      <c r="B898" s="1">
        <v>44567</v>
      </c>
      <c r="C898">
        <v>2022</v>
      </c>
      <c r="D898">
        <v>1</v>
      </c>
      <c r="E898" t="s">
        <v>14</v>
      </c>
      <c r="F898">
        <v>122</v>
      </c>
      <c r="G898" t="s">
        <v>1155</v>
      </c>
      <c r="H898" t="s">
        <v>27</v>
      </c>
      <c r="I898">
        <v>1</v>
      </c>
      <c r="J898">
        <v>0</v>
      </c>
      <c r="K898">
        <v>5.6</v>
      </c>
      <c r="L898">
        <v>43345</v>
      </c>
      <c r="M898" t="s">
        <v>983</v>
      </c>
      <c r="N898" t="str">
        <f>IF(ISNUMBER(SEARCH("Streaming", M898)), "streaming", "cinema")</f>
        <v>cinema</v>
      </c>
      <c r="O898" t="str">
        <f>IF(I898=1, "non-original", "original")</f>
        <v>non-original</v>
      </c>
      <c r="P898" t="str">
        <f>IF(J898 = 1, "franchise", "non-franchise")</f>
        <v>non-franchise</v>
      </c>
      <c r="Q898" t="str">
        <f>IF(OR(I898 = 1,J898 =1), "old", "new")</f>
        <v>old</v>
      </c>
      <c r="R898">
        <f t="shared" si="26"/>
        <v>0.78524457055573027</v>
      </c>
      <c r="S898">
        <f>IF(Q898="new",1.5,1)*(K898/10)*(1-(MIN(F898,180)/180))</f>
        <v>0.18044444444444441</v>
      </c>
      <c r="T898" t="str">
        <f t="shared" si="27"/>
        <v>Scenario 1: Strong Commitment</v>
      </c>
    </row>
    <row r="899" spans="1:20" x14ac:dyDescent="0.35">
      <c r="A899" t="s">
        <v>1156</v>
      </c>
      <c r="B899" s="1">
        <v>44595</v>
      </c>
      <c r="C899">
        <v>2022</v>
      </c>
      <c r="D899">
        <v>2</v>
      </c>
      <c r="E899" t="s">
        <v>14</v>
      </c>
      <c r="F899">
        <v>130</v>
      </c>
      <c r="G899" t="s">
        <v>1133</v>
      </c>
      <c r="H899" t="s">
        <v>27</v>
      </c>
      <c r="I899">
        <v>1</v>
      </c>
      <c r="J899">
        <v>0</v>
      </c>
      <c r="K899">
        <v>5.2</v>
      </c>
      <c r="L899">
        <v>111743</v>
      </c>
      <c r="M899" t="s">
        <v>983</v>
      </c>
      <c r="N899" t="str">
        <f>IF(ISNUMBER(SEARCH("Streaming", M899)), "streaming", "cinema")</f>
        <v>cinema</v>
      </c>
      <c r="O899" t="str">
        <f>IF(I899=1, "non-original", "original")</f>
        <v>non-original</v>
      </c>
      <c r="P899" t="str">
        <f>IF(J899 = 1, "franchise", "non-franchise")</f>
        <v>non-franchise</v>
      </c>
      <c r="Q899" t="str">
        <f>IF(OR(I899 = 1,J899 =1), "old", "new")</f>
        <v>old</v>
      </c>
      <c r="R899">
        <f t="shared" ref="R899:R962" si="28">IF(Q899="old",1.5,1)*(LOG10(L899)/LOG10(MAX($L$2:$L$1078)))*(MIN(F899,180)/180)</f>
        <v>0.91095176508280207</v>
      </c>
      <c r="S899">
        <f>IF(Q899="new",1.5,1)*(K899/10)*(1-(MIN(F899,180)/180))</f>
        <v>0.14444444444444446</v>
      </c>
      <c r="T899" t="str">
        <f t="shared" ref="T899:T962" si="29">IF(AND(R899&gt;=AVERAGE($R$2:$R$1078),S899&gt;=AVERAGE($S$2:$S$1078)),"Scenario 4: Hybrid Logic",
 IF(AND(R899&gt;=AVERAGE($R$2:$R$1078),S899&lt;AVERAGE($S$2:$S$1078)),"Scenario 1: Strong Commitment",
  IF(AND(R899&lt;AVERAGE($R$2:$R$1078),S899&gt;=AVERAGE($S$2:$S$1078)),"Scenario 3: Strong Convenience",
   "Scenario 2: Weak Commitment/Convenience")))</f>
        <v>Scenario 1: Strong Commitment</v>
      </c>
    </row>
    <row r="900" spans="1:20" x14ac:dyDescent="0.35">
      <c r="A900" t="s">
        <v>1157</v>
      </c>
      <c r="B900" s="1">
        <v>44601</v>
      </c>
      <c r="C900">
        <v>2022</v>
      </c>
      <c r="D900">
        <v>2</v>
      </c>
      <c r="E900" t="s">
        <v>14</v>
      </c>
      <c r="F900">
        <v>127</v>
      </c>
      <c r="G900" t="s">
        <v>1158</v>
      </c>
      <c r="H900" t="s">
        <v>27</v>
      </c>
      <c r="I900">
        <v>0</v>
      </c>
      <c r="J900">
        <v>1</v>
      </c>
      <c r="K900">
        <v>6.3</v>
      </c>
      <c r="L900">
        <v>208723</v>
      </c>
      <c r="M900" t="s">
        <v>983</v>
      </c>
      <c r="N900" t="str">
        <f>IF(ISNUMBER(SEARCH("Streaming", M900)), "streaming", "cinema")</f>
        <v>cinema</v>
      </c>
      <c r="O900" t="str">
        <f>IF(I900=1, "non-original", "original")</f>
        <v>original</v>
      </c>
      <c r="P900" t="str">
        <f>IF(J900 = 1, "franchise", "non-franchise")</f>
        <v>franchise</v>
      </c>
      <c r="Q900" t="str">
        <f>IF(OR(I900 = 1,J900 =1), "old", "new")</f>
        <v>old</v>
      </c>
      <c r="R900">
        <f t="shared" si="28"/>
        <v>0.93776496286666877</v>
      </c>
      <c r="S900">
        <f>IF(Q900="new",1.5,1)*(K900/10)*(1-(MIN(F900,180)/180))</f>
        <v>0.18549999999999997</v>
      </c>
      <c r="T900" t="str">
        <f t="shared" si="29"/>
        <v>Scenario 1: Strong Commitment</v>
      </c>
    </row>
    <row r="901" spans="1:20" x14ac:dyDescent="0.35">
      <c r="A901" t="s">
        <v>1159</v>
      </c>
      <c r="B901" s="1">
        <v>44601</v>
      </c>
      <c r="C901">
        <v>2022</v>
      </c>
      <c r="D901">
        <v>2</v>
      </c>
      <c r="E901" t="s">
        <v>14</v>
      </c>
      <c r="F901">
        <v>112</v>
      </c>
      <c r="G901" t="s">
        <v>1160</v>
      </c>
      <c r="H901" t="s">
        <v>27</v>
      </c>
      <c r="I901">
        <v>0</v>
      </c>
      <c r="J901">
        <v>0</v>
      </c>
      <c r="K901">
        <v>6.1</v>
      </c>
      <c r="L901">
        <v>47853</v>
      </c>
      <c r="M901" t="s">
        <v>983</v>
      </c>
      <c r="N901" t="str">
        <f>IF(ISNUMBER(SEARCH("Streaming", M901)), "streaming", "cinema")</f>
        <v>cinema</v>
      </c>
      <c r="O901" t="str">
        <f>IF(I901=1, "non-original", "original")</f>
        <v>original</v>
      </c>
      <c r="P901" t="str">
        <f>IF(J901 = 1, "franchise", "non-franchise")</f>
        <v>non-franchise</v>
      </c>
      <c r="Q901" t="str">
        <f>IF(OR(I901 = 1,J901 =1), "old", "new")</f>
        <v>new</v>
      </c>
      <c r="R901">
        <f t="shared" si="28"/>
        <v>0.48504040284003319</v>
      </c>
      <c r="S901">
        <f>IF(Q901="new",1.5,1)*(K901/10)*(1-(MIN(F901,180)/180))</f>
        <v>0.34566666666666668</v>
      </c>
      <c r="T901" t="str">
        <f t="shared" si="29"/>
        <v>Scenario 4: Hybrid Logic</v>
      </c>
    </row>
    <row r="902" spans="1:20" x14ac:dyDescent="0.35">
      <c r="A902" t="s">
        <v>1161</v>
      </c>
      <c r="B902" s="1">
        <v>44602</v>
      </c>
      <c r="C902">
        <v>2022</v>
      </c>
      <c r="D902">
        <v>2</v>
      </c>
      <c r="E902" t="s">
        <v>14</v>
      </c>
      <c r="F902">
        <v>104</v>
      </c>
      <c r="G902" t="s">
        <v>1119</v>
      </c>
      <c r="H902" t="s">
        <v>27</v>
      </c>
      <c r="I902">
        <v>1</v>
      </c>
      <c r="J902">
        <v>0</v>
      </c>
      <c r="K902">
        <v>4.9000000000000004</v>
      </c>
      <c r="L902">
        <v>28278</v>
      </c>
      <c r="M902" t="s">
        <v>983</v>
      </c>
      <c r="N902" t="str">
        <f>IF(ISNUMBER(SEARCH("Streaming", M902)), "streaming", "cinema")</f>
        <v>cinema</v>
      </c>
      <c r="O902" t="str">
        <f>IF(I902=1, "non-original", "original")</f>
        <v>non-original</v>
      </c>
      <c r="P902" t="str">
        <f>IF(J902 = 1, "franchise", "non-franchise")</f>
        <v>non-franchise</v>
      </c>
      <c r="Q902" t="str">
        <f>IF(OR(I902 = 1,J902 =1), "old", "new")</f>
        <v>old</v>
      </c>
      <c r="R902">
        <f t="shared" si="28"/>
        <v>0.64261142009438188</v>
      </c>
      <c r="S902">
        <f>IF(Q902="new",1.5,1)*(K902/10)*(1-(MIN(F902,180)/180))</f>
        <v>0.20688888888888893</v>
      </c>
      <c r="T902" t="str">
        <f t="shared" si="29"/>
        <v>Scenario 1: Strong Commitment</v>
      </c>
    </row>
    <row r="903" spans="1:20" x14ac:dyDescent="0.35">
      <c r="A903" t="s">
        <v>1162</v>
      </c>
      <c r="B903" s="1">
        <v>44602</v>
      </c>
      <c r="C903">
        <v>2022</v>
      </c>
      <c r="D903">
        <v>2</v>
      </c>
      <c r="E903" t="s">
        <v>14</v>
      </c>
      <c r="F903">
        <v>116</v>
      </c>
      <c r="G903" t="s">
        <v>1163</v>
      </c>
      <c r="H903" t="s">
        <v>27</v>
      </c>
      <c r="I903">
        <v>0</v>
      </c>
      <c r="J903">
        <v>0</v>
      </c>
      <c r="K903">
        <v>6.3</v>
      </c>
      <c r="L903">
        <v>296581</v>
      </c>
      <c r="M903" t="s">
        <v>989</v>
      </c>
      <c r="N903" t="str">
        <f>IF(ISNUMBER(SEARCH("Streaming", M903)), "streaming", "cinema")</f>
        <v>cinema</v>
      </c>
      <c r="O903" t="str">
        <f>IF(I903=1, "non-original", "original")</f>
        <v>original</v>
      </c>
      <c r="P903" t="str">
        <f>IF(J903 = 1, "franchise", "non-franchise")</f>
        <v>non-franchise</v>
      </c>
      <c r="Q903" t="str">
        <f>IF(OR(I903 = 1,J903 =1), "old", "new")</f>
        <v>new</v>
      </c>
      <c r="R903">
        <f t="shared" si="28"/>
        <v>0.58740538308486345</v>
      </c>
      <c r="S903">
        <f>IF(Q903="new",1.5,1)*(K903/10)*(1-(MIN(F903,180)/180))</f>
        <v>0.33599999999999997</v>
      </c>
      <c r="T903" t="str">
        <f t="shared" si="29"/>
        <v>Scenario 4: Hybrid Logic</v>
      </c>
    </row>
    <row r="904" spans="1:20" x14ac:dyDescent="0.35">
      <c r="A904" t="s">
        <v>1164</v>
      </c>
      <c r="B904" s="1">
        <v>44610</v>
      </c>
      <c r="C904">
        <v>2022</v>
      </c>
      <c r="D904">
        <v>2</v>
      </c>
      <c r="E904" t="s">
        <v>14</v>
      </c>
      <c r="F904">
        <v>83</v>
      </c>
      <c r="G904" t="s">
        <v>1165</v>
      </c>
      <c r="H904" t="s">
        <v>27</v>
      </c>
      <c r="I904">
        <v>1</v>
      </c>
      <c r="J904">
        <v>0</v>
      </c>
      <c r="K904">
        <v>7.8</v>
      </c>
      <c r="L904">
        <v>11</v>
      </c>
      <c r="M904" t="s">
        <v>989</v>
      </c>
      <c r="N904" t="str">
        <f>IF(ISNUMBER(SEARCH("Streaming", M904)), "streaming", "cinema")</f>
        <v>cinema</v>
      </c>
      <c r="O904" t="str">
        <f>IF(I904=1, "non-original", "original")</f>
        <v>non-original</v>
      </c>
      <c r="P904" t="str">
        <f>IF(J904 = 1, "franchise", "non-franchise")</f>
        <v>non-franchise</v>
      </c>
      <c r="Q904" t="str">
        <f>IF(OR(I904 = 1,J904 =1), "old", "new")</f>
        <v>old</v>
      </c>
      <c r="R904">
        <f t="shared" si="28"/>
        <v>0.1199793054118998</v>
      </c>
      <c r="S904">
        <f>IF(Q904="new",1.5,1)*(K904/10)*(1-(MIN(F904,180)/180))</f>
        <v>0.42033333333333334</v>
      </c>
      <c r="T904" t="str">
        <f t="shared" si="29"/>
        <v>Scenario 3: Strong Convenience</v>
      </c>
    </row>
    <row r="905" spans="1:20" x14ac:dyDescent="0.35">
      <c r="A905" t="s">
        <v>1166</v>
      </c>
      <c r="B905" s="1">
        <v>44621</v>
      </c>
      <c r="C905">
        <v>2022</v>
      </c>
      <c r="D905">
        <v>3</v>
      </c>
      <c r="E905" t="s">
        <v>38</v>
      </c>
      <c r="F905">
        <v>176</v>
      </c>
      <c r="G905" t="s">
        <v>982</v>
      </c>
      <c r="H905" t="s">
        <v>27</v>
      </c>
      <c r="I905">
        <v>0</v>
      </c>
      <c r="J905">
        <v>1</v>
      </c>
      <c r="K905">
        <v>7.8</v>
      </c>
      <c r="L905">
        <v>917367</v>
      </c>
      <c r="M905" t="s">
        <v>989</v>
      </c>
      <c r="N905" t="str">
        <f>IF(ISNUMBER(SEARCH("Streaming", M905)), "streaming", "cinema")</f>
        <v>cinema</v>
      </c>
      <c r="O905" t="str">
        <f>IF(I905=1, "non-original", "original")</f>
        <v>original</v>
      </c>
      <c r="P905" t="str">
        <f>IF(J905 = 1, "franchise", "non-franchise")</f>
        <v>franchise</v>
      </c>
      <c r="Q905" t="str">
        <f>IF(OR(I905 = 1,J905 =1), "old", "new")</f>
        <v>old</v>
      </c>
      <c r="R905">
        <f t="shared" si="28"/>
        <v>1.456659106735702</v>
      </c>
      <c r="S905">
        <f>IF(Q905="new",1.5,1)*(K905/10)*(1-(MIN(F905,180)/180))</f>
        <v>1.733333333333336E-2</v>
      </c>
      <c r="T905" t="str">
        <f t="shared" si="29"/>
        <v>Scenario 1: Strong Commitment</v>
      </c>
    </row>
    <row r="906" spans="1:20" x14ac:dyDescent="0.35">
      <c r="A906" t="s">
        <v>1167</v>
      </c>
      <c r="B906" s="1">
        <v>44644</v>
      </c>
      <c r="C906">
        <v>2022</v>
      </c>
      <c r="D906">
        <v>3</v>
      </c>
      <c r="E906" t="s">
        <v>38</v>
      </c>
      <c r="F906">
        <v>112</v>
      </c>
      <c r="G906" t="s">
        <v>1043</v>
      </c>
      <c r="H906" t="s">
        <v>27</v>
      </c>
      <c r="I906">
        <v>1</v>
      </c>
      <c r="J906">
        <v>0</v>
      </c>
      <c r="K906">
        <v>6.1</v>
      </c>
      <c r="L906">
        <v>175439</v>
      </c>
      <c r="M906" t="s">
        <v>989</v>
      </c>
      <c r="N906" t="str">
        <f>IF(ISNUMBER(SEARCH("Streaming", M906)), "streaming", "cinema")</f>
        <v>cinema</v>
      </c>
      <c r="O906" t="str">
        <f>IF(I906=1, "non-original", "original")</f>
        <v>non-original</v>
      </c>
      <c r="P906" t="str">
        <f>IF(J906 = 1, "franchise", "non-franchise")</f>
        <v>non-franchise</v>
      </c>
      <c r="Q906" t="str">
        <f>IF(OR(I906 = 1,J906 =1), "old", "new")</f>
        <v>old</v>
      </c>
      <c r="R906">
        <f t="shared" si="28"/>
        <v>0.81527641823145636</v>
      </c>
      <c r="S906">
        <f>IF(Q906="new",1.5,1)*(K906/10)*(1-(MIN(F906,180)/180))</f>
        <v>0.23044444444444442</v>
      </c>
      <c r="T906" t="str">
        <f t="shared" si="29"/>
        <v>Scenario 1: Strong Commitment</v>
      </c>
    </row>
    <row r="907" spans="1:20" x14ac:dyDescent="0.35">
      <c r="A907" t="s">
        <v>1168</v>
      </c>
      <c r="B907" s="1">
        <v>44650</v>
      </c>
      <c r="C907">
        <v>2022</v>
      </c>
      <c r="D907">
        <v>3</v>
      </c>
      <c r="E907" t="s">
        <v>38</v>
      </c>
      <c r="F907">
        <v>104</v>
      </c>
      <c r="G907" t="s">
        <v>1130</v>
      </c>
      <c r="H907" t="s">
        <v>27</v>
      </c>
      <c r="I907">
        <v>0</v>
      </c>
      <c r="J907">
        <v>1</v>
      </c>
      <c r="K907">
        <v>5.0999999999999996</v>
      </c>
      <c r="L907">
        <v>170419</v>
      </c>
      <c r="M907" t="s">
        <v>983</v>
      </c>
      <c r="N907" t="str">
        <f>IF(ISNUMBER(SEARCH("Streaming", M907)), "streaming", "cinema")</f>
        <v>cinema</v>
      </c>
      <c r="O907" t="str">
        <f>IF(I907=1, "non-original", "original")</f>
        <v>original</v>
      </c>
      <c r="P907" t="str">
        <f>IF(J907 = 1, "franchise", "non-franchise")</f>
        <v>franchise</v>
      </c>
      <c r="Q907" t="str">
        <f>IF(OR(I907 = 1,J907 =1), "old", "new")</f>
        <v>old</v>
      </c>
      <c r="R907">
        <f t="shared" si="28"/>
        <v>0.75522227780830553</v>
      </c>
      <c r="S907">
        <f>IF(Q907="new",1.5,1)*(K907/10)*(1-(MIN(F907,180)/180))</f>
        <v>0.21533333333333338</v>
      </c>
      <c r="T907" t="str">
        <f t="shared" si="29"/>
        <v>Scenario 1: Strong Commitment</v>
      </c>
    </row>
    <row r="908" spans="1:20" x14ac:dyDescent="0.35">
      <c r="A908" t="s">
        <v>1169</v>
      </c>
      <c r="B908" s="1">
        <v>44657</v>
      </c>
      <c r="C908">
        <v>2022</v>
      </c>
      <c r="D908">
        <v>4</v>
      </c>
      <c r="E908" t="s">
        <v>38</v>
      </c>
      <c r="F908">
        <v>142</v>
      </c>
      <c r="G908" t="s">
        <v>1170</v>
      </c>
      <c r="H908" t="s">
        <v>27</v>
      </c>
      <c r="I908">
        <v>0</v>
      </c>
      <c r="J908">
        <v>1</v>
      </c>
      <c r="K908">
        <v>6.2</v>
      </c>
      <c r="L908">
        <v>191239</v>
      </c>
      <c r="M908" t="s">
        <v>983</v>
      </c>
      <c r="N908" t="str">
        <f>IF(ISNUMBER(SEARCH("Streaming", M908)), "streaming", "cinema")</f>
        <v>cinema</v>
      </c>
      <c r="O908" t="str">
        <f>IF(I908=1, "non-original", "original")</f>
        <v>original</v>
      </c>
      <c r="P908" t="str">
        <f>IF(J908 = 1, "franchise", "non-franchise")</f>
        <v>franchise</v>
      </c>
      <c r="Q908" t="str">
        <f>IF(OR(I908 = 1,J908 =1), "old", "new")</f>
        <v>old</v>
      </c>
      <c r="R908">
        <f t="shared" si="28"/>
        <v>1.0410357510724888</v>
      </c>
      <c r="S908">
        <f>IF(Q908="new",1.5,1)*(K908/10)*(1-(MIN(F908,180)/180))</f>
        <v>0.13088888888888892</v>
      </c>
      <c r="T908" t="str">
        <f t="shared" si="29"/>
        <v>Scenario 1: Strong Commitment</v>
      </c>
    </row>
    <row r="909" spans="1:20" x14ac:dyDescent="0.35">
      <c r="A909" t="s">
        <v>1171</v>
      </c>
      <c r="B909" s="1">
        <v>44685</v>
      </c>
      <c r="C909">
        <v>2022</v>
      </c>
      <c r="D909">
        <v>5</v>
      </c>
      <c r="E909" t="s">
        <v>38</v>
      </c>
      <c r="F909">
        <v>126</v>
      </c>
      <c r="G909" t="s">
        <v>1004</v>
      </c>
      <c r="H909" t="s">
        <v>27</v>
      </c>
      <c r="I909">
        <v>0</v>
      </c>
      <c r="J909">
        <v>1</v>
      </c>
      <c r="K909">
        <v>6.9</v>
      </c>
      <c r="L909">
        <v>539823</v>
      </c>
      <c r="M909" t="s">
        <v>989</v>
      </c>
      <c r="N909" t="str">
        <f>IF(ISNUMBER(SEARCH("Streaming", M909)), "streaming", "cinema")</f>
        <v>cinema</v>
      </c>
      <c r="O909" t="str">
        <f>IF(I909=1, "non-original", "original")</f>
        <v>original</v>
      </c>
      <c r="P909" t="str">
        <f>IF(J909 = 1, "franchise", "non-franchise")</f>
        <v>franchise</v>
      </c>
      <c r="Q909" t="str">
        <f>IF(OR(I909 = 1,J909 =1), "old", "new")</f>
        <v>old</v>
      </c>
      <c r="R909">
        <f t="shared" si="28"/>
        <v>1.0025579869071746</v>
      </c>
      <c r="S909">
        <f>IF(Q909="new",1.5,1)*(K909/10)*(1-(MIN(F909,180)/180))</f>
        <v>0.20700000000000005</v>
      </c>
      <c r="T909" t="str">
        <f t="shared" si="29"/>
        <v>Scenario 1: Strong Commitment</v>
      </c>
    </row>
    <row r="910" spans="1:20" x14ac:dyDescent="0.35">
      <c r="A910" t="s">
        <v>1172</v>
      </c>
      <c r="B910" s="1">
        <v>44701</v>
      </c>
      <c r="C910">
        <v>2022</v>
      </c>
      <c r="D910">
        <v>5</v>
      </c>
      <c r="E910" t="s">
        <v>38</v>
      </c>
      <c r="F910">
        <v>130</v>
      </c>
      <c r="G910" t="s">
        <v>1173</v>
      </c>
      <c r="H910" t="s">
        <v>27</v>
      </c>
      <c r="I910">
        <v>1</v>
      </c>
      <c r="J910">
        <v>1</v>
      </c>
      <c r="K910">
        <v>8.1999999999999993</v>
      </c>
      <c r="L910">
        <v>847697</v>
      </c>
      <c r="M910" t="s">
        <v>989</v>
      </c>
      <c r="N910" t="str">
        <f>IF(ISNUMBER(SEARCH("Streaming", M910)), "streaming", "cinema")</f>
        <v>cinema</v>
      </c>
      <c r="O910" t="str">
        <f>IF(I910=1, "non-original", "original")</f>
        <v>non-original</v>
      </c>
      <c r="P910" t="str">
        <f>IF(J910 = 1, "franchise", "non-franchise")</f>
        <v>franchise</v>
      </c>
      <c r="Q910" t="str">
        <f>IF(OR(I910 = 1,J910 =1), "old", "new")</f>
        <v>old</v>
      </c>
      <c r="R910">
        <f t="shared" si="28"/>
        <v>1.069751502680991</v>
      </c>
      <c r="S910">
        <f>IF(Q910="new",1.5,1)*(K910/10)*(1-(MIN(F910,180)/180))</f>
        <v>0.22777777777777777</v>
      </c>
      <c r="T910" t="str">
        <f t="shared" si="29"/>
        <v>Scenario 1: Strong Commitment</v>
      </c>
    </row>
    <row r="911" spans="1:20" x14ac:dyDescent="0.35">
      <c r="A911" t="s">
        <v>1174</v>
      </c>
      <c r="B911" s="1">
        <v>44713</v>
      </c>
      <c r="C911">
        <v>2022</v>
      </c>
      <c r="D911">
        <v>6</v>
      </c>
      <c r="E911" t="s">
        <v>78</v>
      </c>
      <c r="F911">
        <v>147</v>
      </c>
      <c r="G911" t="s">
        <v>1133</v>
      </c>
      <c r="H911" t="s">
        <v>27</v>
      </c>
      <c r="I911">
        <v>1</v>
      </c>
      <c r="J911">
        <v>1</v>
      </c>
      <c r="K911">
        <v>5.6</v>
      </c>
      <c r="L911">
        <v>243173</v>
      </c>
      <c r="M911" t="s">
        <v>989</v>
      </c>
      <c r="N911" t="str">
        <f>IF(ISNUMBER(SEARCH("Streaming", M911)), "streaming", "cinema")</f>
        <v>cinema</v>
      </c>
      <c r="O911" t="str">
        <f>IF(I911=1, "non-original", "original")</f>
        <v>non-original</v>
      </c>
      <c r="P911" t="str">
        <f>IF(J911 = 1, "franchise", "non-franchise")</f>
        <v>franchise</v>
      </c>
      <c r="Q911" t="str">
        <f>IF(OR(I911 = 1,J911 =1), "old", "new")</f>
        <v>old</v>
      </c>
      <c r="R911">
        <f t="shared" si="28"/>
        <v>1.0989820183088752</v>
      </c>
      <c r="S911">
        <f>IF(Q911="new",1.5,1)*(K911/10)*(1-(MIN(F911,180)/180))</f>
        <v>0.10266666666666667</v>
      </c>
      <c r="T911" t="str">
        <f t="shared" si="29"/>
        <v>Scenario 1: Strong Commitment</v>
      </c>
    </row>
    <row r="912" spans="1:20" x14ac:dyDescent="0.35">
      <c r="A912" t="s">
        <v>1175</v>
      </c>
      <c r="B912" s="1">
        <v>44734</v>
      </c>
      <c r="C912">
        <v>2022</v>
      </c>
      <c r="D912">
        <v>6</v>
      </c>
      <c r="E912" t="s">
        <v>78</v>
      </c>
      <c r="F912">
        <v>159</v>
      </c>
      <c r="G912" t="s">
        <v>1020</v>
      </c>
      <c r="H912" t="s">
        <v>27</v>
      </c>
      <c r="I912">
        <v>0</v>
      </c>
      <c r="J912">
        <v>0</v>
      </c>
      <c r="K912">
        <v>7.3</v>
      </c>
      <c r="L912">
        <v>259512</v>
      </c>
      <c r="M912" t="s">
        <v>989</v>
      </c>
      <c r="N912" t="str">
        <f>IF(ISNUMBER(SEARCH("Streaming", M912)), "streaming", "cinema")</f>
        <v>cinema</v>
      </c>
      <c r="O912" t="str">
        <f>IF(I912=1, "non-original", "original")</f>
        <v>original</v>
      </c>
      <c r="P912" t="str">
        <f>IF(J912 = 1, "franchise", "non-franchise")</f>
        <v>non-franchise</v>
      </c>
      <c r="Q912" t="str">
        <f>IF(OR(I912 = 1,J912 =1), "old", "new")</f>
        <v>new</v>
      </c>
      <c r="R912">
        <f t="shared" si="28"/>
        <v>0.79661865874264115</v>
      </c>
      <c r="S912">
        <f>IF(Q912="new",1.5,1)*(K912/10)*(1-(MIN(F912,180)/180))</f>
        <v>0.12775000000000003</v>
      </c>
      <c r="T912" t="str">
        <f t="shared" si="29"/>
        <v>Scenario 1: Strong Commitment</v>
      </c>
    </row>
    <row r="913" spans="1:20" x14ac:dyDescent="0.35">
      <c r="A913" t="s">
        <v>1176</v>
      </c>
      <c r="B913" s="1">
        <v>44743</v>
      </c>
      <c r="C913">
        <v>2022</v>
      </c>
      <c r="D913">
        <v>7</v>
      </c>
      <c r="E913" t="s">
        <v>78</v>
      </c>
      <c r="F913">
        <v>118</v>
      </c>
      <c r="G913" t="s">
        <v>1043</v>
      </c>
      <c r="H913" t="s">
        <v>27</v>
      </c>
      <c r="I913">
        <v>0</v>
      </c>
      <c r="J913">
        <v>1</v>
      </c>
      <c r="K913">
        <v>6.1</v>
      </c>
      <c r="L913">
        <v>456022</v>
      </c>
      <c r="M913" t="s">
        <v>989</v>
      </c>
      <c r="N913" t="str">
        <f>IF(ISNUMBER(SEARCH("Streaming", M913)), "streaming", "cinema")</f>
        <v>cinema</v>
      </c>
      <c r="O913" t="str">
        <f>IF(I913=1, "non-original", "original")</f>
        <v>original</v>
      </c>
      <c r="P913" t="str">
        <f>IF(J913 = 1, "franchise", "non-franchise")</f>
        <v>franchise</v>
      </c>
      <c r="Q913" t="str">
        <f>IF(OR(I913 = 1,J913 =1), "old", "new")</f>
        <v>old</v>
      </c>
      <c r="R913">
        <f t="shared" si="28"/>
        <v>0.92690310985722002</v>
      </c>
      <c r="S913">
        <f>IF(Q913="new",1.5,1)*(K913/10)*(1-(MIN(F913,180)/180))</f>
        <v>0.21011111111111111</v>
      </c>
      <c r="T913" t="str">
        <f t="shared" si="29"/>
        <v>Scenario 1: Strong Commitment</v>
      </c>
    </row>
    <row r="914" spans="1:20" x14ac:dyDescent="0.35">
      <c r="A914" t="s">
        <v>430</v>
      </c>
      <c r="B914" s="1">
        <v>44755</v>
      </c>
      <c r="C914">
        <v>2022</v>
      </c>
      <c r="D914">
        <v>7</v>
      </c>
      <c r="E914" t="s">
        <v>78</v>
      </c>
      <c r="F914">
        <v>122</v>
      </c>
      <c r="G914" t="s">
        <v>1177</v>
      </c>
      <c r="H914" t="s">
        <v>27</v>
      </c>
      <c r="I914">
        <v>0</v>
      </c>
      <c r="J914">
        <v>0</v>
      </c>
      <c r="K914">
        <v>6.5</v>
      </c>
      <c r="L914">
        <v>269903</v>
      </c>
      <c r="M914" t="s">
        <v>983</v>
      </c>
      <c r="N914" t="str">
        <f>IF(ISNUMBER(SEARCH("Streaming", M914)), "streaming", "cinema")</f>
        <v>cinema</v>
      </c>
      <c r="O914" t="str">
        <f>IF(I914=1, "non-original", "original")</f>
        <v>original</v>
      </c>
      <c r="P914" t="str">
        <f>IF(J914 = 1, "franchise", "non-franchise")</f>
        <v>non-franchise</v>
      </c>
      <c r="Q914" t="str">
        <f>IF(OR(I914 = 1,J914 =1), "old", "new")</f>
        <v>new</v>
      </c>
      <c r="R914">
        <f t="shared" si="28"/>
        <v>0.61316691328165474</v>
      </c>
      <c r="S914">
        <f>IF(Q914="new",1.5,1)*(K914/10)*(1-(MIN(F914,180)/180))</f>
        <v>0.31416666666666665</v>
      </c>
      <c r="T914" t="str">
        <f t="shared" si="29"/>
        <v>Scenario 1: Strong Commitment</v>
      </c>
    </row>
    <row r="915" spans="1:20" x14ac:dyDescent="0.35">
      <c r="A915" t="s">
        <v>1178</v>
      </c>
      <c r="B915" s="1">
        <v>44757</v>
      </c>
      <c r="C915">
        <v>2022</v>
      </c>
      <c r="D915">
        <v>7</v>
      </c>
      <c r="E915" t="s">
        <v>78</v>
      </c>
      <c r="F915">
        <v>125</v>
      </c>
      <c r="G915" t="s">
        <v>1179</v>
      </c>
      <c r="H915" t="s">
        <v>27</v>
      </c>
      <c r="I915">
        <v>0</v>
      </c>
      <c r="J915">
        <v>0</v>
      </c>
      <c r="K915">
        <v>7.2</v>
      </c>
      <c r="L915">
        <v>156604</v>
      </c>
      <c r="M915" t="s">
        <v>989</v>
      </c>
      <c r="N915" t="str">
        <f>IF(ISNUMBER(SEARCH("Streaming", M915)), "streaming", "cinema")</f>
        <v>cinema</v>
      </c>
      <c r="O915" t="str">
        <f>IF(I915=1, "non-original", "original")</f>
        <v>original</v>
      </c>
      <c r="P915" t="str">
        <f>IF(J915 = 1, "franchise", "non-franchise")</f>
        <v>non-franchise</v>
      </c>
      <c r="Q915" t="str">
        <f>IF(OR(I915 = 1,J915 =1), "old", "new")</f>
        <v>new</v>
      </c>
      <c r="R915">
        <f t="shared" si="28"/>
        <v>0.60089909828973953</v>
      </c>
      <c r="S915">
        <f>IF(Q915="new",1.5,1)*(K915/10)*(1-(MIN(F915,180)/180))</f>
        <v>0.33000000000000007</v>
      </c>
      <c r="T915" t="str">
        <f t="shared" si="29"/>
        <v>Scenario 4: Hybrid Logic</v>
      </c>
    </row>
    <row r="916" spans="1:20" x14ac:dyDescent="0.35">
      <c r="A916" t="s">
        <v>1180</v>
      </c>
      <c r="B916" s="1">
        <v>44812</v>
      </c>
      <c r="C916">
        <v>2022</v>
      </c>
      <c r="D916">
        <v>9</v>
      </c>
      <c r="E916" t="s">
        <v>125</v>
      </c>
      <c r="F916">
        <v>104</v>
      </c>
      <c r="G916" t="s">
        <v>1016</v>
      </c>
      <c r="H916" t="s">
        <v>27</v>
      </c>
      <c r="I916">
        <v>1</v>
      </c>
      <c r="J916">
        <v>0</v>
      </c>
      <c r="K916">
        <v>6.1</v>
      </c>
      <c r="L916">
        <v>80710</v>
      </c>
      <c r="M916" t="s">
        <v>989</v>
      </c>
      <c r="N916" t="str">
        <f>IF(ISNUMBER(SEARCH("Streaming", M916)), "streaming", "cinema")</f>
        <v>cinema</v>
      </c>
      <c r="O916" t="str">
        <f>IF(I916=1, "non-original", "original")</f>
        <v>non-original</v>
      </c>
      <c r="P916" t="str">
        <f>IF(J916 = 1, "franchise", "non-franchise")</f>
        <v>non-franchise</v>
      </c>
      <c r="Q916" t="str">
        <f>IF(OR(I916 = 1,J916 =1), "old", "new")</f>
        <v>old</v>
      </c>
      <c r="R916">
        <f t="shared" si="28"/>
        <v>0.70836434842803331</v>
      </c>
      <c r="S916">
        <f>IF(Q916="new",1.5,1)*(K916/10)*(1-(MIN(F916,180)/180))</f>
        <v>0.25755555555555559</v>
      </c>
      <c r="T916" t="str">
        <f t="shared" si="29"/>
        <v>Scenario 1: Strong Commitment</v>
      </c>
    </row>
    <row r="917" spans="1:20" x14ac:dyDescent="0.35">
      <c r="A917" t="s">
        <v>1181</v>
      </c>
      <c r="B917" s="1">
        <v>44819</v>
      </c>
      <c r="C917">
        <v>2022</v>
      </c>
      <c r="D917">
        <v>9</v>
      </c>
      <c r="E917" t="s">
        <v>125</v>
      </c>
      <c r="F917">
        <v>135</v>
      </c>
      <c r="G917" t="s">
        <v>1182</v>
      </c>
      <c r="H917" t="s">
        <v>27</v>
      </c>
      <c r="I917">
        <v>0</v>
      </c>
      <c r="J917">
        <v>0</v>
      </c>
      <c r="K917">
        <v>6.9</v>
      </c>
      <c r="L917">
        <v>82481</v>
      </c>
      <c r="M917" t="s">
        <v>983</v>
      </c>
      <c r="N917" t="str">
        <f>IF(ISNUMBER(SEARCH("Streaming", M917)), "streaming", "cinema")</f>
        <v>cinema</v>
      </c>
      <c r="O917" t="str">
        <f>IF(I917=1, "non-original", "original")</f>
        <v>original</v>
      </c>
      <c r="P917" t="str">
        <f>IF(J917 = 1, "franchise", "non-franchise")</f>
        <v>non-franchise</v>
      </c>
      <c r="Q917" t="str">
        <f>IF(OR(I917 = 1,J917 =1), "old", "new")</f>
        <v>new</v>
      </c>
      <c r="R917">
        <f t="shared" si="28"/>
        <v>0.61418524217642134</v>
      </c>
      <c r="S917">
        <f>IF(Q917="new",1.5,1)*(K917/10)*(1-(MIN(F917,180)/180))</f>
        <v>0.25875000000000004</v>
      </c>
      <c r="T917" t="str">
        <f t="shared" si="29"/>
        <v>Scenario 1: Strong Commitment</v>
      </c>
    </row>
    <row r="918" spans="1:20" x14ac:dyDescent="0.35">
      <c r="A918" t="s">
        <v>1183</v>
      </c>
      <c r="B918" s="1">
        <v>44853</v>
      </c>
      <c r="C918">
        <v>2022</v>
      </c>
      <c r="D918">
        <v>10</v>
      </c>
      <c r="E918" t="s">
        <v>125</v>
      </c>
      <c r="F918">
        <v>125</v>
      </c>
      <c r="G918" t="s">
        <v>1004</v>
      </c>
      <c r="H918" t="s">
        <v>27</v>
      </c>
      <c r="I918">
        <v>0</v>
      </c>
      <c r="J918">
        <v>1</v>
      </c>
      <c r="K918">
        <v>6.1</v>
      </c>
      <c r="L918">
        <v>301827</v>
      </c>
      <c r="M918" t="s">
        <v>983</v>
      </c>
      <c r="N918" t="str">
        <f>IF(ISNUMBER(SEARCH("Streaming", M918)), "streaming", "cinema")</f>
        <v>cinema</v>
      </c>
      <c r="O918" t="str">
        <f>IF(I918=1, "non-original", "original")</f>
        <v>original</v>
      </c>
      <c r="P918" t="str">
        <f>IF(J918 = 1, "franchise", "non-franchise")</f>
        <v>franchise</v>
      </c>
      <c r="Q918" t="str">
        <f>IF(OR(I918 = 1,J918 =1), "old", "new")</f>
        <v>old</v>
      </c>
      <c r="R918">
        <f t="shared" si="28"/>
        <v>0.95079114300271228</v>
      </c>
      <c r="S918">
        <f>IF(Q918="new",1.5,1)*(K918/10)*(1-(MIN(F918,180)/180))</f>
        <v>0.18638888888888891</v>
      </c>
      <c r="T918" t="str">
        <f t="shared" si="29"/>
        <v>Scenario 1: Strong Commitment</v>
      </c>
    </row>
    <row r="919" spans="1:20" x14ac:dyDescent="0.35">
      <c r="A919" t="s">
        <v>1184</v>
      </c>
      <c r="B919" s="1">
        <v>44874</v>
      </c>
      <c r="C919">
        <v>2022</v>
      </c>
      <c r="D919">
        <v>11</v>
      </c>
      <c r="E919" t="s">
        <v>125</v>
      </c>
      <c r="F919">
        <v>161</v>
      </c>
      <c r="G919" t="s">
        <v>1006</v>
      </c>
      <c r="H919" t="s">
        <v>27</v>
      </c>
      <c r="I919">
        <v>0</v>
      </c>
      <c r="J919">
        <v>1</v>
      </c>
      <c r="K919">
        <v>6.6</v>
      </c>
      <c r="L919">
        <v>365969</v>
      </c>
      <c r="M919" t="s">
        <v>989</v>
      </c>
      <c r="N919" t="str">
        <f>IF(ISNUMBER(SEARCH("Streaming", M919)), "streaming", "cinema")</f>
        <v>cinema</v>
      </c>
      <c r="O919" t="str">
        <f>IF(I919=1, "non-original", "original")</f>
        <v>original</v>
      </c>
      <c r="P919" t="str">
        <f>IF(J919 = 1, "franchise", "non-franchise")</f>
        <v>franchise</v>
      </c>
      <c r="Q919" t="str">
        <f>IF(OR(I919 = 1,J919 =1), "old", "new")</f>
        <v>old</v>
      </c>
      <c r="R919">
        <f t="shared" si="28"/>
        <v>1.2433212274454268</v>
      </c>
      <c r="S919">
        <f>IF(Q919="new",1.5,1)*(K919/10)*(1-(MIN(F919,180)/180))</f>
        <v>6.9666666666666627E-2</v>
      </c>
      <c r="T919" t="str">
        <f t="shared" si="29"/>
        <v>Scenario 1: Strong Commitment</v>
      </c>
    </row>
    <row r="920" spans="1:20" x14ac:dyDescent="0.35">
      <c r="A920" t="s">
        <v>1185</v>
      </c>
      <c r="B920" s="1">
        <v>44904</v>
      </c>
      <c r="C920">
        <v>2022</v>
      </c>
      <c r="D920">
        <v>12</v>
      </c>
      <c r="E920" t="s">
        <v>14</v>
      </c>
      <c r="F920">
        <v>192</v>
      </c>
      <c r="G920" t="s">
        <v>1008</v>
      </c>
      <c r="H920" t="s">
        <v>27</v>
      </c>
      <c r="I920">
        <v>1</v>
      </c>
      <c r="J920">
        <v>1</v>
      </c>
      <c r="K920">
        <v>7.5</v>
      </c>
      <c r="L920">
        <v>603972</v>
      </c>
      <c r="M920" t="s">
        <v>989</v>
      </c>
      <c r="N920" t="str">
        <f>IF(ISNUMBER(SEARCH("Streaming", M920)), "streaming", "cinema")</f>
        <v>cinema</v>
      </c>
      <c r="O920" t="str">
        <f>IF(I920=1, "non-original", "original")</f>
        <v>non-original</v>
      </c>
      <c r="P920" t="str">
        <f>IF(J920 = 1, "franchise", "non-franchise")</f>
        <v>franchise</v>
      </c>
      <c r="Q920" t="str">
        <f>IF(OR(I920 = 1,J920 =1), "old", "new")</f>
        <v>old</v>
      </c>
      <c r="R920">
        <f t="shared" si="28"/>
        <v>1.4444099289955117</v>
      </c>
      <c r="S920">
        <f>IF(Q920="new",1.5,1)*(K920/10)*(1-(MIN(F920,180)/180))</f>
        <v>0</v>
      </c>
      <c r="T920" t="str">
        <f t="shared" si="29"/>
        <v>Scenario 1: Strong Commitment</v>
      </c>
    </row>
    <row r="921" spans="1:20" x14ac:dyDescent="0.35">
      <c r="A921" t="s">
        <v>1186</v>
      </c>
      <c r="B921" s="1">
        <v>44920</v>
      </c>
      <c r="C921">
        <v>2022</v>
      </c>
      <c r="D921">
        <v>12</v>
      </c>
      <c r="E921" t="s">
        <v>14</v>
      </c>
      <c r="F921">
        <v>126</v>
      </c>
      <c r="G921" t="s">
        <v>985</v>
      </c>
      <c r="H921" t="s">
        <v>27</v>
      </c>
      <c r="I921">
        <v>0</v>
      </c>
      <c r="J921">
        <v>0</v>
      </c>
      <c r="K921">
        <v>7.5</v>
      </c>
      <c r="L921">
        <v>207820</v>
      </c>
      <c r="M921" t="s">
        <v>983</v>
      </c>
      <c r="N921" t="str">
        <f>IF(ISNUMBER(SEARCH("Streaming", M921)), "streaming", "cinema")</f>
        <v>cinema</v>
      </c>
      <c r="O921" t="str">
        <f>IF(I921=1, "non-original", "original")</f>
        <v>original</v>
      </c>
      <c r="P921" t="str">
        <f>IF(J921 = 1, "franchise", "non-franchise")</f>
        <v>non-franchise</v>
      </c>
      <c r="Q921" t="str">
        <f>IF(OR(I921 = 1,J921 =1), "old", "new")</f>
        <v>new</v>
      </c>
      <c r="R921">
        <f t="shared" si="28"/>
        <v>0.62003443993880869</v>
      </c>
      <c r="S921">
        <f>IF(Q921="new",1.5,1)*(K921/10)*(1-(MIN(F921,180)/180))</f>
        <v>0.33750000000000002</v>
      </c>
      <c r="T921" t="str">
        <f t="shared" si="29"/>
        <v>Scenario 4: Hybrid Logic</v>
      </c>
    </row>
    <row r="922" spans="1:20" x14ac:dyDescent="0.35">
      <c r="A922" t="s">
        <v>1187</v>
      </c>
      <c r="B922" s="1">
        <v>44923</v>
      </c>
      <c r="C922">
        <v>2022</v>
      </c>
      <c r="D922">
        <v>12</v>
      </c>
      <c r="E922" t="s">
        <v>14</v>
      </c>
      <c r="F922">
        <v>102</v>
      </c>
      <c r="G922" t="s">
        <v>1188</v>
      </c>
      <c r="H922" t="s">
        <v>27</v>
      </c>
      <c r="I922">
        <v>1</v>
      </c>
      <c r="J922">
        <v>1</v>
      </c>
      <c r="K922">
        <v>6.3</v>
      </c>
      <c r="L922">
        <v>180162</v>
      </c>
      <c r="M922" t="s">
        <v>989</v>
      </c>
      <c r="N922" t="str">
        <f>IF(ISNUMBER(SEARCH("Streaming", M922)), "streaming", "cinema")</f>
        <v>cinema</v>
      </c>
      <c r="O922" t="str">
        <f>IF(I922=1, "non-original", "original")</f>
        <v>non-original</v>
      </c>
      <c r="P922" t="str">
        <f>IF(J922 = 1, "franchise", "non-franchise")</f>
        <v>franchise</v>
      </c>
      <c r="Q922" t="str">
        <f>IF(OR(I922 = 1,J922 =1), "old", "new")</f>
        <v>old</v>
      </c>
      <c r="R922">
        <f t="shared" si="28"/>
        <v>0.74411734169438815</v>
      </c>
      <c r="S922">
        <f>IF(Q922="new",1.5,1)*(K922/10)*(1-(MIN(F922,180)/180))</f>
        <v>0.27300000000000002</v>
      </c>
      <c r="T922" t="str">
        <f t="shared" si="29"/>
        <v>Scenario 1: Strong Commitment</v>
      </c>
    </row>
    <row r="923" spans="1:20" x14ac:dyDescent="0.35">
      <c r="A923" t="s">
        <v>1189</v>
      </c>
      <c r="B923" s="1">
        <v>44960</v>
      </c>
      <c r="C923">
        <v>2023</v>
      </c>
      <c r="D923">
        <v>2</v>
      </c>
      <c r="E923" t="s">
        <v>14</v>
      </c>
      <c r="F923">
        <v>98</v>
      </c>
      <c r="G923" t="s">
        <v>1190</v>
      </c>
      <c r="H923" t="s">
        <v>27</v>
      </c>
      <c r="I923">
        <v>0</v>
      </c>
      <c r="J923">
        <v>0</v>
      </c>
      <c r="K923">
        <v>5.9</v>
      </c>
      <c r="L923">
        <v>13872</v>
      </c>
      <c r="M923" t="s">
        <v>983</v>
      </c>
      <c r="N923" t="str">
        <f>IF(ISNUMBER(SEARCH("Streaming", M923)), "streaming", "cinema")</f>
        <v>cinema</v>
      </c>
      <c r="O923" t="str">
        <f>IF(I923=1, "non-original", "original")</f>
        <v>original</v>
      </c>
      <c r="P923" t="str">
        <f>IF(J923 = 1, "franchise", "non-franchise")</f>
        <v>non-franchise</v>
      </c>
      <c r="Q923" t="str">
        <f>IF(OR(I923 = 1,J923 =1), "old", "new")</f>
        <v>new</v>
      </c>
      <c r="R923">
        <f t="shared" si="28"/>
        <v>0.37564120227006192</v>
      </c>
      <c r="S923">
        <f>IF(Q923="new",1.5,1)*(K923/10)*(1-(MIN(F923,180)/180))</f>
        <v>0.40316666666666678</v>
      </c>
      <c r="T923" t="str">
        <f t="shared" si="29"/>
        <v>Scenario 3: Strong Convenience</v>
      </c>
    </row>
    <row r="924" spans="1:20" x14ac:dyDescent="0.35">
      <c r="A924" t="s">
        <v>1191</v>
      </c>
      <c r="B924" s="1">
        <v>44972</v>
      </c>
      <c r="C924">
        <v>2023</v>
      </c>
      <c r="D924">
        <v>2</v>
      </c>
      <c r="E924" t="s">
        <v>14</v>
      </c>
      <c r="F924">
        <v>124</v>
      </c>
      <c r="G924" t="s">
        <v>1043</v>
      </c>
      <c r="H924" t="s">
        <v>27</v>
      </c>
      <c r="I924">
        <v>0</v>
      </c>
      <c r="J924">
        <v>1</v>
      </c>
      <c r="K924">
        <v>6</v>
      </c>
      <c r="L924">
        <v>266581</v>
      </c>
      <c r="M924" t="s">
        <v>983</v>
      </c>
      <c r="N924" t="str">
        <f>IF(ISNUMBER(SEARCH("Streaming", M924)), "streaming", "cinema")</f>
        <v>cinema</v>
      </c>
      <c r="O924" t="str">
        <f>IF(I924=1, "non-original", "original")</f>
        <v>original</v>
      </c>
      <c r="P924" t="str">
        <f>IF(J924 = 1, "franchise", "non-franchise")</f>
        <v>franchise</v>
      </c>
      <c r="Q924" t="str">
        <f>IF(OR(I924 = 1,J924 =1), "old", "new")</f>
        <v>old</v>
      </c>
      <c r="R924">
        <f t="shared" si="28"/>
        <v>0.93390248545085552</v>
      </c>
      <c r="S924">
        <f>IF(Q924="new",1.5,1)*(K924/10)*(1-(MIN(F924,180)/180))</f>
        <v>0.18666666666666668</v>
      </c>
      <c r="T924" t="str">
        <f t="shared" si="29"/>
        <v>Scenario 1: Strong Commitment</v>
      </c>
    </row>
    <row r="925" spans="1:20" x14ac:dyDescent="0.35">
      <c r="A925" t="s">
        <v>1192</v>
      </c>
      <c r="B925" s="1">
        <v>44981</v>
      </c>
      <c r="C925">
        <v>2023</v>
      </c>
      <c r="D925">
        <v>2</v>
      </c>
      <c r="E925" t="s">
        <v>14</v>
      </c>
      <c r="F925">
        <v>120</v>
      </c>
      <c r="G925" t="s">
        <v>1000</v>
      </c>
      <c r="H925" t="s">
        <v>27</v>
      </c>
      <c r="I925">
        <v>0</v>
      </c>
      <c r="J925">
        <v>0</v>
      </c>
      <c r="K925">
        <v>7.1</v>
      </c>
      <c r="L925">
        <v>16465</v>
      </c>
      <c r="M925" t="s">
        <v>989</v>
      </c>
      <c r="N925" t="str">
        <f>IF(ISNUMBER(SEARCH("Streaming", M925)), "streaming", "cinema")</f>
        <v>cinema</v>
      </c>
      <c r="O925" t="str">
        <f>IF(I925=1, "non-original", "original")</f>
        <v>original</v>
      </c>
      <c r="P925" t="str">
        <f>IF(J925 = 1, "franchise", "non-franchise")</f>
        <v>non-franchise</v>
      </c>
      <c r="Q925" t="str">
        <f>IF(OR(I925 = 1,J925 =1), "old", "new")</f>
        <v>new</v>
      </c>
      <c r="R925">
        <f t="shared" si="28"/>
        <v>0.46823317238698503</v>
      </c>
      <c r="S925">
        <f>IF(Q925="new",1.5,1)*(K925/10)*(1-(MIN(F925,180)/180))</f>
        <v>0.35500000000000004</v>
      </c>
      <c r="T925" t="str">
        <f t="shared" si="29"/>
        <v>Scenario 3: Strong Convenience</v>
      </c>
    </row>
    <row r="926" spans="1:20" x14ac:dyDescent="0.35">
      <c r="A926" t="s">
        <v>1193</v>
      </c>
      <c r="B926" s="1">
        <v>44986</v>
      </c>
      <c r="C926">
        <v>2023</v>
      </c>
      <c r="D926">
        <v>3</v>
      </c>
      <c r="E926" t="s">
        <v>38</v>
      </c>
      <c r="F926">
        <v>116</v>
      </c>
      <c r="G926" t="s">
        <v>1194</v>
      </c>
      <c r="H926" t="s">
        <v>27</v>
      </c>
      <c r="I926">
        <v>1</v>
      </c>
      <c r="J926">
        <v>1</v>
      </c>
      <c r="K926">
        <v>6.7</v>
      </c>
      <c r="L926">
        <v>106096</v>
      </c>
      <c r="M926" t="s">
        <v>989</v>
      </c>
      <c r="N926" t="str">
        <f>IF(ISNUMBER(SEARCH("Streaming", M926)), "streaming", "cinema")</f>
        <v>cinema</v>
      </c>
      <c r="O926" t="str">
        <f>IF(I926=1, "non-original", "original")</f>
        <v>non-original</v>
      </c>
      <c r="P926" t="str">
        <f>IF(J926 = 1, "franchise", "non-franchise")</f>
        <v>franchise</v>
      </c>
      <c r="Q926" t="str">
        <f>IF(OR(I926 = 1,J926 =1), "old", "new")</f>
        <v>old</v>
      </c>
      <c r="R926">
        <f t="shared" si="28"/>
        <v>0.80922295263696209</v>
      </c>
      <c r="S926">
        <f>IF(Q926="new",1.5,1)*(K926/10)*(1-(MIN(F926,180)/180))</f>
        <v>0.2382222222222222</v>
      </c>
      <c r="T926" t="str">
        <f t="shared" si="29"/>
        <v>Scenario 1: Strong Commitment</v>
      </c>
    </row>
    <row r="927" spans="1:20" x14ac:dyDescent="0.35">
      <c r="A927" t="s">
        <v>1195</v>
      </c>
      <c r="B927" s="1">
        <v>44987</v>
      </c>
      <c r="C927">
        <v>2023</v>
      </c>
      <c r="D927">
        <v>3</v>
      </c>
      <c r="E927" t="s">
        <v>38</v>
      </c>
      <c r="F927">
        <v>134</v>
      </c>
      <c r="G927" t="s">
        <v>1043</v>
      </c>
      <c r="H927" t="s">
        <v>27</v>
      </c>
      <c r="I927">
        <v>0</v>
      </c>
      <c r="J927">
        <v>0</v>
      </c>
      <c r="K927">
        <v>7.2</v>
      </c>
      <c r="L927">
        <v>271570</v>
      </c>
      <c r="M927" t="s">
        <v>983</v>
      </c>
      <c r="N927" t="str">
        <f>IF(ISNUMBER(SEARCH("Streaming", M927)), "streaming", "cinema")</f>
        <v>cinema</v>
      </c>
      <c r="O927" t="str">
        <f>IF(I927=1, "non-original", "original")</f>
        <v>original</v>
      </c>
      <c r="P927" t="str">
        <f>IF(J927 = 1, "franchise", "non-franchise")</f>
        <v>non-franchise</v>
      </c>
      <c r="Q927" t="str">
        <f>IF(OR(I927 = 1,J927 =1), "old", "new")</f>
        <v>new</v>
      </c>
      <c r="R927">
        <f t="shared" si="28"/>
        <v>0.67381000318980255</v>
      </c>
      <c r="S927">
        <f>IF(Q927="new",1.5,1)*(K927/10)*(1-(MIN(F927,180)/180))</f>
        <v>0.27600000000000002</v>
      </c>
      <c r="T927" t="str">
        <f t="shared" si="29"/>
        <v>Scenario 1: Strong Commitment</v>
      </c>
    </row>
    <row r="928" spans="1:20" x14ac:dyDescent="0.35">
      <c r="A928">
        <v>65</v>
      </c>
      <c r="B928" s="1">
        <v>44994</v>
      </c>
      <c r="C928">
        <v>2023</v>
      </c>
      <c r="D928">
        <v>3</v>
      </c>
      <c r="E928" t="s">
        <v>38</v>
      </c>
      <c r="F928">
        <v>93</v>
      </c>
      <c r="G928" t="s">
        <v>1133</v>
      </c>
      <c r="H928" t="s">
        <v>27</v>
      </c>
      <c r="I928">
        <v>1</v>
      </c>
      <c r="J928">
        <v>0</v>
      </c>
      <c r="K928">
        <v>5.4</v>
      </c>
      <c r="L928">
        <v>105530</v>
      </c>
      <c r="M928" t="s">
        <v>983</v>
      </c>
      <c r="N928" t="str">
        <f>IF(ISNUMBER(SEARCH("Streaming", M928)), "streaming", "cinema")</f>
        <v>cinema</v>
      </c>
      <c r="O928" t="str">
        <f>IF(I928=1, "non-original", "original")</f>
        <v>non-original</v>
      </c>
      <c r="P928" t="str">
        <f>IF(J928 = 1, "franchise", "non-franchise")</f>
        <v>non-franchise</v>
      </c>
      <c r="Q928" t="str">
        <f>IF(OR(I928 = 1,J928 =1), "old", "new")</f>
        <v>old</v>
      </c>
      <c r="R928">
        <f t="shared" si="28"/>
        <v>0.64847368586260701</v>
      </c>
      <c r="S928">
        <f>IF(Q928="new",1.5,1)*(K928/10)*(1-(MIN(F928,180)/180))</f>
        <v>0.26100000000000001</v>
      </c>
      <c r="T928" t="str">
        <f t="shared" si="29"/>
        <v>Scenario 1: Strong Commitment</v>
      </c>
    </row>
    <row r="929" spans="1:20" x14ac:dyDescent="0.35">
      <c r="A929" t="s">
        <v>1196</v>
      </c>
      <c r="B929" s="1">
        <v>45000</v>
      </c>
      <c r="C929">
        <v>2023</v>
      </c>
      <c r="D929">
        <v>3</v>
      </c>
      <c r="E929" t="s">
        <v>38</v>
      </c>
      <c r="F929">
        <v>130</v>
      </c>
      <c r="G929" t="s">
        <v>1043</v>
      </c>
      <c r="H929" t="s">
        <v>27</v>
      </c>
      <c r="I929">
        <v>0</v>
      </c>
      <c r="J929">
        <v>1</v>
      </c>
      <c r="K929">
        <v>5.9</v>
      </c>
      <c r="L929">
        <v>144080</v>
      </c>
      <c r="M929" t="s">
        <v>983</v>
      </c>
      <c r="N929" t="str">
        <f>IF(ISNUMBER(SEARCH("Streaming", M929)), "streaming", "cinema")</f>
        <v>cinema</v>
      </c>
      <c r="O929" t="str">
        <f>IF(I929=1, "non-original", "original")</f>
        <v>original</v>
      </c>
      <c r="P929" t="str">
        <f>IF(J929 = 1, "franchise", "non-franchise")</f>
        <v>franchise</v>
      </c>
      <c r="Q929" t="str">
        <f>IF(OR(I929 = 1,J929 =1), "old", "new")</f>
        <v>old</v>
      </c>
      <c r="R929">
        <f t="shared" si="28"/>
        <v>0.93087045364025267</v>
      </c>
      <c r="S929">
        <f>IF(Q929="new",1.5,1)*(K929/10)*(1-(MIN(F929,180)/180))</f>
        <v>0.16388888888888892</v>
      </c>
      <c r="T929" t="str">
        <f t="shared" si="29"/>
        <v>Scenario 1: Strong Commitment</v>
      </c>
    </row>
    <row r="930" spans="1:20" x14ac:dyDescent="0.35">
      <c r="A930" t="s">
        <v>1197</v>
      </c>
      <c r="B930" s="1">
        <v>45010</v>
      </c>
      <c r="C930">
        <v>2023</v>
      </c>
      <c r="D930">
        <v>3</v>
      </c>
      <c r="E930" t="s">
        <v>38</v>
      </c>
      <c r="F930">
        <v>112</v>
      </c>
      <c r="G930" t="s">
        <v>1006</v>
      </c>
      <c r="H930" t="s">
        <v>27</v>
      </c>
      <c r="I930">
        <v>1</v>
      </c>
      <c r="J930">
        <v>0</v>
      </c>
      <c r="K930">
        <v>4.4000000000000004</v>
      </c>
      <c r="L930">
        <v>17981</v>
      </c>
      <c r="M930" t="s">
        <v>983</v>
      </c>
      <c r="N930" t="str">
        <f>IF(ISNUMBER(SEARCH("Streaming", M930)), "streaming", "cinema")</f>
        <v>cinema</v>
      </c>
      <c r="O930" t="str">
        <f>IF(I930=1, "non-original", "original")</f>
        <v>non-original</v>
      </c>
      <c r="P930" t="str">
        <f>IF(J930 = 1, "franchise", "non-franchise")</f>
        <v>non-franchise</v>
      </c>
      <c r="Q930" t="str">
        <f>IF(OR(I930 = 1,J930 =1), "old", "new")</f>
        <v>old</v>
      </c>
      <c r="R930">
        <f t="shared" si="28"/>
        <v>0.66147329294436008</v>
      </c>
      <c r="S930">
        <f>IF(Q930="new",1.5,1)*(K930/10)*(1-(MIN(F930,180)/180))</f>
        <v>0.16622222222222224</v>
      </c>
      <c r="T930" t="str">
        <f t="shared" si="29"/>
        <v>Scenario 1: Strong Commitment</v>
      </c>
    </row>
    <row r="931" spans="1:20" x14ac:dyDescent="0.35">
      <c r="A931" t="s">
        <v>1198</v>
      </c>
      <c r="B931" s="1">
        <v>45015</v>
      </c>
      <c r="C931">
        <v>2023</v>
      </c>
      <c r="D931">
        <v>3</v>
      </c>
      <c r="E931" t="s">
        <v>38</v>
      </c>
      <c r="F931">
        <v>106</v>
      </c>
      <c r="G931" t="s">
        <v>1199</v>
      </c>
      <c r="H931" t="s">
        <v>27</v>
      </c>
      <c r="I931">
        <v>0</v>
      </c>
      <c r="J931">
        <v>0</v>
      </c>
      <c r="K931">
        <v>5.9</v>
      </c>
      <c r="L931">
        <v>2923</v>
      </c>
      <c r="M931" t="s">
        <v>989</v>
      </c>
      <c r="N931" t="str">
        <f>IF(ISNUMBER(SEARCH("Streaming", M931)), "streaming", "cinema")</f>
        <v>cinema</v>
      </c>
      <c r="O931" t="str">
        <f>IF(I931=1, "non-original", "original")</f>
        <v>original</v>
      </c>
      <c r="P931" t="str">
        <f>IF(J931 = 1, "franchise", "non-franchise")</f>
        <v>non-franchise</v>
      </c>
      <c r="Q931" t="str">
        <f>IF(OR(I931 = 1,J931 =1), "old", "new")</f>
        <v>new</v>
      </c>
      <c r="R931">
        <f t="shared" si="28"/>
        <v>0.33996596645255978</v>
      </c>
      <c r="S931">
        <f>IF(Q931="new",1.5,1)*(K931/10)*(1-(MIN(F931,180)/180))</f>
        <v>0.36383333333333334</v>
      </c>
      <c r="T931" t="str">
        <f t="shared" si="29"/>
        <v>Scenario 3: Strong Convenience</v>
      </c>
    </row>
    <row r="932" spans="1:20" x14ac:dyDescent="0.35">
      <c r="A932" t="s">
        <v>1200</v>
      </c>
      <c r="B932" s="1">
        <v>45063</v>
      </c>
      <c r="C932">
        <v>2023</v>
      </c>
      <c r="D932">
        <v>5</v>
      </c>
      <c r="E932" t="s">
        <v>38</v>
      </c>
      <c r="F932">
        <v>141</v>
      </c>
      <c r="G932" t="s">
        <v>1201</v>
      </c>
      <c r="H932" t="s">
        <v>27</v>
      </c>
      <c r="I932">
        <v>1</v>
      </c>
      <c r="J932">
        <v>1</v>
      </c>
      <c r="K932">
        <v>5.7</v>
      </c>
      <c r="L932">
        <v>144255</v>
      </c>
      <c r="M932" t="s">
        <v>983</v>
      </c>
      <c r="N932" t="str">
        <f>IF(ISNUMBER(SEARCH("Streaming", M932)), "streaming", "cinema")</f>
        <v>cinema</v>
      </c>
      <c r="O932" t="str">
        <f>IF(I932=1, "non-original", "original")</f>
        <v>non-original</v>
      </c>
      <c r="P932" t="str">
        <f>IF(J932 = 1, "franchise", "non-franchise")</f>
        <v>franchise</v>
      </c>
      <c r="Q932" t="str">
        <f>IF(OR(I932 = 1,J932 =1), "old", "new")</f>
        <v>old</v>
      </c>
      <c r="R932">
        <f t="shared" si="28"/>
        <v>1.0097395932877704</v>
      </c>
      <c r="S932">
        <f>IF(Q932="new",1.5,1)*(K932/10)*(1-(MIN(F932,180)/180))</f>
        <v>0.12350000000000001</v>
      </c>
      <c r="T932" t="str">
        <f t="shared" si="29"/>
        <v>Scenario 1: Strong Commitment</v>
      </c>
    </row>
    <row r="933" spans="1:20" x14ac:dyDescent="0.35">
      <c r="A933" t="s">
        <v>1202</v>
      </c>
      <c r="B933" s="1">
        <v>45079</v>
      </c>
      <c r="C933">
        <v>2023</v>
      </c>
      <c r="D933">
        <v>6</v>
      </c>
      <c r="E933" t="s">
        <v>78</v>
      </c>
      <c r="F933">
        <v>105</v>
      </c>
      <c r="G933" t="s">
        <v>1024</v>
      </c>
      <c r="H933" t="s">
        <v>27</v>
      </c>
      <c r="I933">
        <v>1</v>
      </c>
      <c r="J933">
        <v>0</v>
      </c>
      <c r="K933">
        <v>7.8</v>
      </c>
      <c r="L933">
        <v>169635</v>
      </c>
      <c r="M933" t="s">
        <v>989</v>
      </c>
      <c r="N933" t="str">
        <f>IF(ISNUMBER(SEARCH("Streaming", M933)), "streaming", "cinema")</f>
        <v>cinema</v>
      </c>
      <c r="O933" t="str">
        <f>IF(I933=1, "non-original", "original")</f>
        <v>non-original</v>
      </c>
      <c r="P933" t="str">
        <f>IF(J933 = 1, "franchise", "non-franchise")</f>
        <v>non-franchise</v>
      </c>
      <c r="Q933" t="str">
        <f>IF(OR(I933 = 1,J933 =1), "old", "new")</f>
        <v>old</v>
      </c>
      <c r="R933">
        <f t="shared" si="28"/>
        <v>0.76219216261631817</v>
      </c>
      <c r="S933">
        <f>IF(Q933="new",1.5,1)*(K933/10)*(1-(MIN(F933,180)/180))</f>
        <v>0.32499999999999996</v>
      </c>
      <c r="T933" t="str">
        <f t="shared" si="29"/>
        <v>Scenario 4: Hybrid Logic</v>
      </c>
    </row>
    <row r="934" spans="1:20" x14ac:dyDescent="0.35">
      <c r="A934" t="s">
        <v>1203</v>
      </c>
      <c r="B934" s="1">
        <v>45083</v>
      </c>
      <c r="C934">
        <v>2023</v>
      </c>
      <c r="D934">
        <v>6</v>
      </c>
      <c r="E934" t="s">
        <v>78</v>
      </c>
      <c r="F934">
        <v>127</v>
      </c>
      <c r="G934" t="s">
        <v>1133</v>
      </c>
      <c r="H934" t="s">
        <v>27</v>
      </c>
      <c r="I934">
        <v>0</v>
      </c>
      <c r="J934">
        <v>1</v>
      </c>
      <c r="K934">
        <v>6</v>
      </c>
      <c r="L934">
        <v>129903</v>
      </c>
      <c r="M934" t="s">
        <v>983</v>
      </c>
      <c r="N934" t="str">
        <f>IF(ISNUMBER(SEARCH("Streaming", M934)), "streaming", "cinema")</f>
        <v>cinema</v>
      </c>
      <c r="O934" t="str">
        <f>IF(I934=1, "non-original", "original")</f>
        <v>original</v>
      </c>
      <c r="P934" t="str">
        <f>IF(J934 = 1, "franchise", "non-franchise")</f>
        <v>franchise</v>
      </c>
      <c r="Q934" t="str">
        <f>IF(OR(I934 = 1,J934 =1), "old", "new")</f>
        <v>old</v>
      </c>
      <c r="R934">
        <f t="shared" si="28"/>
        <v>0.90145869371491671</v>
      </c>
      <c r="S934">
        <f>IF(Q934="new",1.5,1)*(K934/10)*(1-(MIN(F934,180)/180))</f>
        <v>0.17666666666666664</v>
      </c>
      <c r="T934" t="str">
        <f t="shared" si="29"/>
        <v>Scenario 1: Strong Commitment</v>
      </c>
    </row>
    <row r="935" spans="1:20" x14ac:dyDescent="0.35">
      <c r="A935" t="s">
        <v>1204</v>
      </c>
      <c r="B935" s="1">
        <v>45090</v>
      </c>
      <c r="C935">
        <v>2023</v>
      </c>
      <c r="D935">
        <v>6</v>
      </c>
      <c r="E935" t="s">
        <v>78</v>
      </c>
      <c r="F935">
        <v>144</v>
      </c>
      <c r="G935" t="s">
        <v>1004</v>
      </c>
      <c r="H935" t="s">
        <v>27</v>
      </c>
      <c r="I935">
        <v>0</v>
      </c>
      <c r="J935">
        <v>1</v>
      </c>
      <c r="K935">
        <v>6.6</v>
      </c>
      <c r="L935">
        <v>245595</v>
      </c>
      <c r="M935" t="s">
        <v>983</v>
      </c>
      <c r="N935" t="str">
        <f>IF(ISNUMBER(SEARCH("Streaming", M935)), "streaming", "cinema")</f>
        <v>cinema</v>
      </c>
      <c r="O935" t="str">
        <f>IF(I935=1, "non-original", "original")</f>
        <v>original</v>
      </c>
      <c r="P935" t="str">
        <f>IF(J935 = 1, "franchise", "non-franchise")</f>
        <v>franchise</v>
      </c>
      <c r="Q935" t="str">
        <f>IF(OR(I935 = 1,J935 =1), "old", "new")</f>
        <v>old</v>
      </c>
      <c r="R935">
        <f t="shared" si="28"/>
        <v>1.0774141446243075</v>
      </c>
      <c r="S935">
        <f>IF(Q935="new",1.5,1)*(K935/10)*(1-(MIN(F935,180)/180))</f>
        <v>0.13199999999999995</v>
      </c>
      <c r="T935" t="str">
        <f t="shared" si="29"/>
        <v>Scenario 1: Strong Commitment</v>
      </c>
    </row>
    <row r="936" spans="1:20" x14ac:dyDescent="0.35">
      <c r="A936" t="s">
        <v>1205</v>
      </c>
      <c r="B936" s="1">
        <v>45105</v>
      </c>
      <c r="C936">
        <v>2023</v>
      </c>
      <c r="D936">
        <v>6</v>
      </c>
      <c r="E936" t="s">
        <v>78</v>
      </c>
      <c r="F936">
        <v>154</v>
      </c>
      <c r="G936" t="s">
        <v>1133</v>
      </c>
      <c r="H936" t="s">
        <v>27</v>
      </c>
      <c r="I936">
        <v>1</v>
      </c>
      <c r="J936">
        <v>1</v>
      </c>
      <c r="K936">
        <v>6.5</v>
      </c>
      <c r="L936">
        <v>230868</v>
      </c>
      <c r="M936" t="s">
        <v>983</v>
      </c>
      <c r="N936" t="str">
        <f>IF(ISNUMBER(SEARCH("Streaming", M936)), "streaming", "cinema")</f>
        <v>cinema</v>
      </c>
      <c r="O936" t="str">
        <f>IF(I936=1, "non-original", "original")</f>
        <v>non-original</v>
      </c>
      <c r="P936" t="str">
        <f>IF(J936 = 1, "franchise", "non-franchise")</f>
        <v>franchise</v>
      </c>
      <c r="Q936" t="str">
        <f>IF(OR(I936 = 1,J936 =1), "old", "new")</f>
        <v>old</v>
      </c>
      <c r="R936">
        <f t="shared" si="28"/>
        <v>1.146493773902894</v>
      </c>
      <c r="S936">
        <f>IF(Q936="new",1.5,1)*(K936/10)*(1-(MIN(F936,180)/180))</f>
        <v>9.3888888888888924E-2</v>
      </c>
      <c r="T936" t="str">
        <f t="shared" si="29"/>
        <v>Scenario 1: Strong Commitment</v>
      </c>
    </row>
    <row r="937" spans="1:20" x14ac:dyDescent="0.35">
      <c r="A937" t="s">
        <v>1206</v>
      </c>
      <c r="B937" s="1">
        <v>45111</v>
      </c>
      <c r="C937">
        <v>2023</v>
      </c>
      <c r="D937">
        <v>7</v>
      </c>
      <c r="E937" t="s">
        <v>78</v>
      </c>
      <c r="F937">
        <v>131</v>
      </c>
      <c r="G937" t="s">
        <v>1207</v>
      </c>
      <c r="H937" t="s">
        <v>27</v>
      </c>
      <c r="I937">
        <v>0</v>
      </c>
      <c r="J937">
        <v>0</v>
      </c>
      <c r="K937">
        <v>7.6</v>
      </c>
      <c r="L937">
        <v>136199</v>
      </c>
      <c r="M937" t="s">
        <v>989</v>
      </c>
      <c r="N937" t="str">
        <f>IF(ISNUMBER(SEARCH("Streaming", M937)), "streaming", "cinema")</f>
        <v>cinema</v>
      </c>
      <c r="O937" t="str">
        <f>IF(I937=1, "non-original", "original")</f>
        <v>original</v>
      </c>
      <c r="P937" t="str">
        <f>IF(J937 = 1, "franchise", "non-franchise")</f>
        <v>non-franchise</v>
      </c>
      <c r="Q937" t="str">
        <f>IF(OR(I937 = 1,J937 =1), "old", "new")</f>
        <v>new</v>
      </c>
      <c r="R937">
        <f t="shared" si="28"/>
        <v>0.62239248615182707</v>
      </c>
      <c r="S937">
        <f>IF(Q937="new",1.5,1)*(K937/10)*(1-(MIN(F937,180)/180))</f>
        <v>0.31033333333333341</v>
      </c>
      <c r="T937" t="str">
        <f t="shared" si="29"/>
        <v>Scenario 1: Strong Commitment</v>
      </c>
    </row>
    <row r="938" spans="1:20" x14ac:dyDescent="0.35">
      <c r="A938" t="s">
        <v>1208</v>
      </c>
      <c r="B938" s="1">
        <v>45112</v>
      </c>
      <c r="C938">
        <v>2023</v>
      </c>
      <c r="D938">
        <v>7</v>
      </c>
      <c r="E938" t="s">
        <v>78</v>
      </c>
      <c r="F938">
        <v>107</v>
      </c>
      <c r="G938" t="s">
        <v>1209</v>
      </c>
      <c r="H938" t="s">
        <v>27</v>
      </c>
      <c r="I938">
        <v>1</v>
      </c>
      <c r="J938">
        <v>1</v>
      </c>
      <c r="K938">
        <v>5.5</v>
      </c>
      <c r="L938">
        <v>62925</v>
      </c>
      <c r="M938" t="s">
        <v>989</v>
      </c>
      <c r="N938" t="str">
        <f>IF(ISNUMBER(SEARCH("Streaming", M938)), "streaming", "cinema")</f>
        <v>cinema</v>
      </c>
      <c r="O938" t="str">
        <f>IF(I938=1, "non-original", "original")</f>
        <v>non-original</v>
      </c>
      <c r="P938" t="str">
        <f>IF(J938 = 1, "franchise", "non-franchise")</f>
        <v>franchise</v>
      </c>
      <c r="Q938" t="str">
        <f>IF(OR(I938 = 1,J938 =1), "old", "new")</f>
        <v>old</v>
      </c>
      <c r="R938">
        <f t="shared" si="28"/>
        <v>0.71274184650168659</v>
      </c>
      <c r="S938">
        <f>IF(Q938="new",1.5,1)*(K938/10)*(1-(MIN(F938,180)/180))</f>
        <v>0.22305555555555556</v>
      </c>
      <c r="T938" t="str">
        <f t="shared" si="29"/>
        <v>Scenario 1: Strong Commitment</v>
      </c>
    </row>
    <row r="939" spans="1:20" x14ac:dyDescent="0.35">
      <c r="A939" t="s">
        <v>1210</v>
      </c>
      <c r="B939" s="1">
        <v>45126</v>
      </c>
      <c r="C939">
        <v>2023</v>
      </c>
      <c r="D939">
        <v>7</v>
      </c>
      <c r="E939" t="s">
        <v>78</v>
      </c>
      <c r="F939">
        <v>114</v>
      </c>
      <c r="G939" t="s">
        <v>1147</v>
      </c>
      <c r="H939" t="s">
        <v>27</v>
      </c>
      <c r="I939">
        <v>0</v>
      </c>
      <c r="J939">
        <v>1</v>
      </c>
      <c r="K939">
        <v>6.8</v>
      </c>
      <c r="L939">
        <v>661362</v>
      </c>
      <c r="M939" t="s">
        <v>989</v>
      </c>
      <c r="N939" t="str">
        <f>IF(ISNUMBER(SEARCH("Streaming", M939)), "streaming", "cinema")</f>
        <v>cinema</v>
      </c>
      <c r="O939" t="str">
        <f>IF(I939=1, "non-original", "original")</f>
        <v>original</v>
      </c>
      <c r="P939" t="str">
        <f>IF(J939 = 1, "franchise", "non-franchise")</f>
        <v>franchise</v>
      </c>
      <c r="Q939" t="str">
        <f>IF(OR(I939 = 1,J939 =1), "old", "new")</f>
        <v>old</v>
      </c>
      <c r="R939">
        <f t="shared" si="28"/>
        <v>0.92103119388707766</v>
      </c>
      <c r="S939">
        <f>IF(Q939="new",1.5,1)*(K939/10)*(1-(MIN(F939,180)/180))</f>
        <v>0.24933333333333332</v>
      </c>
      <c r="T939" t="str">
        <f t="shared" si="29"/>
        <v>Scenario 1: Strong Commitment</v>
      </c>
    </row>
    <row r="940" spans="1:20" x14ac:dyDescent="0.35">
      <c r="A940" t="s">
        <v>1211</v>
      </c>
      <c r="B940" s="1">
        <v>45133</v>
      </c>
      <c r="C940">
        <v>2023</v>
      </c>
      <c r="D940">
        <v>7</v>
      </c>
      <c r="E940" t="s">
        <v>78</v>
      </c>
      <c r="F940">
        <v>123</v>
      </c>
      <c r="G940" t="s">
        <v>1027</v>
      </c>
      <c r="H940" t="s">
        <v>27</v>
      </c>
      <c r="I940">
        <v>0</v>
      </c>
      <c r="J940">
        <v>0</v>
      </c>
      <c r="K940">
        <v>6</v>
      </c>
      <c r="L940">
        <v>49850</v>
      </c>
      <c r="M940" t="s">
        <v>983</v>
      </c>
      <c r="N940" t="str">
        <f>IF(ISNUMBER(SEARCH("Streaming", M940)), "streaming", "cinema")</f>
        <v>cinema</v>
      </c>
      <c r="O940" t="str">
        <f>IF(I940=1, "non-original", "original")</f>
        <v>original</v>
      </c>
      <c r="P940" t="str">
        <f>IF(J940 = 1, "franchise", "non-franchise")</f>
        <v>non-franchise</v>
      </c>
      <c r="Q940" t="str">
        <f>IF(OR(I940 = 1,J940 =1), "old", "new")</f>
        <v>new</v>
      </c>
      <c r="R940">
        <f t="shared" si="28"/>
        <v>0.53469932853732427</v>
      </c>
      <c r="S940">
        <f>IF(Q940="new",1.5,1)*(K940/10)*(1-(MIN(F940,180)/180))</f>
        <v>0.28499999999999998</v>
      </c>
      <c r="T940" t="str">
        <f t="shared" si="29"/>
        <v>Scenario 1: Strong Commitment</v>
      </c>
    </row>
    <row r="941" spans="1:20" x14ac:dyDescent="0.35">
      <c r="A941" t="s">
        <v>1212</v>
      </c>
      <c r="B941" s="1">
        <v>45136</v>
      </c>
      <c r="C941">
        <v>2023</v>
      </c>
      <c r="D941">
        <v>7</v>
      </c>
      <c r="E941" t="s">
        <v>78</v>
      </c>
      <c r="F941">
        <v>116</v>
      </c>
      <c r="G941" t="s">
        <v>1130</v>
      </c>
      <c r="H941" t="s">
        <v>27</v>
      </c>
      <c r="I941">
        <v>1</v>
      </c>
      <c r="J941">
        <v>1</v>
      </c>
      <c r="K941">
        <v>5</v>
      </c>
      <c r="L941">
        <v>100675</v>
      </c>
      <c r="M941" t="s">
        <v>989</v>
      </c>
      <c r="N941" t="str">
        <f>IF(ISNUMBER(SEARCH("Streaming", M941)), "streaming", "cinema")</f>
        <v>cinema</v>
      </c>
      <c r="O941" t="str">
        <f>IF(I941=1, "non-original", "original")</f>
        <v>non-original</v>
      </c>
      <c r="P941" t="str">
        <f>IF(J941 = 1, "franchise", "non-franchise")</f>
        <v>franchise</v>
      </c>
      <c r="Q941" t="str">
        <f>IF(OR(I941 = 1,J941 =1), "old", "new")</f>
        <v>old</v>
      </c>
      <c r="R941">
        <f t="shared" si="28"/>
        <v>0.80555540859625763</v>
      </c>
      <c r="S941">
        <f>IF(Q941="new",1.5,1)*(K941/10)*(1-(MIN(F941,180)/180))</f>
        <v>0.17777777777777776</v>
      </c>
      <c r="T941" t="str">
        <f t="shared" si="29"/>
        <v>Scenario 1: Strong Commitment</v>
      </c>
    </row>
    <row r="942" spans="1:20" x14ac:dyDescent="0.35">
      <c r="A942" t="s">
        <v>1213</v>
      </c>
      <c r="B942" s="1">
        <v>45154</v>
      </c>
      <c r="C942">
        <v>2023</v>
      </c>
      <c r="D942">
        <v>8</v>
      </c>
      <c r="E942" t="s">
        <v>78</v>
      </c>
      <c r="F942">
        <v>127</v>
      </c>
      <c r="G942" t="s">
        <v>1133</v>
      </c>
      <c r="H942" t="s">
        <v>27</v>
      </c>
      <c r="I942">
        <v>0</v>
      </c>
      <c r="J942">
        <v>1</v>
      </c>
      <c r="K942">
        <v>5.9</v>
      </c>
      <c r="L942">
        <v>115510</v>
      </c>
      <c r="M942" t="s">
        <v>983</v>
      </c>
      <c r="N942" t="str">
        <f>IF(ISNUMBER(SEARCH("Streaming", M942)), "streaming", "cinema")</f>
        <v>cinema</v>
      </c>
      <c r="O942" t="str">
        <f>IF(I942=1, "non-original", "original")</f>
        <v>original</v>
      </c>
      <c r="P942" t="str">
        <f>IF(J942 = 1, "franchise", "non-franchise")</f>
        <v>franchise</v>
      </c>
      <c r="Q942" t="str">
        <f>IF(OR(I942 = 1,J942 =1), "old", "new")</f>
        <v>old</v>
      </c>
      <c r="R942">
        <f t="shared" si="28"/>
        <v>0.89246818650968329</v>
      </c>
      <c r="S942">
        <f>IF(Q942="new",1.5,1)*(K942/10)*(1-(MIN(F942,180)/180))</f>
        <v>0.17372222222222222</v>
      </c>
      <c r="T942" t="str">
        <f t="shared" si="29"/>
        <v>Scenario 1: Strong Commitment</v>
      </c>
    </row>
    <row r="943" spans="1:20" x14ac:dyDescent="0.35">
      <c r="A943" t="s">
        <v>1214</v>
      </c>
      <c r="B943" s="1">
        <v>45196</v>
      </c>
      <c r="C943">
        <v>2023</v>
      </c>
      <c r="D943">
        <v>9</v>
      </c>
      <c r="E943" t="s">
        <v>125</v>
      </c>
      <c r="F943">
        <v>133</v>
      </c>
      <c r="G943" t="s">
        <v>1006</v>
      </c>
      <c r="H943" t="s">
        <v>27</v>
      </c>
      <c r="I943">
        <v>1</v>
      </c>
      <c r="J943">
        <v>0</v>
      </c>
      <c r="K943">
        <v>6.7</v>
      </c>
      <c r="L943">
        <v>194589</v>
      </c>
      <c r="M943" t="s">
        <v>983</v>
      </c>
      <c r="N943" t="str">
        <f>IF(ISNUMBER(SEARCH("Streaming", M943)), "streaming", "cinema")</f>
        <v>cinema</v>
      </c>
      <c r="O943" t="str">
        <f>IF(I943=1, "non-original", "original")</f>
        <v>non-original</v>
      </c>
      <c r="P943" t="str">
        <f>IF(J943 = 1, "franchise", "non-franchise")</f>
        <v>non-franchise</v>
      </c>
      <c r="Q943" t="str">
        <f>IF(OR(I943 = 1,J943 =1), "old", "new")</f>
        <v>old</v>
      </c>
      <c r="R943">
        <f t="shared" si="28"/>
        <v>0.97644694023525103</v>
      </c>
      <c r="S943">
        <f>IF(Q943="new",1.5,1)*(K943/10)*(1-(MIN(F943,180)/180))</f>
        <v>0.17494444444444443</v>
      </c>
      <c r="T943" t="str">
        <f t="shared" si="29"/>
        <v>Scenario 1: Strong Commitment</v>
      </c>
    </row>
    <row r="944" spans="1:20" x14ac:dyDescent="0.35">
      <c r="A944" t="s">
        <v>1215</v>
      </c>
      <c r="B944" s="1">
        <v>45238</v>
      </c>
      <c r="C944">
        <v>2023</v>
      </c>
      <c r="D944">
        <v>11</v>
      </c>
      <c r="E944" t="s">
        <v>125</v>
      </c>
      <c r="F944">
        <v>105</v>
      </c>
      <c r="G944" t="s">
        <v>1133</v>
      </c>
      <c r="H944" t="s">
        <v>27</v>
      </c>
      <c r="I944">
        <v>0</v>
      </c>
      <c r="J944">
        <v>1</v>
      </c>
      <c r="K944">
        <v>5.5</v>
      </c>
      <c r="L944">
        <v>161847</v>
      </c>
      <c r="M944" t="s">
        <v>983</v>
      </c>
      <c r="N944" t="str">
        <f>IF(ISNUMBER(SEARCH("Streaming", M944)), "streaming", "cinema")</f>
        <v>cinema</v>
      </c>
      <c r="O944" t="str">
        <f>IF(I944=1, "non-original", "original")</f>
        <v>original</v>
      </c>
      <c r="P944" t="str">
        <f>IF(J944 = 1, "franchise", "non-franchise")</f>
        <v>franchise</v>
      </c>
      <c r="Q944" t="str">
        <f>IF(OR(I944 = 1,J944 =1), "old", "new")</f>
        <v>old</v>
      </c>
      <c r="R944">
        <f t="shared" si="28"/>
        <v>0.7592173250676163</v>
      </c>
      <c r="S944">
        <f>IF(Q944="new",1.5,1)*(K944/10)*(1-(MIN(F944,180)/180))</f>
        <v>0.22916666666666666</v>
      </c>
      <c r="T944" t="str">
        <f t="shared" si="29"/>
        <v>Scenario 1: Strong Commitment</v>
      </c>
    </row>
    <row r="945" spans="1:20" x14ac:dyDescent="0.35">
      <c r="A945" t="s">
        <v>1216</v>
      </c>
      <c r="B945" s="1">
        <v>45245</v>
      </c>
      <c r="C945">
        <v>2023</v>
      </c>
      <c r="D945">
        <v>11</v>
      </c>
      <c r="E945" t="s">
        <v>125</v>
      </c>
      <c r="F945">
        <v>157</v>
      </c>
      <c r="G945" t="s">
        <v>1006</v>
      </c>
      <c r="H945" t="s">
        <v>27</v>
      </c>
      <c r="I945">
        <v>0</v>
      </c>
      <c r="J945">
        <v>1</v>
      </c>
      <c r="K945">
        <v>6.6</v>
      </c>
      <c r="L945">
        <v>179569</v>
      </c>
      <c r="M945" t="s">
        <v>989</v>
      </c>
      <c r="N945" t="str">
        <f>IF(ISNUMBER(SEARCH("Streaming", M945)), "streaming", "cinema")</f>
        <v>cinema</v>
      </c>
      <c r="O945" t="str">
        <f>IF(I945=1, "non-original", "original")</f>
        <v>original</v>
      </c>
      <c r="P945" t="str">
        <f>IF(J945 = 1, "franchise", "non-franchise")</f>
        <v>franchise</v>
      </c>
      <c r="Q945" t="str">
        <f>IF(OR(I945 = 1,J945 =1), "old", "new")</f>
        <v>old</v>
      </c>
      <c r="R945">
        <f t="shared" si="28"/>
        <v>1.1450450486159538</v>
      </c>
      <c r="S945">
        <f>IF(Q945="new",1.5,1)*(K945/10)*(1-(MIN(F945,180)/180))</f>
        <v>8.4333333333333316E-2</v>
      </c>
      <c r="T945" t="str">
        <f t="shared" si="29"/>
        <v>Scenario 1: Strong Commitment</v>
      </c>
    </row>
    <row r="946" spans="1:20" x14ac:dyDescent="0.35">
      <c r="A946" t="s">
        <v>1217</v>
      </c>
      <c r="B946" s="1">
        <v>45246</v>
      </c>
      <c r="C946">
        <v>2023</v>
      </c>
      <c r="D946">
        <v>11</v>
      </c>
      <c r="E946" t="s">
        <v>125</v>
      </c>
      <c r="F946">
        <v>104</v>
      </c>
      <c r="G946" t="s">
        <v>1190</v>
      </c>
      <c r="H946" t="s">
        <v>27</v>
      </c>
      <c r="I946">
        <v>0</v>
      </c>
      <c r="J946">
        <v>0</v>
      </c>
      <c r="K946">
        <v>6.5</v>
      </c>
      <c r="L946">
        <v>30914</v>
      </c>
      <c r="M946" t="s">
        <v>983</v>
      </c>
      <c r="N946" t="str">
        <f>IF(ISNUMBER(SEARCH("Streaming", M946)), "streaming", "cinema")</f>
        <v>cinema</v>
      </c>
      <c r="O946" t="str">
        <f>IF(I946=1, "non-original", "original")</f>
        <v>original</v>
      </c>
      <c r="P946" t="str">
        <f>IF(J946 = 1, "franchise", "non-franchise")</f>
        <v>non-franchise</v>
      </c>
      <c r="Q946" t="str">
        <f>IF(OR(I946 = 1,J946 =1), "old", "new")</f>
        <v>new</v>
      </c>
      <c r="R946">
        <f t="shared" si="28"/>
        <v>0.43213272981884737</v>
      </c>
      <c r="S946">
        <f>IF(Q946="new",1.5,1)*(K946/10)*(1-(MIN(F946,180)/180))</f>
        <v>0.41166666666666674</v>
      </c>
      <c r="T946" t="str">
        <f t="shared" si="29"/>
        <v>Scenario 3: Strong Convenience</v>
      </c>
    </row>
    <row r="947" spans="1:20" x14ac:dyDescent="0.35">
      <c r="A947" t="s">
        <v>1218</v>
      </c>
      <c r="B947" s="1">
        <v>45260</v>
      </c>
      <c r="C947">
        <v>2023</v>
      </c>
      <c r="D947">
        <v>11</v>
      </c>
      <c r="E947" t="s">
        <v>125</v>
      </c>
      <c r="F947">
        <v>266</v>
      </c>
      <c r="G947" t="s">
        <v>1219</v>
      </c>
      <c r="H947" t="s">
        <v>27</v>
      </c>
      <c r="I947">
        <v>0</v>
      </c>
      <c r="J947">
        <v>0</v>
      </c>
      <c r="K947">
        <v>6.6</v>
      </c>
      <c r="L947">
        <v>1042</v>
      </c>
      <c r="M947" t="s">
        <v>983</v>
      </c>
      <c r="N947" t="str">
        <f>IF(ISNUMBER(SEARCH("Streaming", M947)), "streaming", "cinema")</f>
        <v>cinema</v>
      </c>
      <c r="O947" t="str">
        <f>IF(I947=1, "non-original", "original")</f>
        <v>original</v>
      </c>
      <c r="P947" t="str">
        <f>IF(J947 = 1, "franchise", "non-franchise")</f>
        <v>non-franchise</v>
      </c>
      <c r="Q947" t="str">
        <f>IF(OR(I947 = 1,J947 =1), "old", "new")</f>
        <v>new</v>
      </c>
      <c r="R947">
        <f t="shared" si="28"/>
        <v>0.50268412916234517</v>
      </c>
      <c r="S947">
        <f>IF(Q947="new",1.5,1)*(K947/10)*(1-(MIN(F947,180)/180))</f>
        <v>0</v>
      </c>
      <c r="T947" t="str">
        <f t="shared" si="29"/>
        <v>Scenario 1: Strong Commitment</v>
      </c>
    </row>
    <row r="948" spans="1:20" x14ac:dyDescent="0.35">
      <c r="A948" t="s">
        <v>1220</v>
      </c>
      <c r="B948" s="1">
        <v>45280</v>
      </c>
      <c r="C948">
        <v>2023</v>
      </c>
      <c r="D948">
        <v>12</v>
      </c>
      <c r="E948" t="s">
        <v>14</v>
      </c>
      <c r="F948">
        <v>124</v>
      </c>
      <c r="G948" t="s">
        <v>1004</v>
      </c>
      <c r="H948" t="s">
        <v>27</v>
      </c>
      <c r="I948">
        <v>0</v>
      </c>
      <c r="J948">
        <v>1</v>
      </c>
      <c r="K948">
        <v>5.6</v>
      </c>
      <c r="L948">
        <v>116349</v>
      </c>
      <c r="M948" t="s">
        <v>983</v>
      </c>
      <c r="N948" t="str">
        <f>IF(ISNUMBER(SEARCH("Streaming", M948)), "streaming", "cinema")</f>
        <v>cinema</v>
      </c>
      <c r="O948" t="str">
        <f>IF(I948=1, "non-original", "original")</f>
        <v>original</v>
      </c>
      <c r="P948" t="str">
        <f>IF(J948 = 1, "franchise", "non-franchise")</f>
        <v>franchise</v>
      </c>
      <c r="Q948" t="str">
        <f>IF(OR(I948 = 1,J948 =1), "old", "new")</f>
        <v>old</v>
      </c>
      <c r="R948">
        <f t="shared" si="28"/>
        <v>0.87192725131853588</v>
      </c>
      <c r="S948">
        <f>IF(Q948="new",1.5,1)*(K948/10)*(1-(MIN(F948,180)/180))</f>
        <v>0.1742222222222222</v>
      </c>
      <c r="T948" t="str">
        <f t="shared" si="29"/>
        <v>Scenario 1: Strong Commitment</v>
      </c>
    </row>
    <row r="949" spans="1:20" x14ac:dyDescent="0.35">
      <c r="A949" t="s">
        <v>1221</v>
      </c>
      <c r="B949" s="1">
        <v>45301</v>
      </c>
      <c r="C949">
        <v>2024</v>
      </c>
      <c r="D949">
        <v>1</v>
      </c>
      <c r="E949" t="s">
        <v>14</v>
      </c>
      <c r="F949">
        <v>112</v>
      </c>
      <c r="G949" t="s">
        <v>1002</v>
      </c>
      <c r="H949" t="s">
        <v>27</v>
      </c>
      <c r="I949">
        <v>0</v>
      </c>
      <c r="J949">
        <v>0</v>
      </c>
      <c r="K949">
        <v>5.5</v>
      </c>
      <c r="L949">
        <v>40654</v>
      </c>
      <c r="M949" t="s">
        <v>989</v>
      </c>
      <c r="N949" t="str">
        <f>IF(ISNUMBER(SEARCH("Streaming", M949)), "streaming", "cinema")</f>
        <v>cinema</v>
      </c>
      <c r="O949" t="str">
        <f>IF(I949=1, "non-original", "original")</f>
        <v>original</v>
      </c>
      <c r="P949" t="str">
        <f>IF(J949 = 1, "franchise", "non-franchise")</f>
        <v>non-franchise</v>
      </c>
      <c r="Q949" t="str">
        <f>IF(OR(I949 = 1,J949 =1), "old", "new")</f>
        <v>new</v>
      </c>
      <c r="R949">
        <f t="shared" si="28"/>
        <v>0.47770185957560157</v>
      </c>
      <c r="S949">
        <f>IF(Q949="new",1.5,1)*(K949/10)*(1-(MIN(F949,180)/180))</f>
        <v>0.3116666666666667</v>
      </c>
      <c r="T949" t="str">
        <f t="shared" si="29"/>
        <v>Scenario 1: Strong Commitment</v>
      </c>
    </row>
    <row r="950" spans="1:20" x14ac:dyDescent="0.35">
      <c r="A950" t="s">
        <v>1222</v>
      </c>
      <c r="B950" s="1">
        <v>45322</v>
      </c>
      <c r="C950">
        <v>2024</v>
      </c>
      <c r="D950">
        <v>1</v>
      </c>
      <c r="E950" t="s">
        <v>14</v>
      </c>
      <c r="F950">
        <v>139</v>
      </c>
      <c r="G950" t="s">
        <v>1143</v>
      </c>
      <c r="H950" t="s">
        <v>27</v>
      </c>
      <c r="I950">
        <v>1</v>
      </c>
      <c r="J950">
        <v>0</v>
      </c>
      <c r="K950">
        <v>5.6</v>
      </c>
      <c r="L950">
        <v>98987</v>
      </c>
      <c r="M950" t="s">
        <v>983</v>
      </c>
      <c r="N950" t="str">
        <f>IF(ISNUMBER(SEARCH("Streaming", M950)), "streaming", "cinema")</f>
        <v>cinema</v>
      </c>
      <c r="O950" t="str">
        <f>IF(I950=1, "non-original", "original")</f>
        <v>non-original</v>
      </c>
      <c r="P950" t="str">
        <f>IF(J950 = 1, "franchise", "non-franchise")</f>
        <v>non-franchise</v>
      </c>
      <c r="Q950" t="str">
        <f>IF(OR(I950 = 1,J950 =1), "old", "new")</f>
        <v>old</v>
      </c>
      <c r="R950">
        <f t="shared" si="28"/>
        <v>0.96386073101744529</v>
      </c>
      <c r="S950">
        <f>IF(Q950="new",1.5,1)*(K950/10)*(1-(MIN(F950,180)/180))</f>
        <v>0.12755555555555553</v>
      </c>
      <c r="T950" t="str">
        <f t="shared" si="29"/>
        <v>Scenario 1: Strong Commitment</v>
      </c>
    </row>
    <row r="951" spans="1:20" x14ac:dyDescent="0.35">
      <c r="A951" t="s">
        <v>1223</v>
      </c>
      <c r="B951" s="1">
        <v>45336</v>
      </c>
      <c r="C951">
        <v>2024</v>
      </c>
      <c r="D951">
        <v>2</v>
      </c>
      <c r="E951" t="s">
        <v>14</v>
      </c>
      <c r="F951">
        <v>116</v>
      </c>
      <c r="G951" t="s">
        <v>1155</v>
      </c>
      <c r="H951" t="s">
        <v>27</v>
      </c>
      <c r="I951">
        <v>0</v>
      </c>
      <c r="J951">
        <v>1</v>
      </c>
      <c r="K951">
        <v>4.0999999999999996</v>
      </c>
      <c r="L951">
        <v>113277</v>
      </c>
      <c r="M951" t="s">
        <v>983</v>
      </c>
      <c r="N951" t="str">
        <f>IF(ISNUMBER(SEARCH("Streaming", M951)), "streaming", "cinema")</f>
        <v>cinema</v>
      </c>
      <c r="O951" t="str">
        <f>IF(I951=1, "non-original", "original")</f>
        <v>original</v>
      </c>
      <c r="P951" t="str">
        <f>IF(J951 = 1, "franchise", "non-franchise")</f>
        <v>franchise</v>
      </c>
      <c r="Q951" t="str">
        <f>IF(OR(I951 = 1,J951 =1), "old", "new")</f>
        <v>old</v>
      </c>
      <c r="R951">
        <f t="shared" si="28"/>
        <v>0.81380271525955183</v>
      </c>
      <c r="S951">
        <f>IF(Q951="new",1.5,1)*(K951/10)*(1-(MIN(F951,180)/180))</f>
        <v>0.14577777777777776</v>
      </c>
      <c r="T951" t="str">
        <f t="shared" si="29"/>
        <v>Scenario 1: Strong Commitment</v>
      </c>
    </row>
    <row r="952" spans="1:20" x14ac:dyDescent="0.35">
      <c r="A952" t="s">
        <v>1224</v>
      </c>
      <c r="B952" s="1">
        <v>45350</v>
      </c>
      <c r="C952">
        <v>2024</v>
      </c>
      <c r="D952">
        <v>2</v>
      </c>
      <c r="E952" t="s">
        <v>14</v>
      </c>
      <c r="F952">
        <v>166</v>
      </c>
      <c r="G952" t="s">
        <v>1006</v>
      </c>
      <c r="H952" t="s">
        <v>27</v>
      </c>
      <c r="I952">
        <v>0</v>
      </c>
      <c r="J952">
        <v>1</v>
      </c>
      <c r="K952">
        <v>8.4</v>
      </c>
      <c r="L952">
        <v>719990</v>
      </c>
      <c r="M952" t="s">
        <v>989</v>
      </c>
      <c r="N952" t="str">
        <f>IF(ISNUMBER(SEARCH("Streaming", M952)), "streaming", "cinema")</f>
        <v>cinema</v>
      </c>
      <c r="O952" t="str">
        <f>IF(I952=1, "non-original", "original")</f>
        <v>original</v>
      </c>
      <c r="P952" t="str">
        <f>IF(J952 = 1, "franchise", "non-franchise")</f>
        <v>franchise</v>
      </c>
      <c r="Q952" t="str">
        <f>IF(OR(I952 = 1,J952 =1), "old", "new")</f>
        <v>old</v>
      </c>
      <c r="R952">
        <f t="shared" si="28"/>
        <v>1.3496502727542454</v>
      </c>
      <c r="S952">
        <f>IF(Q952="new",1.5,1)*(K952/10)*(1-(MIN(F952,180)/180))</f>
        <v>6.5333333333333299E-2</v>
      </c>
      <c r="T952" t="str">
        <f t="shared" si="29"/>
        <v>Scenario 1: Strong Commitment</v>
      </c>
    </row>
    <row r="953" spans="1:20" x14ac:dyDescent="0.35">
      <c r="A953" t="s">
        <v>1225</v>
      </c>
      <c r="B953" s="1">
        <v>45352</v>
      </c>
      <c r="C953">
        <v>2024</v>
      </c>
      <c r="D953">
        <v>3</v>
      </c>
      <c r="E953" t="s">
        <v>38</v>
      </c>
      <c r="F953">
        <v>126</v>
      </c>
      <c r="G953" t="s">
        <v>995</v>
      </c>
      <c r="H953" t="s">
        <v>27</v>
      </c>
      <c r="I953">
        <v>0</v>
      </c>
      <c r="J953">
        <v>0</v>
      </c>
      <c r="K953">
        <v>6.8</v>
      </c>
      <c r="L953">
        <v>253149</v>
      </c>
      <c r="M953" t="s">
        <v>983</v>
      </c>
      <c r="N953" t="str">
        <f>IF(ISNUMBER(SEARCH("Streaming", M953)), "streaming", "cinema")</f>
        <v>cinema</v>
      </c>
      <c r="O953" t="str">
        <f>IF(I953=1, "non-original", "original")</f>
        <v>original</v>
      </c>
      <c r="P953" t="str">
        <f>IF(J953 = 1, "franchise", "non-franchise")</f>
        <v>non-franchise</v>
      </c>
      <c r="Q953" t="str">
        <f>IF(OR(I953 = 1,J953 =1), "old", "new")</f>
        <v>new</v>
      </c>
      <c r="R953">
        <f t="shared" si="28"/>
        <v>0.63002563547815937</v>
      </c>
      <c r="S953">
        <f>IF(Q953="new",1.5,1)*(K953/10)*(1-(MIN(F953,180)/180))</f>
        <v>0.30600000000000005</v>
      </c>
      <c r="T953" t="str">
        <f t="shared" si="29"/>
        <v>Scenario 1: Strong Commitment</v>
      </c>
    </row>
    <row r="954" spans="1:20" x14ac:dyDescent="0.35">
      <c r="A954" t="s">
        <v>1226</v>
      </c>
      <c r="B954" s="1">
        <v>45357</v>
      </c>
      <c r="C954">
        <v>2024</v>
      </c>
      <c r="D954">
        <v>3</v>
      </c>
      <c r="E954" t="s">
        <v>38</v>
      </c>
      <c r="F954">
        <v>104</v>
      </c>
      <c r="G954" t="s">
        <v>1209</v>
      </c>
      <c r="H954" t="s">
        <v>27</v>
      </c>
      <c r="I954">
        <v>1</v>
      </c>
      <c r="J954">
        <v>0</v>
      </c>
      <c r="K954">
        <v>4.8</v>
      </c>
      <c r="L954">
        <v>19398</v>
      </c>
      <c r="M954" t="s">
        <v>989</v>
      </c>
      <c r="N954" t="str">
        <f>IF(ISNUMBER(SEARCH("Streaming", M954)), "streaming", "cinema")</f>
        <v>cinema</v>
      </c>
      <c r="O954" t="str">
        <f>IF(I954=1, "non-original", "original")</f>
        <v>non-original</v>
      </c>
      <c r="P954" t="str">
        <f>IF(J954 = 1, "franchise", "non-franchise")</f>
        <v>non-franchise</v>
      </c>
      <c r="Q954" t="str">
        <f>IF(OR(I954 = 1,J954 =1), "old", "new")</f>
        <v>old</v>
      </c>
      <c r="R954">
        <f t="shared" si="28"/>
        <v>0.61898087064782981</v>
      </c>
      <c r="S954">
        <f>IF(Q954="new",1.5,1)*(K954/10)*(1-(MIN(F954,180)/180))</f>
        <v>0.20266666666666669</v>
      </c>
      <c r="T954" t="str">
        <f t="shared" si="29"/>
        <v>Scenario 1: Strong Commitment</v>
      </c>
    </row>
    <row r="955" spans="1:20" x14ac:dyDescent="0.35">
      <c r="A955" t="s">
        <v>1227</v>
      </c>
      <c r="B955" s="1">
        <v>45358</v>
      </c>
      <c r="C955">
        <v>2024</v>
      </c>
      <c r="D955">
        <v>3</v>
      </c>
      <c r="E955" t="s">
        <v>38</v>
      </c>
      <c r="F955">
        <v>142</v>
      </c>
      <c r="G955" t="s">
        <v>1000</v>
      </c>
      <c r="H955" t="s">
        <v>27</v>
      </c>
      <c r="I955">
        <v>0</v>
      </c>
      <c r="J955">
        <v>0</v>
      </c>
      <c r="K955">
        <v>7.3</v>
      </c>
      <c r="L955">
        <v>9874</v>
      </c>
      <c r="M955" t="s">
        <v>983</v>
      </c>
      <c r="N955" t="str">
        <f>IF(ISNUMBER(SEARCH("Streaming", M955)), "streaming", "cinema")</f>
        <v>cinema</v>
      </c>
      <c r="O955" t="str">
        <f>IF(I955=1, "non-original", "original")</f>
        <v>original</v>
      </c>
      <c r="P955" t="str">
        <f>IF(J955 = 1, "franchise", "non-franchise")</f>
        <v>non-franchise</v>
      </c>
      <c r="Q955" t="str">
        <f>IF(OR(I955 = 1,J955 =1), "old", "new")</f>
        <v>new</v>
      </c>
      <c r="R955">
        <f t="shared" si="28"/>
        <v>0.52489506704644617</v>
      </c>
      <c r="S955">
        <f>IF(Q955="new",1.5,1)*(K955/10)*(1-(MIN(F955,180)/180))</f>
        <v>0.23116666666666669</v>
      </c>
      <c r="T955" t="str">
        <f t="shared" si="29"/>
        <v>Scenario 1: Strong Commitment</v>
      </c>
    </row>
    <row r="956" spans="1:20" x14ac:dyDescent="0.35">
      <c r="A956" t="s">
        <v>1228</v>
      </c>
      <c r="B956" s="1">
        <v>45366</v>
      </c>
      <c r="C956">
        <v>2024</v>
      </c>
      <c r="D956">
        <v>3</v>
      </c>
      <c r="E956" t="s">
        <v>38</v>
      </c>
      <c r="F956">
        <v>107</v>
      </c>
      <c r="G956" t="s">
        <v>1229</v>
      </c>
      <c r="H956" t="s">
        <v>27</v>
      </c>
      <c r="I956">
        <v>0</v>
      </c>
      <c r="J956">
        <v>0</v>
      </c>
      <c r="K956">
        <v>7</v>
      </c>
      <c r="L956">
        <v>38295</v>
      </c>
      <c r="M956" t="s">
        <v>983</v>
      </c>
      <c r="N956" t="str">
        <f>IF(ISNUMBER(SEARCH("Streaming", M956)), "streaming", "cinema")</f>
        <v>cinema</v>
      </c>
      <c r="O956" t="str">
        <f>IF(I956=1, "non-original", "original")</f>
        <v>original</v>
      </c>
      <c r="P956" t="str">
        <f>IF(J956 = 1, "franchise", "non-franchise")</f>
        <v>non-franchise</v>
      </c>
      <c r="Q956" t="str">
        <f>IF(OR(I956 = 1,J956 =1), "old", "new")</f>
        <v>new</v>
      </c>
      <c r="R956">
        <f t="shared" si="28"/>
        <v>0.4538053034912779</v>
      </c>
      <c r="S956">
        <f>IF(Q956="new",1.5,1)*(K956/10)*(1-(MIN(F956,180)/180))</f>
        <v>0.42583333333333329</v>
      </c>
      <c r="T956" t="str">
        <f t="shared" si="29"/>
        <v>Scenario 3: Strong Convenience</v>
      </c>
    </row>
    <row r="957" spans="1:20" x14ac:dyDescent="0.35">
      <c r="A957" t="s">
        <v>1230</v>
      </c>
      <c r="B957" s="1">
        <v>45371</v>
      </c>
      <c r="C957">
        <v>2024</v>
      </c>
      <c r="D957">
        <v>3</v>
      </c>
      <c r="E957" t="s">
        <v>38</v>
      </c>
      <c r="F957">
        <v>115</v>
      </c>
      <c r="G957" t="s">
        <v>1147</v>
      </c>
      <c r="H957" t="s">
        <v>27</v>
      </c>
      <c r="I957">
        <v>1</v>
      </c>
      <c r="J957">
        <v>1</v>
      </c>
      <c r="K957">
        <v>6.1</v>
      </c>
      <c r="L957">
        <v>104366</v>
      </c>
      <c r="M957" t="s">
        <v>983</v>
      </c>
      <c r="N957" t="str">
        <f>IF(ISNUMBER(SEARCH("Streaming", M957)), "streaming", "cinema")</f>
        <v>cinema</v>
      </c>
      <c r="O957" t="str">
        <f>IF(I957=1, "non-original", "original")</f>
        <v>non-original</v>
      </c>
      <c r="P957" t="str">
        <f>IF(J957 = 1, "franchise", "non-franchise")</f>
        <v>franchise</v>
      </c>
      <c r="Q957" t="str">
        <f>IF(OR(I957 = 1,J957 =1), "old", "new")</f>
        <v>old</v>
      </c>
      <c r="R957">
        <f t="shared" si="28"/>
        <v>0.80110714672503436</v>
      </c>
      <c r="S957">
        <f>IF(Q957="new",1.5,1)*(K957/10)*(1-(MIN(F957,180)/180))</f>
        <v>0.22027777777777779</v>
      </c>
      <c r="T957" t="str">
        <f t="shared" si="29"/>
        <v>Scenario 1: Strong Commitment</v>
      </c>
    </row>
    <row r="958" spans="1:20" x14ac:dyDescent="0.35">
      <c r="A958" t="s">
        <v>1231</v>
      </c>
      <c r="B958" s="1">
        <v>45378</v>
      </c>
      <c r="C958">
        <v>2024</v>
      </c>
      <c r="D958">
        <v>3</v>
      </c>
      <c r="E958" t="s">
        <v>38</v>
      </c>
      <c r="F958">
        <v>115</v>
      </c>
      <c r="G958" t="s">
        <v>1004</v>
      </c>
      <c r="H958" t="s">
        <v>27</v>
      </c>
      <c r="I958">
        <v>1</v>
      </c>
      <c r="J958">
        <v>1</v>
      </c>
      <c r="K958">
        <v>6</v>
      </c>
      <c r="L958">
        <v>132984</v>
      </c>
      <c r="M958" t="s">
        <v>989</v>
      </c>
      <c r="N958" t="str">
        <f>IF(ISNUMBER(SEARCH("Streaming", M958)), "streaming", "cinema")</f>
        <v>cinema</v>
      </c>
      <c r="O958" t="str">
        <f>IF(I958=1, "non-original", "original")</f>
        <v>non-original</v>
      </c>
      <c r="P958" t="str">
        <f>IF(J958 = 1, "franchise", "non-franchise")</f>
        <v>franchise</v>
      </c>
      <c r="Q958" t="str">
        <f>IF(OR(I958 = 1,J958 =1), "old", "new")</f>
        <v>old</v>
      </c>
      <c r="R958">
        <f t="shared" si="28"/>
        <v>0.81790655037353455</v>
      </c>
      <c r="S958">
        <f>IF(Q958="new",1.5,1)*(K958/10)*(1-(MIN(F958,180)/180))</f>
        <v>0.2166666666666667</v>
      </c>
      <c r="T958" t="str">
        <f t="shared" si="29"/>
        <v>Scenario 1: Strong Commitment</v>
      </c>
    </row>
    <row r="959" spans="1:20" x14ac:dyDescent="0.35">
      <c r="A959" t="s">
        <v>1232</v>
      </c>
      <c r="B959" s="1">
        <v>45413</v>
      </c>
      <c r="C959">
        <v>2024</v>
      </c>
      <c r="D959">
        <v>5</v>
      </c>
      <c r="E959" t="s">
        <v>38</v>
      </c>
      <c r="F959">
        <v>92</v>
      </c>
      <c r="G959" t="s">
        <v>92</v>
      </c>
      <c r="H959" t="s">
        <v>27</v>
      </c>
      <c r="I959">
        <v>0</v>
      </c>
      <c r="J959">
        <v>0</v>
      </c>
      <c r="K959">
        <v>4.8</v>
      </c>
      <c r="L959">
        <v>38066</v>
      </c>
      <c r="M959" t="s">
        <v>989</v>
      </c>
      <c r="N959" t="str">
        <f>IF(ISNUMBER(SEARCH("Streaming", M959)), "streaming", "cinema")</f>
        <v>cinema</v>
      </c>
      <c r="O959" t="str">
        <f>IF(I959=1, "non-original", "original")</f>
        <v>original</v>
      </c>
      <c r="P959" t="str">
        <f>IF(J959 = 1, "franchise", "non-franchise")</f>
        <v>non-franchise</v>
      </c>
      <c r="Q959" t="str">
        <f>IF(OR(I959 = 1,J959 =1), "old", "new")</f>
        <v>new</v>
      </c>
      <c r="R959">
        <f t="shared" si="28"/>
        <v>0.3899659742276842</v>
      </c>
      <c r="S959">
        <f>IF(Q959="new",1.5,1)*(K959/10)*(1-(MIN(F959,180)/180))</f>
        <v>0.35200000000000004</v>
      </c>
      <c r="T959" t="str">
        <f t="shared" si="29"/>
        <v>Scenario 3: Strong Convenience</v>
      </c>
    </row>
    <row r="960" spans="1:20" x14ac:dyDescent="0.35">
      <c r="A960" t="s">
        <v>1233</v>
      </c>
      <c r="B960" s="1">
        <v>45420</v>
      </c>
      <c r="C960">
        <v>2024</v>
      </c>
      <c r="D960">
        <v>5</v>
      </c>
      <c r="E960" t="s">
        <v>38</v>
      </c>
      <c r="F960">
        <v>145</v>
      </c>
      <c r="G960" t="s">
        <v>1006</v>
      </c>
      <c r="H960" t="s">
        <v>27</v>
      </c>
      <c r="I960">
        <v>1</v>
      </c>
      <c r="J960">
        <v>1</v>
      </c>
      <c r="K960">
        <v>6.8</v>
      </c>
      <c r="L960">
        <v>166783</v>
      </c>
      <c r="M960" t="s">
        <v>983</v>
      </c>
      <c r="N960" t="str">
        <f>IF(ISNUMBER(SEARCH("Streaming", M960)), "streaming", "cinema")</f>
        <v>cinema</v>
      </c>
      <c r="O960" t="str">
        <f>IF(I960=1, "non-original", "original")</f>
        <v>non-original</v>
      </c>
      <c r="P960" t="str">
        <f>IF(J960 = 1, "franchise", "non-franchise")</f>
        <v>franchise</v>
      </c>
      <c r="Q960" t="str">
        <f>IF(OR(I960 = 1,J960 =1), "old", "new")</f>
        <v>old</v>
      </c>
      <c r="R960">
        <f t="shared" si="28"/>
        <v>1.0510689843323515</v>
      </c>
      <c r="S960">
        <f>IF(Q960="new",1.5,1)*(K960/10)*(1-(MIN(F960,180)/180))</f>
        <v>0.13222222222222219</v>
      </c>
      <c r="T960" t="str">
        <f t="shared" si="29"/>
        <v>Scenario 1: Strong Commitment</v>
      </c>
    </row>
    <row r="961" spans="1:20" x14ac:dyDescent="0.35">
      <c r="A961" t="s">
        <v>1234</v>
      </c>
      <c r="B961" s="1">
        <v>45448</v>
      </c>
      <c r="C961">
        <v>2024</v>
      </c>
      <c r="D961">
        <v>6</v>
      </c>
      <c r="E961" t="s">
        <v>78</v>
      </c>
      <c r="F961">
        <v>102</v>
      </c>
      <c r="G961" t="s">
        <v>1090</v>
      </c>
      <c r="H961" t="s">
        <v>27</v>
      </c>
      <c r="I961">
        <v>0</v>
      </c>
      <c r="J961">
        <v>0</v>
      </c>
      <c r="K961">
        <v>5.7</v>
      </c>
      <c r="L961">
        <v>68116</v>
      </c>
      <c r="M961" t="s">
        <v>983</v>
      </c>
      <c r="N961" t="str">
        <f>IF(ISNUMBER(SEARCH("Streaming", M961)), "streaming", "cinema")</f>
        <v>cinema</v>
      </c>
      <c r="O961" t="str">
        <f>IF(I961=1, "non-original", "original")</f>
        <v>original</v>
      </c>
      <c r="P961" t="str">
        <f>IF(J961 = 1, "franchise", "non-franchise")</f>
        <v>non-franchise</v>
      </c>
      <c r="Q961" t="str">
        <f>IF(OR(I961 = 1,J961 =1), "old", "new")</f>
        <v>new</v>
      </c>
      <c r="R961">
        <f t="shared" si="28"/>
        <v>0.45620687202005566</v>
      </c>
      <c r="S961">
        <f>IF(Q961="new",1.5,1)*(K961/10)*(1-(MIN(F961,180)/180))</f>
        <v>0.37050000000000005</v>
      </c>
      <c r="T961" t="str">
        <f t="shared" si="29"/>
        <v>Scenario 3: Strong Convenience</v>
      </c>
    </row>
    <row r="962" spans="1:20" x14ac:dyDescent="0.35">
      <c r="A962" t="s">
        <v>1235</v>
      </c>
      <c r="B962" s="1">
        <v>45469</v>
      </c>
      <c r="C962">
        <v>2024</v>
      </c>
      <c r="D962">
        <v>6</v>
      </c>
      <c r="E962" t="s">
        <v>78</v>
      </c>
      <c r="F962">
        <v>99</v>
      </c>
      <c r="G962" t="s">
        <v>1236</v>
      </c>
      <c r="H962" t="s">
        <v>27</v>
      </c>
      <c r="I962">
        <v>0</v>
      </c>
      <c r="J962">
        <v>1</v>
      </c>
      <c r="K962">
        <v>6.3</v>
      </c>
      <c r="L962">
        <v>172364</v>
      </c>
      <c r="M962" t="s">
        <v>989</v>
      </c>
      <c r="N962" t="str">
        <f>IF(ISNUMBER(SEARCH("Streaming", M962)), "streaming", "cinema")</f>
        <v>cinema</v>
      </c>
      <c r="O962" t="str">
        <f>IF(I962=1, "non-original", "original")</f>
        <v>original</v>
      </c>
      <c r="P962" t="str">
        <f>IF(J962 = 1, "franchise", "non-franchise")</f>
        <v>franchise</v>
      </c>
      <c r="Q962" t="str">
        <f>IF(OR(I962 = 1,J962 =1), "old", "new")</f>
        <v>old</v>
      </c>
      <c r="R962">
        <f t="shared" si="28"/>
        <v>0.71959079440505713</v>
      </c>
      <c r="S962">
        <f>IF(Q962="new",1.5,1)*(K962/10)*(1-(MIN(F962,180)/180))</f>
        <v>0.28349999999999997</v>
      </c>
      <c r="T962" t="str">
        <f t="shared" si="29"/>
        <v>Scenario 1: Strong Commitment</v>
      </c>
    </row>
    <row r="963" spans="1:20" x14ac:dyDescent="0.35">
      <c r="A963" t="s">
        <v>1237</v>
      </c>
      <c r="B963" s="1">
        <v>45477</v>
      </c>
      <c r="C963">
        <v>2024</v>
      </c>
      <c r="D963">
        <v>7</v>
      </c>
      <c r="E963" t="s">
        <v>78</v>
      </c>
      <c r="F963">
        <v>130</v>
      </c>
      <c r="G963" t="s">
        <v>34</v>
      </c>
      <c r="H963" t="s">
        <v>27</v>
      </c>
      <c r="I963">
        <v>0</v>
      </c>
      <c r="J963">
        <v>0</v>
      </c>
      <c r="K963">
        <v>7.1</v>
      </c>
      <c r="L963">
        <v>2517</v>
      </c>
      <c r="M963" t="s">
        <v>983</v>
      </c>
      <c r="N963" t="str">
        <f>IF(ISNUMBER(SEARCH("Streaming", M963)), "streaming", "cinema")</f>
        <v>cinema</v>
      </c>
      <c r="O963" t="str">
        <f>IF(I963=1, "non-original", "original")</f>
        <v>original</v>
      </c>
      <c r="P963" t="str">
        <f>IF(J963 = 1, "franchise", "non-franchise")</f>
        <v>non-franchise</v>
      </c>
      <c r="Q963" t="str">
        <f>IF(OR(I963 = 1,J963 =1), "old", "new")</f>
        <v>new</v>
      </c>
      <c r="R963">
        <f t="shared" ref="R963:R1026" si="30">IF(Q963="old",1.5,1)*(LOG10(L963)/LOG10(MAX($L$2:$L$1078)))*(MIN(F963,180)/180)</f>
        <v>0.40912643367050666</v>
      </c>
      <c r="S963">
        <f>IF(Q963="new",1.5,1)*(K963/10)*(1-(MIN(F963,180)/180))</f>
        <v>0.29583333333333334</v>
      </c>
      <c r="T963" t="str">
        <f t="shared" ref="T963:T1026" si="31">IF(AND(R963&gt;=AVERAGE($R$2:$R$1078),S963&gt;=AVERAGE($S$2:$S$1078)),"Scenario 4: Hybrid Logic",
 IF(AND(R963&gt;=AVERAGE($R$2:$R$1078),S963&lt;AVERAGE($S$2:$S$1078)),"Scenario 1: Strong Commitment",
  IF(AND(R963&lt;AVERAGE($R$2:$R$1078),S963&gt;=AVERAGE($S$2:$S$1078)),"Scenario 3: Strong Convenience",
   "Scenario 2: Weak Commitment/Convenience")))</f>
        <v>Scenario 2: Weak Commitment/Convenience</v>
      </c>
    </row>
    <row r="964" spans="1:20" x14ac:dyDescent="0.35">
      <c r="A964" t="s">
        <v>1238</v>
      </c>
      <c r="B964" s="1">
        <v>45478</v>
      </c>
      <c r="C964">
        <v>2024</v>
      </c>
      <c r="D964">
        <v>7</v>
      </c>
      <c r="E964" t="s">
        <v>78</v>
      </c>
      <c r="F964">
        <v>132</v>
      </c>
      <c r="G964" t="s">
        <v>1239</v>
      </c>
      <c r="H964" t="s">
        <v>27</v>
      </c>
      <c r="I964">
        <v>1</v>
      </c>
      <c r="J964">
        <v>0</v>
      </c>
      <c r="K964">
        <v>6.6</v>
      </c>
      <c r="L964">
        <v>57637</v>
      </c>
      <c r="M964" t="s">
        <v>983</v>
      </c>
      <c r="N964" t="str">
        <f>IF(ISNUMBER(SEARCH("Streaming", M964)), "streaming", "cinema")</f>
        <v>cinema</v>
      </c>
      <c r="O964" t="str">
        <f>IF(I964=1, "non-original", "original")</f>
        <v>non-original</v>
      </c>
      <c r="P964" t="str">
        <f>IF(J964 = 1, "franchise", "non-franchise")</f>
        <v>non-franchise</v>
      </c>
      <c r="Q964" t="str">
        <f>IF(OR(I964 = 1,J964 =1), "old", "new")</f>
        <v>old</v>
      </c>
      <c r="R964">
        <f t="shared" si="30"/>
        <v>0.8722853910497208</v>
      </c>
      <c r="S964">
        <f>IF(Q964="new",1.5,1)*(K964/10)*(1-(MIN(F964,180)/180))</f>
        <v>0.17600000000000002</v>
      </c>
      <c r="T964" t="str">
        <f t="shared" si="31"/>
        <v>Scenario 1: Strong Commitment</v>
      </c>
    </row>
    <row r="965" spans="1:20" x14ac:dyDescent="0.35">
      <c r="A965" t="s">
        <v>1240</v>
      </c>
      <c r="B965" s="1">
        <v>45484</v>
      </c>
      <c r="C965">
        <v>2024</v>
      </c>
      <c r="D965">
        <v>7</v>
      </c>
      <c r="E965" t="s">
        <v>78</v>
      </c>
      <c r="F965">
        <v>122</v>
      </c>
      <c r="G965" t="s">
        <v>1099</v>
      </c>
      <c r="H965" t="s">
        <v>27</v>
      </c>
      <c r="I965">
        <v>1</v>
      </c>
      <c r="J965">
        <v>1</v>
      </c>
      <c r="K965">
        <v>6.5</v>
      </c>
      <c r="L965">
        <v>192302</v>
      </c>
      <c r="M965" t="s">
        <v>983</v>
      </c>
      <c r="N965" t="str">
        <f>IF(ISNUMBER(SEARCH("Streaming", M965)), "streaming", "cinema")</f>
        <v>cinema</v>
      </c>
      <c r="O965" t="str">
        <f>IF(I965=1, "non-original", "original")</f>
        <v>non-original</v>
      </c>
      <c r="P965" t="str">
        <f>IF(J965 = 1, "franchise", "non-franchise")</f>
        <v>franchise</v>
      </c>
      <c r="Q965" t="str">
        <f>IF(OR(I965 = 1,J965 =1), "old", "new")</f>
        <v>old</v>
      </c>
      <c r="R965">
        <f t="shared" si="30"/>
        <v>0.89481866898927842</v>
      </c>
      <c r="S965">
        <f>IF(Q965="new",1.5,1)*(K965/10)*(1-(MIN(F965,180)/180))</f>
        <v>0.20944444444444443</v>
      </c>
      <c r="T965" t="str">
        <f t="shared" si="31"/>
        <v>Scenario 1: Strong Commitment</v>
      </c>
    </row>
    <row r="966" spans="1:20" x14ac:dyDescent="0.35">
      <c r="A966" t="s">
        <v>1241</v>
      </c>
      <c r="B966" s="1">
        <v>45532</v>
      </c>
      <c r="C966">
        <v>2024</v>
      </c>
      <c r="D966">
        <v>8</v>
      </c>
      <c r="E966" t="s">
        <v>78</v>
      </c>
      <c r="F966">
        <v>84</v>
      </c>
      <c r="G966" t="s">
        <v>1242</v>
      </c>
      <c r="H966" t="s">
        <v>27</v>
      </c>
      <c r="I966">
        <v>1</v>
      </c>
      <c r="J966">
        <v>0</v>
      </c>
      <c r="K966">
        <v>5.2</v>
      </c>
      <c r="L966">
        <v>16818</v>
      </c>
      <c r="M966" t="s">
        <v>983</v>
      </c>
      <c r="N966" t="str">
        <f>IF(ISNUMBER(SEARCH("Streaming", M966)), "streaming", "cinema")</f>
        <v>cinema</v>
      </c>
      <c r="O966" t="str">
        <f>IF(I966=1, "non-original", "original")</f>
        <v>non-original</v>
      </c>
      <c r="P966" t="str">
        <f>IF(J966 = 1, "franchise", "non-franchise")</f>
        <v>non-franchise</v>
      </c>
      <c r="Q966" t="str">
        <f>IF(OR(I966 = 1,J966 =1), "old", "new")</f>
        <v>old</v>
      </c>
      <c r="R966">
        <f t="shared" si="30"/>
        <v>0.49271900800013074</v>
      </c>
      <c r="S966">
        <f>IF(Q966="new",1.5,1)*(K966/10)*(1-(MIN(F966,180)/180))</f>
        <v>0.27733333333333332</v>
      </c>
      <c r="T966" t="str">
        <f t="shared" si="31"/>
        <v>Scenario 1: Strong Commitment</v>
      </c>
    </row>
    <row r="967" spans="1:20" x14ac:dyDescent="0.35">
      <c r="A967" t="s">
        <v>1243</v>
      </c>
      <c r="B967" s="1">
        <v>45534</v>
      </c>
      <c r="C967">
        <v>2024</v>
      </c>
      <c r="D967">
        <v>8</v>
      </c>
      <c r="E967" t="s">
        <v>78</v>
      </c>
      <c r="F967">
        <v>141</v>
      </c>
      <c r="G967" t="s">
        <v>1000</v>
      </c>
      <c r="H967" t="s">
        <v>27</v>
      </c>
      <c r="I967">
        <v>0</v>
      </c>
      <c r="J967">
        <v>0</v>
      </c>
      <c r="K967">
        <v>6.2</v>
      </c>
      <c r="L967">
        <v>12712</v>
      </c>
      <c r="M967" t="s">
        <v>983</v>
      </c>
      <c r="N967" t="str">
        <f>IF(ISNUMBER(SEARCH("Streaming", M967)), "streaming", "cinema")</f>
        <v>cinema</v>
      </c>
      <c r="O967" t="str">
        <f>IF(I967=1, "non-original", "original")</f>
        <v>original</v>
      </c>
      <c r="P967" t="str">
        <f>IF(J967 = 1, "franchise", "non-franchise")</f>
        <v>non-franchise</v>
      </c>
      <c r="Q967" t="str">
        <f>IF(OR(I967 = 1,J967 =1), "old", "new")</f>
        <v>new</v>
      </c>
      <c r="R967">
        <f t="shared" si="30"/>
        <v>0.53551490984621652</v>
      </c>
      <c r="S967">
        <f>IF(Q967="new",1.5,1)*(K967/10)*(1-(MIN(F967,180)/180))</f>
        <v>0.20149999999999998</v>
      </c>
      <c r="T967" t="str">
        <f t="shared" si="31"/>
        <v>Scenario 1: Strong Commitment</v>
      </c>
    </row>
    <row r="968" spans="1:20" x14ac:dyDescent="0.35">
      <c r="A968" t="s">
        <v>1244</v>
      </c>
      <c r="B968" s="1">
        <v>45539</v>
      </c>
      <c r="C968">
        <v>2024</v>
      </c>
      <c r="D968">
        <v>9</v>
      </c>
      <c r="E968" t="s">
        <v>125</v>
      </c>
      <c r="F968">
        <v>105</v>
      </c>
      <c r="G968" t="s">
        <v>1245</v>
      </c>
      <c r="H968" t="s">
        <v>27</v>
      </c>
      <c r="I968">
        <v>1</v>
      </c>
      <c r="J968">
        <v>1</v>
      </c>
      <c r="K968">
        <v>6.6</v>
      </c>
      <c r="L968">
        <v>171511</v>
      </c>
      <c r="M968" t="s">
        <v>989</v>
      </c>
      <c r="N968" t="str">
        <f>IF(ISNUMBER(SEARCH("Streaming", M968)), "streaming", "cinema")</f>
        <v>cinema</v>
      </c>
      <c r="O968" t="str">
        <f>IF(I968=1, "non-original", "original")</f>
        <v>non-original</v>
      </c>
      <c r="P968" t="str">
        <f>IF(J968 = 1, "franchise", "non-franchise")</f>
        <v>franchise</v>
      </c>
      <c r="Q968" t="str">
        <f>IF(OR(I968 = 1,J968 =1), "old", "new")</f>
        <v>old</v>
      </c>
      <c r="R968">
        <f t="shared" si="30"/>
        <v>0.76288833094638464</v>
      </c>
      <c r="S968">
        <f>IF(Q968="new",1.5,1)*(K968/10)*(1-(MIN(F968,180)/180))</f>
        <v>0.27499999999999997</v>
      </c>
      <c r="T968" t="str">
        <f t="shared" si="31"/>
        <v>Scenario 1: Strong Commitment</v>
      </c>
    </row>
    <row r="969" spans="1:20" x14ac:dyDescent="0.35">
      <c r="A969" t="s">
        <v>1246</v>
      </c>
      <c r="B969" s="1">
        <v>45548</v>
      </c>
      <c r="C969">
        <v>2024</v>
      </c>
      <c r="D969">
        <v>9</v>
      </c>
      <c r="E969" t="s">
        <v>125</v>
      </c>
      <c r="F969">
        <v>100</v>
      </c>
      <c r="G969" t="s">
        <v>1247</v>
      </c>
      <c r="H969" t="s">
        <v>27</v>
      </c>
      <c r="I969">
        <v>0</v>
      </c>
      <c r="J969">
        <v>0</v>
      </c>
      <c r="K969">
        <v>6.6</v>
      </c>
      <c r="L969">
        <v>17709</v>
      </c>
      <c r="M969" t="s">
        <v>989</v>
      </c>
      <c r="N969" t="str">
        <f>IF(ISNUMBER(SEARCH("Streaming", M969)), "streaming", "cinema")</f>
        <v>cinema</v>
      </c>
      <c r="O969" t="str">
        <f>IF(I969=1, "non-original", "original")</f>
        <v>original</v>
      </c>
      <c r="P969" t="str">
        <f>IF(J969 = 1, "franchise", "non-franchise")</f>
        <v>non-franchise</v>
      </c>
      <c r="Q969" t="str">
        <f>IF(OR(I969 = 1,J969 =1), "old", "new")</f>
        <v>new</v>
      </c>
      <c r="R969">
        <f t="shared" si="30"/>
        <v>0.39312151627529651</v>
      </c>
      <c r="S969">
        <f>IF(Q969="new",1.5,1)*(K969/10)*(1-(MIN(F969,180)/180))</f>
        <v>0.43999999999999995</v>
      </c>
      <c r="T969" t="str">
        <f t="shared" si="31"/>
        <v>Scenario 3: Strong Convenience</v>
      </c>
    </row>
    <row r="970" spans="1:20" x14ac:dyDescent="0.35">
      <c r="A970" t="s">
        <v>1248</v>
      </c>
      <c r="B970" s="1">
        <v>45588</v>
      </c>
      <c r="C970">
        <v>2024</v>
      </c>
      <c r="D970">
        <v>10</v>
      </c>
      <c r="E970" t="s">
        <v>125</v>
      </c>
      <c r="F970">
        <v>110</v>
      </c>
      <c r="G970" t="s">
        <v>1249</v>
      </c>
      <c r="H970" t="s">
        <v>27</v>
      </c>
      <c r="I970">
        <v>0</v>
      </c>
      <c r="J970">
        <v>1</v>
      </c>
      <c r="K970">
        <v>6</v>
      </c>
      <c r="L970">
        <v>151589</v>
      </c>
      <c r="M970" t="s">
        <v>989</v>
      </c>
      <c r="N970" t="str">
        <f>IF(ISNUMBER(SEARCH("Streaming", M970)), "streaming", "cinema")</f>
        <v>cinema</v>
      </c>
      <c r="O970" t="str">
        <f>IF(I970=1, "non-original", "original")</f>
        <v>original</v>
      </c>
      <c r="P970" t="str">
        <f>IF(J970 = 1, "franchise", "non-franchise")</f>
        <v>franchise</v>
      </c>
      <c r="Q970" t="str">
        <f>IF(OR(I970 = 1,J970 =1), "old", "new")</f>
        <v>old</v>
      </c>
      <c r="R970">
        <f t="shared" si="30"/>
        <v>0.79102853253923977</v>
      </c>
      <c r="S970">
        <f>IF(Q970="new",1.5,1)*(K970/10)*(1-(MIN(F970,180)/180))</f>
        <v>0.23333333333333328</v>
      </c>
      <c r="T970" t="str">
        <f t="shared" si="31"/>
        <v>Scenario 1: Strong Commitment</v>
      </c>
    </row>
    <row r="971" spans="1:20" x14ac:dyDescent="0.35">
      <c r="A971" t="s">
        <v>1250</v>
      </c>
      <c r="B971" s="1">
        <v>45596</v>
      </c>
      <c r="C971">
        <v>2024</v>
      </c>
      <c r="D971">
        <v>10</v>
      </c>
      <c r="E971" t="s">
        <v>125</v>
      </c>
      <c r="F971">
        <v>104</v>
      </c>
      <c r="G971" t="s">
        <v>34</v>
      </c>
      <c r="H971" t="s">
        <v>27</v>
      </c>
      <c r="I971">
        <v>0</v>
      </c>
      <c r="J971">
        <v>0</v>
      </c>
      <c r="K971">
        <v>6.3</v>
      </c>
      <c r="L971">
        <v>27459</v>
      </c>
      <c r="M971" t="s">
        <v>983</v>
      </c>
      <c r="N971" t="str">
        <f>IF(ISNUMBER(SEARCH("Streaming", M971)), "streaming", "cinema")</f>
        <v>cinema</v>
      </c>
      <c r="O971" t="str">
        <f>IF(I971=1, "non-original", "original")</f>
        <v>original</v>
      </c>
      <c r="P971" t="str">
        <f>IF(J971 = 1, "franchise", "non-franchise")</f>
        <v>non-franchise</v>
      </c>
      <c r="Q971" t="str">
        <f>IF(OR(I971 = 1,J971 =1), "old", "new")</f>
        <v>new</v>
      </c>
      <c r="R971">
        <f t="shared" si="30"/>
        <v>0.42717920807983273</v>
      </c>
      <c r="S971">
        <f>IF(Q971="new",1.5,1)*(K971/10)*(1-(MIN(F971,180)/180))</f>
        <v>0.39900000000000008</v>
      </c>
      <c r="T971" t="str">
        <f t="shared" si="31"/>
        <v>Scenario 3: Strong Convenience</v>
      </c>
    </row>
    <row r="972" spans="1:20" x14ac:dyDescent="0.35">
      <c r="A972" t="s">
        <v>1251</v>
      </c>
      <c r="B972" s="1">
        <v>45602</v>
      </c>
      <c r="C972">
        <v>2024</v>
      </c>
      <c r="D972">
        <v>11</v>
      </c>
      <c r="E972" t="s">
        <v>125</v>
      </c>
      <c r="F972">
        <v>123</v>
      </c>
      <c r="G972" t="s">
        <v>1043</v>
      </c>
      <c r="H972" t="s">
        <v>27</v>
      </c>
      <c r="I972">
        <v>1</v>
      </c>
      <c r="J972">
        <v>0</v>
      </c>
      <c r="K972">
        <v>6.2</v>
      </c>
      <c r="L972">
        <v>158204</v>
      </c>
      <c r="M972" t="s">
        <v>983</v>
      </c>
      <c r="N972" t="str">
        <f>IF(ISNUMBER(SEARCH("Streaming", M972)), "streaming", "cinema")</f>
        <v>cinema</v>
      </c>
      <c r="O972" t="str">
        <f>IF(I972=1, "non-original", "original")</f>
        <v>non-original</v>
      </c>
      <c r="P972" t="str">
        <f>IF(J972 = 1, "franchise", "non-franchise")</f>
        <v>non-franchise</v>
      </c>
      <c r="Q972" t="str">
        <f>IF(OR(I972 = 1,J972 =1), "old", "new")</f>
        <v>old</v>
      </c>
      <c r="R972">
        <f t="shared" si="30"/>
        <v>0.88768079093100516</v>
      </c>
      <c r="S972">
        <f>IF(Q972="new",1.5,1)*(K972/10)*(1-(MIN(F972,180)/180))</f>
        <v>0.19633333333333333</v>
      </c>
      <c r="T972" t="str">
        <f t="shared" si="31"/>
        <v>Scenario 1: Strong Commitment</v>
      </c>
    </row>
    <row r="973" spans="1:20" x14ac:dyDescent="0.35">
      <c r="A973" t="s">
        <v>1252</v>
      </c>
      <c r="B973" s="1">
        <v>45631</v>
      </c>
      <c r="C973">
        <v>2024</v>
      </c>
      <c r="D973">
        <v>12</v>
      </c>
      <c r="E973" t="s">
        <v>14</v>
      </c>
      <c r="F973">
        <v>134</v>
      </c>
      <c r="G973" t="s">
        <v>1008</v>
      </c>
      <c r="H973" t="s">
        <v>27</v>
      </c>
      <c r="I973">
        <v>0</v>
      </c>
      <c r="J973">
        <v>1</v>
      </c>
      <c r="K973">
        <v>6.3</v>
      </c>
      <c r="L973">
        <v>39165</v>
      </c>
      <c r="M973" t="s">
        <v>983</v>
      </c>
      <c r="N973" t="str">
        <f>IF(ISNUMBER(SEARCH("Streaming", M973)), "streaming", "cinema")</f>
        <v>cinema</v>
      </c>
      <c r="O973" t="str">
        <f>IF(I973=1, "non-original", "original")</f>
        <v>original</v>
      </c>
      <c r="P973" t="str">
        <f>IF(J973 = 1, "franchise", "non-franchise")</f>
        <v>franchise</v>
      </c>
      <c r="Q973" t="str">
        <f>IF(OR(I973 = 1,J973 =1), "old", "new")</f>
        <v>old</v>
      </c>
      <c r="R973">
        <f t="shared" si="30"/>
        <v>0.85429003312432428</v>
      </c>
      <c r="S973">
        <f>IF(Q973="new",1.5,1)*(K973/10)*(1-(MIN(F973,180)/180))</f>
        <v>0.16099999999999998</v>
      </c>
      <c r="T973" t="str">
        <f t="shared" si="31"/>
        <v>Scenario 1: Strong Commitment</v>
      </c>
    </row>
    <row r="974" spans="1:20" x14ac:dyDescent="0.35">
      <c r="A974" t="s">
        <v>1253</v>
      </c>
      <c r="B974" s="1">
        <v>43840</v>
      </c>
      <c r="C974">
        <v>2020</v>
      </c>
      <c r="D974">
        <v>1</v>
      </c>
      <c r="E974" t="s">
        <v>14</v>
      </c>
      <c r="F974">
        <v>83</v>
      </c>
      <c r="G974" t="s">
        <v>21</v>
      </c>
      <c r="H974" t="s">
        <v>24</v>
      </c>
      <c r="I974">
        <v>1</v>
      </c>
      <c r="J974">
        <v>0</v>
      </c>
      <c r="K974">
        <v>4.7</v>
      </c>
      <c r="L974">
        <v>16156</v>
      </c>
      <c r="M974" t="s">
        <v>983</v>
      </c>
      <c r="N974" t="str">
        <f>IF(ISNUMBER(SEARCH("Streaming", M974)), "streaming", "cinema")</f>
        <v>cinema</v>
      </c>
      <c r="O974" t="str">
        <f>IF(I974=1, "non-original", "original")</f>
        <v>non-original</v>
      </c>
      <c r="P974" t="str">
        <f>IF(J974 = 1, "franchise", "non-franchise")</f>
        <v>non-franchise</v>
      </c>
      <c r="Q974" t="str">
        <f>IF(OR(I974 = 1,J974 =1), "old", "new")</f>
        <v>old</v>
      </c>
      <c r="R974">
        <f t="shared" si="30"/>
        <v>0.48484397749302366</v>
      </c>
      <c r="S974">
        <f>IF(Q974="new",1.5,1)*(K974/10)*(1-(MIN(F974,180)/180))</f>
        <v>0.25327777777777777</v>
      </c>
      <c r="T974" t="str">
        <f t="shared" si="31"/>
        <v>Scenario 1: Strong Commitment</v>
      </c>
    </row>
    <row r="975" spans="1:20" x14ac:dyDescent="0.35">
      <c r="A975" t="s">
        <v>1254</v>
      </c>
      <c r="B975" s="1">
        <v>43861</v>
      </c>
      <c r="C975">
        <v>2020</v>
      </c>
      <c r="D975">
        <v>1</v>
      </c>
      <c r="E975" t="s">
        <v>14</v>
      </c>
      <c r="F975">
        <v>84</v>
      </c>
      <c r="G975" t="s">
        <v>19</v>
      </c>
      <c r="H975" t="s">
        <v>24</v>
      </c>
      <c r="I975">
        <v>1</v>
      </c>
      <c r="J975">
        <v>0</v>
      </c>
      <c r="K975">
        <v>4.7</v>
      </c>
      <c r="L975">
        <v>35</v>
      </c>
      <c r="M975" t="s">
        <v>983</v>
      </c>
      <c r="N975" t="str">
        <f>IF(ISNUMBER(SEARCH("Streaming", M975)), "streaming", "cinema")</f>
        <v>cinema</v>
      </c>
      <c r="O975" t="str">
        <f>IF(I975=1, "non-original", "original")</f>
        <v>non-original</v>
      </c>
      <c r="P975" t="str">
        <f>IF(J975 = 1, "franchise", "non-franchise")</f>
        <v>non-franchise</v>
      </c>
      <c r="Q975" t="str">
        <f>IF(OR(I975 = 1,J975 =1), "old", "new")</f>
        <v>old</v>
      </c>
      <c r="R975">
        <f t="shared" si="30"/>
        <v>0.1800360389406806</v>
      </c>
      <c r="S975">
        <f>IF(Q975="new",1.5,1)*(K975/10)*(1-(MIN(F975,180)/180))</f>
        <v>0.2506666666666667</v>
      </c>
      <c r="T975" t="str">
        <f t="shared" si="31"/>
        <v>Scenario 2: Weak Commitment/Convenience</v>
      </c>
    </row>
    <row r="976" spans="1:20" x14ac:dyDescent="0.35">
      <c r="A976" t="s">
        <v>1255</v>
      </c>
      <c r="B976" s="1">
        <v>43861</v>
      </c>
      <c r="C976">
        <v>2020</v>
      </c>
      <c r="D976">
        <v>1</v>
      </c>
      <c r="E976" t="s">
        <v>14</v>
      </c>
      <c r="F976">
        <v>109</v>
      </c>
      <c r="G976" t="s">
        <v>1256</v>
      </c>
      <c r="H976" t="s">
        <v>24</v>
      </c>
      <c r="I976">
        <v>0</v>
      </c>
      <c r="J976">
        <v>0</v>
      </c>
      <c r="K976">
        <v>5.4</v>
      </c>
      <c r="L976">
        <v>21253</v>
      </c>
      <c r="M976" t="s">
        <v>983</v>
      </c>
      <c r="N976" t="str">
        <f>IF(ISNUMBER(SEARCH("Streaming", M976)), "streaming", "cinema")</f>
        <v>cinema</v>
      </c>
      <c r="O976" t="str">
        <f>IF(I976=1, "non-original", "original")</f>
        <v>original</v>
      </c>
      <c r="P976" t="str">
        <f>IF(J976 = 1, "franchise", "non-franchise")</f>
        <v>non-franchise</v>
      </c>
      <c r="Q976" t="str">
        <f>IF(OR(I976 = 1,J976 =1), "old", "new")</f>
        <v>new</v>
      </c>
      <c r="R976">
        <f t="shared" si="30"/>
        <v>0.43649375976421517</v>
      </c>
      <c r="S976">
        <f>IF(Q976="new",1.5,1)*(K976/10)*(1-(MIN(F976,180)/180))</f>
        <v>0.31950000000000006</v>
      </c>
      <c r="T976" t="str">
        <f t="shared" si="31"/>
        <v>Scenario 3: Strong Convenience</v>
      </c>
    </row>
    <row r="977" spans="1:20" x14ac:dyDescent="0.35">
      <c r="A977" t="s">
        <v>1257</v>
      </c>
      <c r="B977" s="1">
        <v>43887</v>
      </c>
      <c r="C977">
        <v>2020</v>
      </c>
      <c r="D977">
        <v>2</v>
      </c>
      <c r="E977" t="s">
        <v>14</v>
      </c>
      <c r="F977">
        <v>124</v>
      </c>
      <c r="G977" t="s">
        <v>1088</v>
      </c>
      <c r="H977" t="s">
        <v>24</v>
      </c>
      <c r="I977">
        <v>0</v>
      </c>
      <c r="J977">
        <v>0</v>
      </c>
      <c r="K977">
        <v>7.1</v>
      </c>
      <c r="L977">
        <v>281566</v>
      </c>
      <c r="M977" t="s">
        <v>989</v>
      </c>
      <c r="N977" t="str">
        <f>IF(ISNUMBER(SEARCH("Streaming", M977)), "streaming", "cinema")</f>
        <v>cinema</v>
      </c>
      <c r="O977" t="str">
        <f>IF(I977=1, "non-original", "original")</f>
        <v>original</v>
      </c>
      <c r="P977" t="str">
        <f>IF(J977 = 1, "franchise", "non-franchise")</f>
        <v>non-franchise</v>
      </c>
      <c r="Q977" t="str">
        <f>IF(OR(I977 = 1,J977 =1), "old", "new")</f>
        <v>new</v>
      </c>
      <c r="R977">
        <f t="shared" si="30"/>
        <v>0.62532703273950374</v>
      </c>
      <c r="S977">
        <f>IF(Q977="new",1.5,1)*(K977/10)*(1-(MIN(F977,180)/180))</f>
        <v>0.33133333333333331</v>
      </c>
      <c r="T977" t="str">
        <f t="shared" si="31"/>
        <v>Scenario 4: Hybrid Logic</v>
      </c>
    </row>
    <row r="978" spans="1:20" x14ac:dyDescent="0.35">
      <c r="A978" t="s">
        <v>1258</v>
      </c>
      <c r="B978" s="1">
        <v>43895</v>
      </c>
      <c r="C978">
        <v>2020</v>
      </c>
      <c r="D978">
        <v>3</v>
      </c>
      <c r="E978" t="s">
        <v>38</v>
      </c>
      <c r="F978">
        <v>108</v>
      </c>
      <c r="G978" t="s">
        <v>1259</v>
      </c>
      <c r="H978" t="s">
        <v>24</v>
      </c>
      <c r="I978">
        <v>1</v>
      </c>
      <c r="J978">
        <v>0</v>
      </c>
      <c r="K978">
        <v>6.7</v>
      </c>
      <c r="L978">
        <v>56385</v>
      </c>
      <c r="M978" t="s">
        <v>983</v>
      </c>
      <c r="N978" t="str">
        <f>IF(ISNUMBER(SEARCH("Streaming", M978)), "streaming", "cinema")</f>
        <v>cinema</v>
      </c>
      <c r="O978" t="str">
        <f>IF(I978=1, "non-original", "original")</f>
        <v>non-original</v>
      </c>
      <c r="P978" t="str">
        <f>IF(J978 = 1, "franchise", "non-franchise")</f>
        <v>non-franchise</v>
      </c>
      <c r="Q978" t="str">
        <f>IF(OR(I978 = 1,J978 =1), "old", "new")</f>
        <v>old</v>
      </c>
      <c r="R978">
        <f t="shared" si="30"/>
        <v>0.7122582155271473</v>
      </c>
      <c r="S978">
        <f>IF(Q978="new",1.5,1)*(K978/10)*(1-(MIN(F978,180)/180))</f>
        <v>0.26800000000000002</v>
      </c>
      <c r="T978" t="str">
        <f t="shared" si="31"/>
        <v>Scenario 1: Strong Commitment</v>
      </c>
    </row>
    <row r="979" spans="1:20" x14ac:dyDescent="0.35">
      <c r="A979" t="s">
        <v>1260</v>
      </c>
      <c r="B979" s="1">
        <v>43902</v>
      </c>
      <c r="C979">
        <v>2020</v>
      </c>
      <c r="D979">
        <v>3</v>
      </c>
      <c r="E979" t="s">
        <v>38</v>
      </c>
      <c r="F979">
        <v>90</v>
      </c>
      <c r="G979" t="s">
        <v>1261</v>
      </c>
      <c r="H979" t="s">
        <v>24</v>
      </c>
      <c r="I979">
        <v>0</v>
      </c>
      <c r="J979">
        <v>0</v>
      </c>
      <c r="K979">
        <v>6.6</v>
      </c>
      <c r="L979">
        <v>151666</v>
      </c>
      <c r="M979" t="s">
        <v>983</v>
      </c>
      <c r="N979" t="str">
        <f>IF(ISNUMBER(SEARCH("Streaming", M979)), "streaming", "cinema")</f>
        <v>cinema</v>
      </c>
      <c r="O979" t="str">
        <f>IF(I979=1, "non-original", "original")</f>
        <v>original</v>
      </c>
      <c r="P979" t="str">
        <f>IF(J979 = 1, "franchise", "non-franchise")</f>
        <v>non-franchise</v>
      </c>
      <c r="Q979" t="str">
        <f>IF(OR(I979 = 1,J979 =1), "old", "new")</f>
        <v>new</v>
      </c>
      <c r="R979">
        <f t="shared" si="30"/>
        <v>0.43148847666534473</v>
      </c>
      <c r="S979">
        <f>IF(Q979="new",1.5,1)*(K979/10)*(1-(MIN(F979,180)/180))</f>
        <v>0.49499999999999994</v>
      </c>
      <c r="T979" t="str">
        <f t="shared" si="31"/>
        <v>Scenario 3: Strong Convenience</v>
      </c>
    </row>
    <row r="980" spans="1:20" x14ac:dyDescent="0.35">
      <c r="A980" t="s">
        <v>1262</v>
      </c>
      <c r="B980" s="1">
        <v>43970</v>
      </c>
      <c r="C980">
        <v>2020</v>
      </c>
      <c r="D980">
        <v>5</v>
      </c>
      <c r="E980" t="s">
        <v>38</v>
      </c>
      <c r="F980">
        <v>96</v>
      </c>
      <c r="G980" t="s">
        <v>1263</v>
      </c>
      <c r="H980" t="s">
        <v>24</v>
      </c>
      <c r="I980">
        <v>0</v>
      </c>
      <c r="J980">
        <v>0</v>
      </c>
      <c r="K980">
        <v>8.1999999999999993</v>
      </c>
      <c r="L980">
        <v>123</v>
      </c>
      <c r="M980" t="s">
        <v>983</v>
      </c>
      <c r="N980" t="str">
        <f>IF(ISNUMBER(SEARCH("Streaming", M980)), "streaming", "cinema")</f>
        <v>cinema</v>
      </c>
      <c r="O980" t="str">
        <f>IF(I980=1, "non-original", "original")</f>
        <v>original</v>
      </c>
      <c r="P980" t="str">
        <f>IF(J980 = 1, "franchise", "non-franchise")</f>
        <v>non-franchise</v>
      </c>
      <c r="Q980" t="str">
        <f>IF(OR(I980 = 1,J980 =1), "old", "new")</f>
        <v>new</v>
      </c>
      <c r="R980">
        <f t="shared" si="30"/>
        <v>0.18566082259548317</v>
      </c>
      <c r="S980">
        <f>IF(Q980="new",1.5,1)*(K980/10)*(1-(MIN(F980,180)/180))</f>
        <v>0.57399999999999995</v>
      </c>
      <c r="T980" t="str">
        <f t="shared" si="31"/>
        <v>Scenario 3: Strong Convenience</v>
      </c>
    </row>
    <row r="981" spans="1:20" x14ac:dyDescent="0.35">
      <c r="A981" t="s">
        <v>1264</v>
      </c>
      <c r="B981" s="1">
        <v>44022</v>
      </c>
      <c r="C981">
        <v>2020</v>
      </c>
      <c r="D981">
        <v>7</v>
      </c>
      <c r="E981" t="s">
        <v>78</v>
      </c>
      <c r="F981">
        <v>90</v>
      </c>
      <c r="G981" t="s">
        <v>1265</v>
      </c>
      <c r="H981" t="s">
        <v>24</v>
      </c>
      <c r="I981">
        <v>1</v>
      </c>
      <c r="J981">
        <v>0</v>
      </c>
      <c r="K981">
        <v>7.4</v>
      </c>
      <c r="L981">
        <v>211789</v>
      </c>
      <c r="M981" t="s">
        <v>983</v>
      </c>
      <c r="N981" t="str">
        <f>IF(ISNUMBER(SEARCH("Streaming", M981)), "streaming", "cinema")</f>
        <v>cinema</v>
      </c>
      <c r="O981" t="str">
        <f>IF(I981=1, "non-original", "original")</f>
        <v>non-original</v>
      </c>
      <c r="P981" t="str">
        <f>IF(J981 = 1, "franchise", "non-franchise")</f>
        <v>non-franchise</v>
      </c>
      <c r="Q981" t="str">
        <f>IF(OR(I981 = 1,J981 =1), "old", "new")</f>
        <v>old</v>
      </c>
      <c r="R981">
        <f t="shared" si="30"/>
        <v>0.66534902168367516</v>
      </c>
      <c r="S981">
        <f>IF(Q981="new",1.5,1)*(K981/10)*(1-(MIN(F981,180)/180))</f>
        <v>0.37</v>
      </c>
      <c r="T981" t="str">
        <f t="shared" si="31"/>
        <v>Scenario 4: Hybrid Logic</v>
      </c>
    </row>
    <row r="982" spans="1:20" x14ac:dyDescent="0.35">
      <c r="A982" t="s">
        <v>1266</v>
      </c>
      <c r="B982" s="1">
        <v>44028</v>
      </c>
      <c r="C982">
        <v>2020</v>
      </c>
      <c r="D982">
        <v>7</v>
      </c>
      <c r="E982" t="s">
        <v>78</v>
      </c>
      <c r="F982">
        <v>90</v>
      </c>
      <c r="G982" t="s">
        <v>1155</v>
      </c>
      <c r="H982" t="s">
        <v>24</v>
      </c>
      <c r="I982">
        <v>1</v>
      </c>
      <c r="J982">
        <v>0</v>
      </c>
      <c r="K982">
        <v>6</v>
      </c>
      <c r="L982">
        <v>86199</v>
      </c>
      <c r="M982" t="s">
        <v>983</v>
      </c>
      <c r="N982" t="str">
        <f>IF(ISNUMBER(SEARCH("Streaming", M982)), "streaming", "cinema")</f>
        <v>cinema</v>
      </c>
      <c r="O982" t="str">
        <f>IF(I982=1, "non-original", "original")</f>
        <v>non-original</v>
      </c>
      <c r="P982" t="str">
        <f>IF(J982 = 1, "franchise", "non-franchise")</f>
        <v>non-franchise</v>
      </c>
      <c r="Q982" t="str">
        <f>IF(OR(I982 = 1,J982 =1), "old", "new")</f>
        <v>old</v>
      </c>
      <c r="R982">
        <f t="shared" si="30"/>
        <v>0.61657738268102014</v>
      </c>
      <c r="S982">
        <f>IF(Q982="new",1.5,1)*(K982/10)*(1-(MIN(F982,180)/180))</f>
        <v>0.3</v>
      </c>
      <c r="T982" t="str">
        <f t="shared" si="31"/>
        <v>Scenario 1: Strong Commitment</v>
      </c>
    </row>
    <row r="983" spans="1:20" x14ac:dyDescent="0.35">
      <c r="A983" t="s">
        <v>1267</v>
      </c>
      <c r="B983" s="1">
        <v>44043</v>
      </c>
      <c r="C983">
        <v>2020</v>
      </c>
      <c r="D983">
        <v>7</v>
      </c>
      <c r="E983" t="s">
        <v>78</v>
      </c>
      <c r="F983">
        <v>123</v>
      </c>
      <c r="G983" t="s">
        <v>982</v>
      </c>
      <c r="H983" t="s">
        <v>24</v>
      </c>
      <c r="I983">
        <v>1</v>
      </c>
      <c r="J983">
        <v>0</v>
      </c>
      <c r="K983">
        <v>4.9000000000000004</v>
      </c>
      <c r="L983">
        <v>3388</v>
      </c>
      <c r="M983" t="s">
        <v>983</v>
      </c>
      <c r="N983" t="str">
        <f>IF(ISNUMBER(SEARCH("Streaming", M983)), "streaming", "cinema")</f>
        <v>cinema</v>
      </c>
      <c r="O983" t="str">
        <f>IF(I983=1, "non-original", "original")</f>
        <v>non-original</v>
      </c>
      <c r="P983" t="str">
        <f>IF(J983 = 1, "franchise", "non-franchise")</f>
        <v>non-franchise</v>
      </c>
      <c r="Q983" t="str">
        <f>IF(OR(I983 = 1,J983 =1), "old", "new")</f>
        <v>old</v>
      </c>
      <c r="R983">
        <f t="shared" si="30"/>
        <v>0.60267972533972025</v>
      </c>
      <c r="S983">
        <f>IF(Q983="new",1.5,1)*(K983/10)*(1-(MIN(F983,180)/180))</f>
        <v>0.15516666666666667</v>
      </c>
      <c r="T983" t="str">
        <f t="shared" si="31"/>
        <v>Scenario 1: Strong Commitment</v>
      </c>
    </row>
    <row r="984" spans="1:20" x14ac:dyDescent="0.35">
      <c r="A984" t="s">
        <v>1268</v>
      </c>
      <c r="B984" s="1">
        <v>44082</v>
      </c>
      <c r="C984">
        <v>2020</v>
      </c>
      <c r="D984">
        <v>9</v>
      </c>
      <c r="E984" t="s">
        <v>125</v>
      </c>
      <c r="F984">
        <v>85</v>
      </c>
      <c r="G984" t="s">
        <v>34</v>
      </c>
      <c r="H984" t="s">
        <v>24</v>
      </c>
      <c r="I984">
        <v>1</v>
      </c>
      <c r="J984">
        <v>0</v>
      </c>
      <c r="K984">
        <v>6.8</v>
      </c>
      <c r="L984">
        <v>5887</v>
      </c>
      <c r="M984" t="s">
        <v>989</v>
      </c>
      <c r="N984" t="str">
        <f>IF(ISNUMBER(SEARCH("Streaming", M984)), "streaming", "cinema")</f>
        <v>cinema</v>
      </c>
      <c r="O984" t="str">
        <f>IF(I984=1, "non-original", "original")</f>
        <v>non-original</v>
      </c>
      <c r="P984" t="str">
        <f>IF(J984 = 1, "franchise", "non-franchise")</f>
        <v>non-franchise</v>
      </c>
      <c r="Q984" t="str">
        <f>IF(OR(I984 = 1,J984 =1), "old", "new")</f>
        <v>old</v>
      </c>
      <c r="R984">
        <f t="shared" si="30"/>
        <v>0.44479694643359285</v>
      </c>
      <c r="S984">
        <f>IF(Q984="new",1.5,1)*(K984/10)*(1-(MIN(F984,180)/180))</f>
        <v>0.35888888888888887</v>
      </c>
      <c r="T984" t="str">
        <f t="shared" si="31"/>
        <v>Scenario 3: Strong Convenience</v>
      </c>
    </row>
    <row r="985" spans="1:20" x14ac:dyDescent="0.35">
      <c r="A985" t="s">
        <v>148</v>
      </c>
      <c r="B985" s="1">
        <v>44106</v>
      </c>
      <c r="C985">
        <v>2020</v>
      </c>
      <c r="D985">
        <v>10</v>
      </c>
      <c r="E985" t="s">
        <v>125</v>
      </c>
      <c r="F985">
        <v>129</v>
      </c>
      <c r="G985" t="s">
        <v>1269</v>
      </c>
      <c r="H985" t="s">
        <v>24</v>
      </c>
      <c r="I985">
        <v>0</v>
      </c>
      <c r="J985">
        <v>0</v>
      </c>
      <c r="K985">
        <v>7.7</v>
      </c>
      <c r="L985">
        <v>204413</v>
      </c>
      <c r="M985" t="s">
        <v>983</v>
      </c>
      <c r="N985" t="str">
        <f>IF(ISNUMBER(SEARCH("Streaming", M985)), "streaming", "cinema")</f>
        <v>cinema</v>
      </c>
      <c r="O985" t="str">
        <f>IF(I985=1, "non-original", "original")</f>
        <v>original</v>
      </c>
      <c r="P985" t="str">
        <f>IF(J985 = 1, "franchise", "non-franchise")</f>
        <v>non-franchise</v>
      </c>
      <c r="Q985" t="str">
        <f>IF(OR(I985 = 1,J985 =1), "old", "new")</f>
        <v>new</v>
      </c>
      <c r="R985">
        <f t="shared" si="30"/>
        <v>0.63394019443319116</v>
      </c>
      <c r="S985">
        <f>IF(Q985="new",1.5,1)*(K985/10)*(1-(MIN(F985,180)/180))</f>
        <v>0.32724999999999999</v>
      </c>
      <c r="T985" t="str">
        <f t="shared" si="31"/>
        <v>Scenario 4: Hybrid Logic</v>
      </c>
    </row>
    <row r="986" spans="1:20" x14ac:dyDescent="0.35">
      <c r="A986" t="s">
        <v>172</v>
      </c>
      <c r="B986" s="1">
        <v>44146</v>
      </c>
      <c r="C986">
        <v>2020</v>
      </c>
      <c r="D986">
        <v>11</v>
      </c>
      <c r="E986" t="s">
        <v>125</v>
      </c>
      <c r="F986">
        <v>116</v>
      </c>
      <c r="G986" t="s">
        <v>1097</v>
      </c>
      <c r="H986" t="s">
        <v>24</v>
      </c>
      <c r="I986">
        <v>0</v>
      </c>
      <c r="J986">
        <v>0</v>
      </c>
      <c r="K986">
        <v>6.7</v>
      </c>
      <c r="L986">
        <v>60682</v>
      </c>
      <c r="M986" t="s">
        <v>983</v>
      </c>
      <c r="N986" t="str">
        <f>IF(ISNUMBER(SEARCH("Streaming", M986)), "streaming", "cinema")</f>
        <v>cinema</v>
      </c>
      <c r="O986" t="str">
        <f>IF(I986=1, "non-original", "original")</f>
        <v>original</v>
      </c>
      <c r="P986" t="str">
        <f>IF(J986 = 1, "franchise", "non-franchise")</f>
        <v>non-franchise</v>
      </c>
      <c r="Q986" t="str">
        <f>IF(OR(I986 = 1,J986 =1), "old", "new")</f>
        <v>new</v>
      </c>
      <c r="R986">
        <f t="shared" si="30"/>
        <v>0.51343595329489167</v>
      </c>
      <c r="S986">
        <f>IF(Q986="new",1.5,1)*(K986/10)*(1-(MIN(F986,180)/180))</f>
        <v>0.35733333333333334</v>
      </c>
      <c r="T986" t="str">
        <f t="shared" si="31"/>
        <v>Scenario 4: Hybrid Logic</v>
      </c>
    </row>
    <row r="987" spans="1:20" x14ac:dyDescent="0.35">
      <c r="A987" t="s">
        <v>1270</v>
      </c>
      <c r="B987" s="1">
        <v>44147</v>
      </c>
      <c r="C987">
        <v>2020</v>
      </c>
      <c r="D987">
        <v>11</v>
      </c>
      <c r="E987" t="s">
        <v>125</v>
      </c>
      <c r="F987">
        <v>102</v>
      </c>
      <c r="G987" t="s">
        <v>1271</v>
      </c>
      <c r="H987" t="s">
        <v>24</v>
      </c>
      <c r="I987">
        <v>1</v>
      </c>
      <c r="J987">
        <v>0</v>
      </c>
      <c r="K987">
        <v>6.3</v>
      </c>
      <c r="L987">
        <v>80996</v>
      </c>
      <c r="M987" t="s">
        <v>989</v>
      </c>
      <c r="N987" t="str">
        <f>IF(ISNUMBER(SEARCH("Streaming", M987)), "streaming", "cinema")</f>
        <v>cinema</v>
      </c>
      <c r="O987" t="str">
        <f>IF(I987=1, "non-original", "original")</f>
        <v>non-original</v>
      </c>
      <c r="P987" t="str">
        <f>IF(J987 = 1, "franchise", "non-franchise")</f>
        <v>non-franchise</v>
      </c>
      <c r="Q987" t="str">
        <f>IF(OR(I987 = 1,J987 =1), "old", "new")</f>
        <v>old</v>
      </c>
      <c r="R987">
        <f t="shared" si="30"/>
        <v>0.69495946176828582</v>
      </c>
      <c r="S987">
        <f>IF(Q987="new",1.5,1)*(K987/10)*(1-(MIN(F987,180)/180))</f>
        <v>0.27300000000000002</v>
      </c>
      <c r="T987" t="str">
        <f t="shared" si="31"/>
        <v>Scenario 1: Strong Commitment</v>
      </c>
    </row>
    <row r="988" spans="1:20" x14ac:dyDescent="0.35">
      <c r="A988" t="s">
        <v>1272</v>
      </c>
      <c r="B988" s="1">
        <v>44148</v>
      </c>
      <c r="C988">
        <v>2020</v>
      </c>
      <c r="D988">
        <v>11</v>
      </c>
      <c r="E988" t="s">
        <v>125</v>
      </c>
      <c r="F988">
        <v>94</v>
      </c>
      <c r="G988" t="s">
        <v>982</v>
      </c>
      <c r="H988" t="s">
        <v>24</v>
      </c>
      <c r="I988">
        <v>0</v>
      </c>
      <c r="J988">
        <v>0</v>
      </c>
      <c r="K988">
        <v>5.3</v>
      </c>
      <c r="L988">
        <v>8996</v>
      </c>
      <c r="M988" t="s">
        <v>983</v>
      </c>
      <c r="N988" t="str">
        <f>IF(ISNUMBER(SEARCH("Streaming", M988)), "streaming", "cinema")</f>
        <v>cinema</v>
      </c>
      <c r="O988" t="str">
        <f>IF(I988=1, "non-original", "original")</f>
        <v>original</v>
      </c>
      <c r="P988" t="str">
        <f>IF(J988 = 1, "franchise", "non-franchise")</f>
        <v>non-franchise</v>
      </c>
      <c r="Q988" t="str">
        <f>IF(OR(I988 = 1,J988 =1), "old", "new")</f>
        <v>new</v>
      </c>
      <c r="R988">
        <f t="shared" si="30"/>
        <v>0.34394770720291462</v>
      </c>
      <c r="S988">
        <f>IF(Q988="new",1.5,1)*(K988/10)*(1-(MIN(F988,180)/180))</f>
        <v>0.3798333333333333</v>
      </c>
      <c r="T988" t="str">
        <f t="shared" si="31"/>
        <v>Scenario 3: Strong Convenience</v>
      </c>
    </row>
    <row r="989" spans="1:20" x14ac:dyDescent="0.35">
      <c r="A989" t="s">
        <v>1273</v>
      </c>
      <c r="B989" s="1">
        <v>44224</v>
      </c>
      <c r="C989">
        <v>2021</v>
      </c>
      <c r="D989">
        <v>1</v>
      </c>
      <c r="E989" t="s">
        <v>14</v>
      </c>
      <c r="F989">
        <v>128</v>
      </c>
      <c r="G989" t="s">
        <v>1158</v>
      </c>
      <c r="H989" t="s">
        <v>24</v>
      </c>
      <c r="I989">
        <v>1</v>
      </c>
      <c r="J989">
        <v>0</v>
      </c>
      <c r="K989">
        <v>6.3</v>
      </c>
      <c r="L989">
        <v>140107</v>
      </c>
      <c r="M989" t="s">
        <v>983</v>
      </c>
      <c r="N989" t="str">
        <f>IF(ISNUMBER(SEARCH("Streaming", M989)), "streaming", "cinema")</f>
        <v>cinema</v>
      </c>
      <c r="O989" t="str">
        <f>IF(I989=1, "non-original", "original")</f>
        <v>non-original</v>
      </c>
      <c r="P989" t="str">
        <f>IF(J989 = 1, "franchise", "non-franchise")</f>
        <v>non-franchise</v>
      </c>
      <c r="Q989" t="str">
        <f>IF(OR(I989 = 1,J989 =1), "old", "new")</f>
        <v>old</v>
      </c>
      <c r="R989">
        <f t="shared" si="30"/>
        <v>0.91439172142230929</v>
      </c>
      <c r="S989">
        <f>IF(Q989="new",1.5,1)*(K989/10)*(1-(MIN(F989,180)/180))</f>
        <v>0.182</v>
      </c>
      <c r="T989" t="str">
        <f t="shared" si="31"/>
        <v>Scenario 1: Strong Commitment</v>
      </c>
    </row>
    <row r="990" spans="1:20" x14ac:dyDescent="0.35">
      <c r="A990" t="s">
        <v>1274</v>
      </c>
      <c r="B990" s="1">
        <v>44239</v>
      </c>
      <c r="C990">
        <v>2021</v>
      </c>
      <c r="D990">
        <v>2</v>
      </c>
      <c r="E990" t="s">
        <v>14</v>
      </c>
      <c r="F990">
        <v>126</v>
      </c>
      <c r="G990" t="s">
        <v>1207</v>
      </c>
      <c r="H990" t="s">
        <v>24</v>
      </c>
      <c r="I990">
        <v>0</v>
      </c>
      <c r="J990">
        <v>0</v>
      </c>
      <c r="K990">
        <v>7.4</v>
      </c>
      <c r="L990">
        <v>114007</v>
      </c>
      <c r="M990" t="s">
        <v>983</v>
      </c>
      <c r="N990" t="str">
        <f>IF(ISNUMBER(SEARCH("Streaming", M990)), "streaming", "cinema")</f>
        <v>cinema</v>
      </c>
      <c r="O990" t="str">
        <f>IF(I990=1, "non-original", "original")</f>
        <v>original</v>
      </c>
      <c r="P990" t="str">
        <f>IF(J990 = 1, "franchise", "non-franchise")</f>
        <v>non-franchise</v>
      </c>
      <c r="Q990" t="str">
        <f>IF(OR(I990 = 1,J990 =1), "old", "new")</f>
        <v>new</v>
      </c>
      <c r="R990">
        <f t="shared" si="30"/>
        <v>0.58963069857986428</v>
      </c>
      <c r="S990">
        <f>IF(Q990="new",1.5,1)*(K990/10)*(1-(MIN(F990,180)/180))</f>
        <v>0.33300000000000002</v>
      </c>
      <c r="T990" t="str">
        <f t="shared" si="31"/>
        <v>Scenario 4: Hybrid Logic</v>
      </c>
    </row>
    <row r="991" spans="1:20" x14ac:dyDescent="0.35">
      <c r="A991" t="s">
        <v>1275</v>
      </c>
      <c r="B991" s="1">
        <v>44262</v>
      </c>
      <c r="C991">
        <v>2021</v>
      </c>
      <c r="D991">
        <v>3</v>
      </c>
      <c r="E991" t="s">
        <v>38</v>
      </c>
      <c r="F991">
        <v>112</v>
      </c>
      <c r="G991" t="s">
        <v>1209</v>
      </c>
      <c r="H991" t="s">
        <v>24</v>
      </c>
      <c r="I991">
        <v>1</v>
      </c>
      <c r="J991">
        <v>1</v>
      </c>
      <c r="K991">
        <v>6.2</v>
      </c>
      <c r="L991">
        <v>167379</v>
      </c>
      <c r="M991" t="s">
        <v>989</v>
      </c>
      <c r="N991" t="str">
        <f>IF(ISNUMBER(SEARCH("Streaming", M991)), "streaming", "cinema")</f>
        <v>cinema</v>
      </c>
      <c r="O991" t="str">
        <f>IF(I991=1, "non-original", "original")</f>
        <v>non-original</v>
      </c>
      <c r="P991" t="str">
        <f>IF(J991 = 1, "franchise", "non-franchise")</f>
        <v>franchise</v>
      </c>
      <c r="Q991" t="str">
        <f>IF(OR(I991 = 1,J991 =1), "old", "new")</f>
        <v>old</v>
      </c>
      <c r="R991">
        <f t="shared" si="30"/>
        <v>0.81210102493777891</v>
      </c>
      <c r="S991">
        <f>IF(Q991="new",1.5,1)*(K991/10)*(1-(MIN(F991,180)/180))</f>
        <v>0.23422222222222222</v>
      </c>
      <c r="T991" t="str">
        <f t="shared" si="31"/>
        <v>Scenario 1: Strong Commitment</v>
      </c>
    </row>
    <row r="992" spans="1:20" x14ac:dyDescent="0.35">
      <c r="A992" t="s">
        <v>1276</v>
      </c>
      <c r="B992" s="1">
        <v>44274</v>
      </c>
      <c r="C992">
        <v>2021</v>
      </c>
      <c r="D992">
        <v>3</v>
      </c>
      <c r="E992" t="s">
        <v>38</v>
      </c>
      <c r="F992">
        <v>92</v>
      </c>
      <c r="G992" t="s">
        <v>982</v>
      </c>
      <c r="H992" t="s">
        <v>24</v>
      </c>
      <c r="I992">
        <v>1</v>
      </c>
      <c r="J992">
        <v>1</v>
      </c>
      <c r="K992">
        <v>7.4</v>
      </c>
      <c r="L992">
        <v>387360</v>
      </c>
      <c r="M992" t="s">
        <v>989</v>
      </c>
      <c r="N992" t="str">
        <f>IF(ISNUMBER(SEARCH("Streaming", M992)), "streaming", "cinema")</f>
        <v>cinema</v>
      </c>
      <c r="O992" t="str">
        <f>IF(I992=1, "non-original", "original")</f>
        <v>non-original</v>
      </c>
      <c r="P992" t="str">
        <f>IF(J992 = 1, "franchise", "non-franchise")</f>
        <v>franchise</v>
      </c>
      <c r="Q992" t="str">
        <f>IF(OR(I992 = 1,J992 =1), "old", "new")</f>
        <v>old</v>
      </c>
      <c r="R992">
        <f t="shared" si="30"/>
        <v>0.71361976951534833</v>
      </c>
      <c r="S992">
        <f>IF(Q992="new",1.5,1)*(K992/10)*(1-(MIN(F992,180)/180))</f>
        <v>0.36177777777777781</v>
      </c>
      <c r="T992" t="str">
        <f t="shared" si="31"/>
        <v>Scenario 4: Hybrid Logic</v>
      </c>
    </row>
    <row r="993" spans="1:20" x14ac:dyDescent="0.35">
      <c r="A993" t="s">
        <v>1277</v>
      </c>
      <c r="B993" s="1">
        <v>44294</v>
      </c>
      <c r="C993">
        <v>2021</v>
      </c>
      <c r="D993">
        <v>4</v>
      </c>
      <c r="E993" t="s">
        <v>38</v>
      </c>
      <c r="F993">
        <v>110</v>
      </c>
      <c r="G993" t="s">
        <v>1004</v>
      </c>
      <c r="H993" t="s">
        <v>24</v>
      </c>
      <c r="I993">
        <v>0</v>
      </c>
      <c r="J993">
        <v>1</v>
      </c>
      <c r="K993">
        <v>6.1</v>
      </c>
      <c r="L993">
        <v>203402</v>
      </c>
      <c r="M993" t="s">
        <v>983</v>
      </c>
      <c r="N993" t="str">
        <f>IF(ISNUMBER(SEARCH("Streaming", M993)), "streaming", "cinema")</f>
        <v>cinema</v>
      </c>
      <c r="O993" t="str">
        <f>IF(I993=1, "non-original", "original")</f>
        <v>original</v>
      </c>
      <c r="P993" t="str">
        <f>IF(J993 = 1, "franchise", "non-franchise")</f>
        <v>franchise</v>
      </c>
      <c r="Q993" t="str">
        <f>IF(OR(I993 = 1,J993 =1), "old", "new")</f>
        <v>old</v>
      </c>
      <c r="R993">
        <f t="shared" si="30"/>
        <v>0.81052495390218215</v>
      </c>
      <c r="S993">
        <f>IF(Q993="new",1.5,1)*(K993/10)*(1-(MIN(F993,180)/180))</f>
        <v>0.2372222222222222</v>
      </c>
      <c r="T993" t="str">
        <f t="shared" si="31"/>
        <v>Scenario 1: Strong Commitment</v>
      </c>
    </row>
    <row r="994" spans="1:20" x14ac:dyDescent="0.35">
      <c r="A994" t="s">
        <v>1278</v>
      </c>
      <c r="B994" s="1">
        <v>44308</v>
      </c>
      <c r="C994">
        <v>2021</v>
      </c>
      <c r="D994">
        <v>4</v>
      </c>
      <c r="E994" t="s">
        <v>38</v>
      </c>
      <c r="F994">
        <v>119</v>
      </c>
      <c r="G994" t="s">
        <v>1126</v>
      </c>
      <c r="H994" t="s">
        <v>24</v>
      </c>
      <c r="I994">
        <v>0</v>
      </c>
      <c r="J994">
        <v>0</v>
      </c>
      <c r="K994">
        <v>7.1</v>
      </c>
      <c r="L994">
        <v>236258</v>
      </c>
      <c r="M994" t="s">
        <v>989</v>
      </c>
      <c r="N994" t="str">
        <f>IF(ISNUMBER(SEARCH("Streaming", M994)), "streaming", "cinema")</f>
        <v>cinema</v>
      </c>
      <c r="O994" t="str">
        <f>IF(I994=1, "non-original", "original")</f>
        <v>original</v>
      </c>
      <c r="P994" t="str">
        <f>IF(J994 = 1, "franchise", "non-franchise")</f>
        <v>non-franchise</v>
      </c>
      <c r="Q994" t="str">
        <f>IF(OR(I994 = 1,J994 =1), "old", "new")</f>
        <v>new</v>
      </c>
      <c r="R994">
        <f t="shared" si="30"/>
        <v>0.59172172175159909</v>
      </c>
      <c r="S994">
        <f>IF(Q994="new",1.5,1)*(K994/10)*(1-(MIN(F994,180)/180))</f>
        <v>0.36091666666666666</v>
      </c>
      <c r="T994" t="str">
        <f t="shared" si="31"/>
        <v>Scenario 4: Hybrid Logic</v>
      </c>
    </row>
    <row r="995" spans="1:20" x14ac:dyDescent="0.35">
      <c r="A995" t="s">
        <v>1279</v>
      </c>
      <c r="B995" s="1">
        <v>44328</v>
      </c>
      <c r="C995">
        <v>2021</v>
      </c>
      <c r="D995">
        <v>5</v>
      </c>
      <c r="E995" t="s">
        <v>38</v>
      </c>
      <c r="F995">
        <v>93</v>
      </c>
      <c r="G995" t="s">
        <v>1209</v>
      </c>
      <c r="H995" t="s">
        <v>24</v>
      </c>
      <c r="I995">
        <v>1</v>
      </c>
      <c r="J995">
        <v>1</v>
      </c>
      <c r="K995">
        <v>5.2</v>
      </c>
      <c r="L995">
        <v>76424</v>
      </c>
      <c r="M995" t="s">
        <v>983</v>
      </c>
      <c r="N995" t="str">
        <f>IF(ISNUMBER(SEARCH("Streaming", M995)), "streaming", "cinema")</f>
        <v>cinema</v>
      </c>
      <c r="O995" t="str">
        <f>IF(I995=1, "non-original", "original")</f>
        <v>non-original</v>
      </c>
      <c r="P995" t="str">
        <f>IF(J995 = 1, "franchise", "non-franchise")</f>
        <v>franchise</v>
      </c>
      <c r="Q995" t="str">
        <f>IF(OR(I995 = 1,J995 =1), "old", "new")</f>
        <v>old</v>
      </c>
      <c r="R995">
        <f t="shared" si="30"/>
        <v>0.6303820465458202</v>
      </c>
      <c r="S995">
        <f>IF(Q995="new",1.5,1)*(K995/10)*(1-(MIN(F995,180)/180))</f>
        <v>0.2513333333333333</v>
      </c>
      <c r="T995" t="str">
        <f t="shared" si="31"/>
        <v>Scenario 1: Strong Commitment</v>
      </c>
    </row>
    <row r="996" spans="1:20" x14ac:dyDescent="0.35">
      <c r="A996" t="s">
        <v>1280</v>
      </c>
      <c r="B996" s="1">
        <v>44369</v>
      </c>
      <c r="C996">
        <v>2021</v>
      </c>
      <c r="D996">
        <v>6</v>
      </c>
      <c r="E996" t="s">
        <v>78</v>
      </c>
      <c r="F996">
        <v>119</v>
      </c>
      <c r="G996" t="s">
        <v>1207</v>
      </c>
      <c r="H996" t="s">
        <v>24</v>
      </c>
      <c r="I996">
        <v>0</v>
      </c>
      <c r="J996">
        <v>0</v>
      </c>
      <c r="K996">
        <v>6.2</v>
      </c>
      <c r="L996">
        <v>11209</v>
      </c>
      <c r="M996" t="s">
        <v>983</v>
      </c>
      <c r="N996" t="str">
        <f>IF(ISNUMBER(SEARCH("Streaming", M996)), "streaming", "cinema")</f>
        <v>cinema</v>
      </c>
      <c r="O996" t="str">
        <f>IF(I996=1, "non-original", "original")</f>
        <v>original</v>
      </c>
      <c r="P996" t="str">
        <f>IF(J996 = 1, "franchise", "non-franchise")</f>
        <v>non-franchise</v>
      </c>
      <c r="Q996" t="str">
        <f>IF(OR(I996 = 1,J996 =1), "old", "new")</f>
        <v>new</v>
      </c>
      <c r="R996">
        <f t="shared" si="30"/>
        <v>0.44594161797672288</v>
      </c>
      <c r="S996">
        <f>IF(Q996="new",1.5,1)*(K996/10)*(1-(MIN(F996,180)/180))</f>
        <v>0.31516666666666665</v>
      </c>
      <c r="T996" t="str">
        <f t="shared" si="31"/>
        <v>Scenario 2: Weak Commitment/Convenience</v>
      </c>
    </row>
    <row r="997" spans="1:20" x14ac:dyDescent="0.35">
      <c r="A997" t="s">
        <v>1281</v>
      </c>
      <c r="B997" s="1">
        <v>44378</v>
      </c>
      <c r="C997">
        <v>2021</v>
      </c>
      <c r="D997">
        <v>7</v>
      </c>
      <c r="E997" t="s">
        <v>78</v>
      </c>
      <c r="F997">
        <v>103</v>
      </c>
      <c r="G997" t="s">
        <v>982</v>
      </c>
      <c r="H997" t="s">
        <v>24</v>
      </c>
      <c r="I997">
        <v>1</v>
      </c>
      <c r="J997">
        <v>1</v>
      </c>
      <c r="K997">
        <v>5.4</v>
      </c>
      <c r="L997">
        <v>48352</v>
      </c>
      <c r="M997" t="s">
        <v>989</v>
      </c>
      <c r="N997" t="str">
        <f>IF(ISNUMBER(SEARCH("Streaming", M997)), "streaming", "cinema")</f>
        <v>cinema</v>
      </c>
      <c r="O997" t="str">
        <f>IF(I997=1, "non-original", "original")</f>
        <v>non-original</v>
      </c>
      <c r="P997" t="str">
        <f>IF(J997 = 1, "franchise", "non-franchise")</f>
        <v>franchise</v>
      </c>
      <c r="Q997" t="str">
        <f>IF(OR(I997 = 1,J997 =1), "old", "new")</f>
        <v>old</v>
      </c>
      <c r="R997">
        <f t="shared" si="30"/>
        <v>0.66974004066543402</v>
      </c>
      <c r="S997">
        <f>IF(Q997="new",1.5,1)*(K997/10)*(1-(MIN(F997,180)/180))</f>
        <v>0.23100000000000004</v>
      </c>
      <c r="T997" t="str">
        <f t="shared" si="31"/>
        <v>Scenario 1: Strong Commitment</v>
      </c>
    </row>
    <row r="998" spans="1:20" x14ac:dyDescent="0.35">
      <c r="A998" t="s">
        <v>1282</v>
      </c>
      <c r="B998" s="1">
        <v>44384</v>
      </c>
      <c r="C998">
        <v>2021</v>
      </c>
      <c r="D998">
        <v>7</v>
      </c>
      <c r="E998" t="s">
        <v>78</v>
      </c>
      <c r="F998">
        <v>141</v>
      </c>
      <c r="G998" t="s">
        <v>1128</v>
      </c>
      <c r="H998" t="s">
        <v>24</v>
      </c>
      <c r="I998">
        <v>1</v>
      </c>
      <c r="J998">
        <v>0</v>
      </c>
      <c r="K998">
        <v>6.3</v>
      </c>
      <c r="L998">
        <v>24232</v>
      </c>
      <c r="M998" t="s">
        <v>983</v>
      </c>
      <c r="N998" t="str">
        <f>IF(ISNUMBER(SEARCH("Streaming", M998)), "streaming", "cinema")</f>
        <v>cinema</v>
      </c>
      <c r="O998" t="str">
        <f>IF(I998=1, "non-original", "original")</f>
        <v>non-original</v>
      </c>
      <c r="P998" t="str">
        <f>IF(J998 = 1, "franchise", "non-franchise")</f>
        <v>non-franchise</v>
      </c>
      <c r="Q998" t="str">
        <f>IF(OR(I998 = 1,J998 =1), "old", "new")</f>
        <v>old</v>
      </c>
      <c r="R998">
        <f t="shared" si="30"/>
        <v>0.85810799061155651</v>
      </c>
      <c r="S998">
        <f>IF(Q998="new",1.5,1)*(K998/10)*(1-(MIN(F998,180)/180))</f>
        <v>0.13650000000000001</v>
      </c>
      <c r="T998" t="str">
        <f t="shared" si="31"/>
        <v>Scenario 1: Strong Commitment</v>
      </c>
    </row>
    <row r="999" spans="1:20" x14ac:dyDescent="0.35">
      <c r="A999" t="s">
        <v>1283</v>
      </c>
      <c r="B999" s="1">
        <v>44400</v>
      </c>
      <c r="C999">
        <v>2021</v>
      </c>
      <c r="D999">
        <v>7</v>
      </c>
      <c r="E999" t="s">
        <v>78</v>
      </c>
      <c r="F999">
        <v>99</v>
      </c>
      <c r="G999" t="s">
        <v>1284</v>
      </c>
      <c r="H999" t="s">
        <v>24</v>
      </c>
      <c r="I999">
        <v>0</v>
      </c>
      <c r="J999">
        <v>0</v>
      </c>
      <c r="K999">
        <v>4.5999999999999996</v>
      </c>
      <c r="L999">
        <v>12747</v>
      </c>
      <c r="M999" t="s">
        <v>983</v>
      </c>
      <c r="N999" t="str">
        <f>IF(ISNUMBER(SEARCH("Streaming", M999)), "streaming", "cinema")</f>
        <v>cinema</v>
      </c>
      <c r="O999" t="str">
        <f>IF(I999=1, "non-original", "original")</f>
        <v>original</v>
      </c>
      <c r="P999" t="str">
        <f>IF(J999 = 1, "franchise", "non-franchise")</f>
        <v>non-franchise</v>
      </c>
      <c r="Q999" t="str">
        <f>IF(OR(I999 = 1,J999 =1), "old", "new")</f>
        <v>new</v>
      </c>
      <c r="R999">
        <f t="shared" si="30"/>
        <v>0.376109225689083</v>
      </c>
      <c r="S999">
        <f>IF(Q999="new",1.5,1)*(K999/10)*(1-(MIN(F999,180)/180))</f>
        <v>0.31049999999999994</v>
      </c>
      <c r="T999" t="str">
        <f t="shared" si="31"/>
        <v>Scenario 2: Weak Commitment/Convenience</v>
      </c>
    </row>
    <row r="1000" spans="1:20" x14ac:dyDescent="0.35">
      <c r="A1000" t="s">
        <v>1285</v>
      </c>
      <c r="B1000" s="1">
        <v>44405</v>
      </c>
      <c r="C1000">
        <v>2021</v>
      </c>
      <c r="D1000">
        <v>7</v>
      </c>
      <c r="E1000" t="s">
        <v>78</v>
      </c>
      <c r="F1000">
        <v>132</v>
      </c>
      <c r="G1000" t="s">
        <v>1043</v>
      </c>
      <c r="H1000" t="s">
        <v>24</v>
      </c>
      <c r="I1000">
        <v>0</v>
      </c>
      <c r="J1000">
        <v>1</v>
      </c>
      <c r="K1000">
        <v>7.2</v>
      </c>
      <c r="L1000">
        <v>454863</v>
      </c>
      <c r="M1000" t="s">
        <v>983</v>
      </c>
      <c r="N1000" t="str">
        <f>IF(ISNUMBER(SEARCH("Streaming", M1000)), "streaming", "cinema")</f>
        <v>cinema</v>
      </c>
      <c r="O1000" t="str">
        <f>IF(I1000=1, "non-original", "original")</f>
        <v>original</v>
      </c>
      <c r="P1000" t="str">
        <f>IF(J1000 = 1, "franchise", "non-franchise")</f>
        <v>franchise</v>
      </c>
      <c r="Q1000" t="str">
        <f>IF(OR(I1000 = 1,J1000 =1), "old", "new")</f>
        <v>old</v>
      </c>
      <c r="R1000">
        <f t="shared" si="30"/>
        <v>1.036672166635435</v>
      </c>
      <c r="S1000">
        <f>IF(Q1000="new",1.5,1)*(K1000/10)*(1-(MIN(F1000,180)/180))</f>
        <v>0.19200000000000003</v>
      </c>
      <c r="T1000" t="str">
        <f t="shared" si="31"/>
        <v>Scenario 1: Strong Commitment</v>
      </c>
    </row>
    <row r="1001" spans="1:20" x14ac:dyDescent="0.35">
      <c r="A1001" t="s">
        <v>1286</v>
      </c>
      <c r="B1001" s="1">
        <v>44407</v>
      </c>
      <c r="C1001">
        <v>2021</v>
      </c>
      <c r="D1001">
        <v>7</v>
      </c>
      <c r="E1001" t="s">
        <v>78</v>
      </c>
      <c r="F1001">
        <v>130</v>
      </c>
      <c r="G1001" t="s">
        <v>1287</v>
      </c>
      <c r="H1001" t="s">
        <v>24</v>
      </c>
      <c r="I1001">
        <v>0</v>
      </c>
      <c r="J1001">
        <v>0</v>
      </c>
      <c r="K1001">
        <v>6.6</v>
      </c>
      <c r="L1001">
        <v>130351</v>
      </c>
      <c r="M1001" t="s">
        <v>983</v>
      </c>
      <c r="N1001" t="str">
        <f>IF(ISNUMBER(SEARCH("Streaming", M1001)), "streaming", "cinema")</f>
        <v>cinema</v>
      </c>
      <c r="O1001" t="str">
        <f>IF(I1001=1, "non-original", "original")</f>
        <v>original</v>
      </c>
      <c r="P1001" t="str">
        <f>IF(J1001 = 1, "franchise", "non-franchise")</f>
        <v>non-franchise</v>
      </c>
      <c r="Q1001" t="str">
        <f>IF(OR(I1001 = 1,J1001 =1), "old", "new")</f>
        <v>new</v>
      </c>
      <c r="R1001">
        <f t="shared" si="30"/>
        <v>0.6153485333813814</v>
      </c>
      <c r="S1001">
        <f>IF(Q1001="new",1.5,1)*(K1001/10)*(1-(MIN(F1001,180)/180))</f>
        <v>0.27499999999999997</v>
      </c>
      <c r="T1001" t="str">
        <f t="shared" si="31"/>
        <v>Scenario 1: Strong Commitment</v>
      </c>
    </row>
    <row r="1002" spans="1:20" x14ac:dyDescent="0.35">
      <c r="A1002" t="s">
        <v>1288</v>
      </c>
      <c r="B1002" s="1">
        <v>44441</v>
      </c>
      <c r="C1002">
        <v>2021</v>
      </c>
      <c r="D1002">
        <v>9</v>
      </c>
      <c r="E1002" t="s">
        <v>125</v>
      </c>
      <c r="F1002">
        <v>111</v>
      </c>
      <c r="G1002" t="s">
        <v>1289</v>
      </c>
      <c r="H1002" t="s">
        <v>24</v>
      </c>
      <c r="I1002">
        <v>1</v>
      </c>
      <c r="J1002">
        <v>0</v>
      </c>
      <c r="K1002">
        <v>6.2</v>
      </c>
      <c r="L1002">
        <v>120701</v>
      </c>
      <c r="M1002" t="s">
        <v>983</v>
      </c>
      <c r="N1002" t="str">
        <f>IF(ISNUMBER(SEARCH("Streaming", M1002)), "streaming", "cinema")</f>
        <v>cinema</v>
      </c>
      <c r="O1002" t="str">
        <f>IF(I1002=1, "non-original", "original")</f>
        <v>non-original</v>
      </c>
      <c r="P1002" t="str">
        <f>IF(J1002 = 1, "franchise", "non-franchise")</f>
        <v>non-franchise</v>
      </c>
      <c r="Q1002" t="str">
        <f>IF(OR(I1002 = 1,J1002 =1), "old", "new")</f>
        <v>old</v>
      </c>
      <c r="R1002">
        <f t="shared" si="30"/>
        <v>0.78297276995007425</v>
      </c>
      <c r="S1002">
        <f>IF(Q1002="new",1.5,1)*(K1002/10)*(1-(MIN(F1002,180)/180))</f>
        <v>0.23766666666666664</v>
      </c>
      <c r="T1002" t="str">
        <f t="shared" si="31"/>
        <v>Scenario 1: Strong Commitment</v>
      </c>
    </row>
    <row r="1003" spans="1:20" x14ac:dyDescent="0.35">
      <c r="A1003" t="s">
        <v>1290</v>
      </c>
      <c r="B1003" s="1">
        <v>44463</v>
      </c>
      <c r="C1003">
        <v>2021</v>
      </c>
      <c r="D1003">
        <v>9</v>
      </c>
      <c r="E1003" t="s">
        <v>125</v>
      </c>
      <c r="F1003">
        <v>120</v>
      </c>
      <c r="G1003" t="s">
        <v>1291</v>
      </c>
      <c r="H1003" t="s">
        <v>24</v>
      </c>
      <c r="I1003">
        <v>0</v>
      </c>
      <c r="J1003">
        <v>0</v>
      </c>
      <c r="K1003">
        <v>6.3</v>
      </c>
      <c r="L1003">
        <v>68239</v>
      </c>
      <c r="M1003" t="s">
        <v>983</v>
      </c>
      <c r="N1003" t="str">
        <f>IF(ISNUMBER(SEARCH("Streaming", M1003)), "streaming", "cinema")</f>
        <v>cinema</v>
      </c>
      <c r="O1003" t="str">
        <f>IF(I1003=1, "non-original", "original")</f>
        <v>original</v>
      </c>
      <c r="P1003" t="str">
        <f>IF(J1003 = 1, "franchise", "non-franchise")</f>
        <v>non-franchise</v>
      </c>
      <c r="Q1003" t="str">
        <f>IF(OR(I1003 = 1,J1003 =1), "old", "new")</f>
        <v>new</v>
      </c>
      <c r="R1003">
        <f t="shared" si="30"/>
        <v>0.53680097367957602</v>
      </c>
      <c r="S1003">
        <f>IF(Q1003="new",1.5,1)*(K1003/10)*(1-(MIN(F1003,180)/180))</f>
        <v>0.31500000000000006</v>
      </c>
      <c r="T1003" t="str">
        <f t="shared" si="31"/>
        <v>Scenario 1: Strong Commitment</v>
      </c>
    </row>
    <row r="1004" spans="1:20" x14ac:dyDescent="0.35">
      <c r="A1004" t="s">
        <v>1292</v>
      </c>
      <c r="B1004" s="1">
        <v>44482</v>
      </c>
      <c r="C1004">
        <v>2021</v>
      </c>
      <c r="D1004">
        <v>10</v>
      </c>
      <c r="E1004" t="s">
        <v>125</v>
      </c>
      <c r="F1004">
        <v>152</v>
      </c>
      <c r="G1004" t="s">
        <v>1269</v>
      </c>
      <c r="H1004" t="s">
        <v>24</v>
      </c>
      <c r="I1004">
        <v>0</v>
      </c>
      <c r="J1004">
        <v>0</v>
      </c>
      <c r="K1004">
        <v>7.3</v>
      </c>
      <c r="L1004">
        <v>204666</v>
      </c>
      <c r="M1004" t="s">
        <v>983</v>
      </c>
      <c r="N1004" t="str">
        <f>IF(ISNUMBER(SEARCH("Streaming", M1004)), "streaming", "cinema")</f>
        <v>cinema</v>
      </c>
      <c r="O1004" t="str">
        <f>IF(I1004=1, "non-original", "original")</f>
        <v>original</v>
      </c>
      <c r="P1004" t="str">
        <f>IF(J1004 = 1, "franchise", "non-franchise")</f>
        <v>non-franchise</v>
      </c>
      <c r="Q1004" t="str">
        <f>IF(OR(I1004 = 1,J1004 =1), "old", "new")</f>
        <v>new</v>
      </c>
      <c r="R1004">
        <f t="shared" si="30"/>
        <v>0.74704385142923846</v>
      </c>
      <c r="S1004">
        <f>IF(Q1004="new",1.5,1)*(K1004/10)*(1-(MIN(F1004,180)/180))</f>
        <v>0.17033333333333334</v>
      </c>
      <c r="T1004" t="str">
        <f t="shared" si="31"/>
        <v>Scenario 1: Strong Commitment</v>
      </c>
    </row>
    <row r="1005" spans="1:20" x14ac:dyDescent="0.35">
      <c r="A1005" t="s">
        <v>1293</v>
      </c>
      <c r="B1005" s="1">
        <v>44483</v>
      </c>
      <c r="C1005">
        <v>2021</v>
      </c>
      <c r="D1005">
        <v>10</v>
      </c>
      <c r="E1005" t="s">
        <v>125</v>
      </c>
      <c r="F1005">
        <v>105</v>
      </c>
      <c r="G1005" t="s">
        <v>1294</v>
      </c>
      <c r="H1005" t="s">
        <v>24</v>
      </c>
      <c r="I1005">
        <v>1</v>
      </c>
      <c r="J1005">
        <v>1</v>
      </c>
      <c r="K1005">
        <v>5.5</v>
      </c>
      <c r="L1005">
        <v>107638</v>
      </c>
      <c r="M1005" t="s">
        <v>989</v>
      </c>
      <c r="N1005" t="str">
        <f>IF(ISNUMBER(SEARCH("Streaming", M1005)), "streaming", "cinema")</f>
        <v>cinema</v>
      </c>
      <c r="O1005" t="str">
        <f>IF(I1005=1, "non-original", "original")</f>
        <v>non-original</v>
      </c>
      <c r="P1005" t="str">
        <f>IF(J1005 = 1, "franchise", "non-franchise")</f>
        <v>franchise</v>
      </c>
      <c r="Q1005" t="str">
        <f>IF(OR(I1005 = 1,J1005 =1), "old", "new")</f>
        <v>old</v>
      </c>
      <c r="R1005">
        <f t="shared" si="30"/>
        <v>0.73339963996274815</v>
      </c>
      <c r="S1005">
        <f>IF(Q1005="new",1.5,1)*(K1005/10)*(1-(MIN(F1005,180)/180))</f>
        <v>0.22916666666666666</v>
      </c>
      <c r="T1005" t="str">
        <f t="shared" si="31"/>
        <v>Scenario 1: Strong Commitment</v>
      </c>
    </row>
    <row r="1006" spans="1:20" x14ac:dyDescent="0.35">
      <c r="A1006" t="s">
        <v>1295</v>
      </c>
      <c r="B1006" s="1">
        <v>44496</v>
      </c>
      <c r="C1006">
        <v>2021</v>
      </c>
      <c r="D1006">
        <v>10</v>
      </c>
      <c r="E1006" t="s">
        <v>125</v>
      </c>
      <c r="F1006">
        <v>116</v>
      </c>
      <c r="G1006" t="s">
        <v>1088</v>
      </c>
      <c r="H1006" t="s">
        <v>24</v>
      </c>
      <c r="I1006">
        <v>1</v>
      </c>
      <c r="J1006">
        <v>0</v>
      </c>
      <c r="K1006">
        <v>7</v>
      </c>
      <c r="L1006">
        <v>198460</v>
      </c>
      <c r="M1006" t="s">
        <v>983</v>
      </c>
      <c r="N1006" t="str">
        <f>IF(ISNUMBER(SEARCH("Streaming", M1006)), "streaming", "cinema")</f>
        <v>cinema</v>
      </c>
      <c r="O1006" t="str">
        <f>IF(I1006=1, "non-original", "original")</f>
        <v>non-original</v>
      </c>
      <c r="P1006" t="str">
        <f>IF(J1006 = 1, "franchise", "non-franchise")</f>
        <v>non-franchise</v>
      </c>
      <c r="Q1006" t="str">
        <f>IF(OR(I1006 = 1,J1006 =1), "old", "new")</f>
        <v>old</v>
      </c>
      <c r="R1006">
        <f t="shared" si="30"/>
        <v>0.8530153850531732</v>
      </c>
      <c r="S1006">
        <f>IF(Q1006="new",1.5,1)*(K1006/10)*(1-(MIN(F1006,180)/180))</f>
        <v>0.24888888888888885</v>
      </c>
      <c r="T1006" t="str">
        <f t="shared" si="31"/>
        <v>Scenario 1: Strong Commitment</v>
      </c>
    </row>
    <row r="1007" spans="1:20" x14ac:dyDescent="0.35">
      <c r="A1007" t="s">
        <v>1296</v>
      </c>
      <c r="B1007" s="1">
        <v>44498</v>
      </c>
      <c r="C1007">
        <v>2021</v>
      </c>
      <c r="D1007">
        <v>10</v>
      </c>
      <c r="E1007" t="s">
        <v>125</v>
      </c>
      <c r="F1007">
        <v>105</v>
      </c>
      <c r="G1007" t="s">
        <v>34</v>
      </c>
      <c r="H1007" t="s">
        <v>24</v>
      </c>
      <c r="I1007">
        <v>0</v>
      </c>
      <c r="J1007">
        <v>0</v>
      </c>
      <c r="K1007">
        <v>6.1</v>
      </c>
      <c r="L1007">
        <v>3398</v>
      </c>
      <c r="M1007" t="s">
        <v>983</v>
      </c>
      <c r="N1007" t="str">
        <f>IF(ISNUMBER(SEARCH("Streaming", M1007)), "streaming", "cinema")</f>
        <v>cinema</v>
      </c>
      <c r="O1007" t="str">
        <f>IF(I1007=1, "non-original", "original")</f>
        <v>original</v>
      </c>
      <c r="P1007" t="str">
        <f>IF(J1007 = 1, "franchise", "non-franchise")</f>
        <v>non-franchise</v>
      </c>
      <c r="Q1007" t="str">
        <f>IF(OR(I1007 = 1,J1007 =1), "old", "new")</f>
        <v>new</v>
      </c>
      <c r="R1007">
        <f t="shared" si="30"/>
        <v>0.34311283068766574</v>
      </c>
      <c r="S1007">
        <f>IF(Q1007="new",1.5,1)*(K1007/10)*(1-(MIN(F1007,180)/180))</f>
        <v>0.38124999999999998</v>
      </c>
      <c r="T1007" t="str">
        <f t="shared" si="31"/>
        <v>Scenario 3: Strong Convenience</v>
      </c>
    </row>
    <row r="1008" spans="1:20" x14ac:dyDescent="0.35">
      <c r="A1008" t="s">
        <v>336</v>
      </c>
      <c r="B1008" s="1">
        <v>44517</v>
      </c>
      <c r="C1008">
        <v>2021</v>
      </c>
      <c r="D1008">
        <v>11</v>
      </c>
      <c r="E1008" t="s">
        <v>125</v>
      </c>
      <c r="F1008">
        <v>126</v>
      </c>
      <c r="G1008" t="s">
        <v>1297</v>
      </c>
      <c r="H1008" t="s">
        <v>24</v>
      </c>
      <c r="I1008">
        <v>0</v>
      </c>
      <c r="J1008">
        <v>0</v>
      </c>
      <c r="K1008">
        <v>6.8</v>
      </c>
      <c r="L1008">
        <v>221465</v>
      </c>
      <c r="M1008" t="s">
        <v>983</v>
      </c>
      <c r="N1008" t="str">
        <f>IF(ISNUMBER(SEARCH("Streaming", M1008)), "streaming", "cinema")</f>
        <v>cinema</v>
      </c>
      <c r="O1008" t="str">
        <f>IF(I1008=1, "non-original", "original")</f>
        <v>original</v>
      </c>
      <c r="P1008" t="str">
        <f>IF(J1008 = 1, "franchise", "non-franchise")</f>
        <v>non-franchise</v>
      </c>
      <c r="Q1008" t="str">
        <f>IF(OR(I1008 = 1,J1008 =1), "old", "new")</f>
        <v>new</v>
      </c>
      <c r="R1008">
        <f t="shared" si="30"/>
        <v>0.62325462973308066</v>
      </c>
      <c r="S1008">
        <f>IF(Q1008="new",1.5,1)*(K1008/10)*(1-(MIN(F1008,180)/180))</f>
        <v>0.30600000000000005</v>
      </c>
      <c r="T1008" t="str">
        <f t="shared" si="31"/>
        <v>Scenario 1: Strong Commitment</v>
      </c>
    </row>
    <row r="1009" spans="1:20" x14ac:dyDescent="0.35">
      <c r="A1009" t="s">
        <v>1298</v>
      </c>
      <c r="B1009" s="1">
        <v>44524</v>
      </c>
      <c r="C1009">
        <v>2021</v>
      </c>
      <c r="D1009">
        <v>11</v>
      </c>
      <c r="E1009" t="s">
        <v>125</v>
      </c>
      <c r="F1009">
        <v>107</v>
      </c>
      <c r="G1009" t="s">
        <v>998</v>
      </c>
      <c r="H1009" t="s">
        <v>24</v>
      </c>
      <c r="I1009">
        <v>0</v>
      </c>
      <c r="J1009">
        <v>1</v>
      </c>
      <c r="K1009">
        <v>5.2</v>
      </c>
      <c r="L1009">
        <v>71020</v>
      </c>
      <c r="M1009" t="s">
        <v>983</v>
      </c>
      <c r="N1009" t="str">
        <f>IF(ISNUMBER(SEARCH("Streaming", M1009)), "streaming", "cinema")</f>
        <v>cinema</v>
      </c>
      <c r="O1009" t="str">
        <f>IF(I1009=1, "non-original", "original")</f>
        <v>original</v>
      </c>
      <c r="P1009" t="str">
        <f>IF(J1009 = 1, "franchise", "non-franchise")</f>
        <v>franchise</v>
      </c>
      <c r="Q1009" t="str">
        <f>IF(OR(I1009 = 1,J1009 =1), "old", "new")</f>
        <v>old</v>
      </c>
      <c r="R1009">
        <f t="shared" si="30"/>
        <v>0.72054790389369328</v>
      </c>
      <c r="S1009">
        <f>IF(Q1009="new",1.5,1)*(K1009/10)*(1-(MIN(F1009,180)/180))</f>
        <v>0.2108888888888889</v>
      </c>
      <c r="T1009" t="str">
        <f t="shared" si="31"/>
        <v>Scenario 1: Strong Commitment</v>
      </c>
    </row>
    <row r="1010" spans="1:20" x14ac:dyDescent="0.35">
      <c r="A1010" t="s">
        <v>1299</v>
      </c>
      <c r="B1010" s="1">
        <v>44524</v>
      </c>
      <c r="C1010">
        <v>2021</v>
      </c>
      <c r="D1010">
        <v>11</v>
      </c>
      <c r="E1010" t="s">
        <v>125</v>
      </c>
      <c r="F1010">
        <v>158</v>
      </c>
      <c r="G1010" t="s">
        <v>1207</v>
      </c>
      <c r="H1010" t="s">
        <v>24</v>
      </c>
      <c r="I1010">
        <v>0</v>
      </c>
      <c r="J1010">
        <v>0</v>
      </c>
      <c r="K1010">
        <v>6.6</v>
      </c>
      <c r="L1010">
        <v>173902</v>
      </c>
      <c r="M1010" t="s">
        <v>983</v>
      </c>
      <c r="N1010" t="str">
        <f>IF(ISNUMBER(SEARCH("Streaming", M1010)), "streaming", "cinema")</f>
        <v>cinema</v>
      </c>
      <c r="O1010" t="str">
        <f>IF(I1010=1, "non-original", "original")</f>
        <v>original</v>
      </c>
      <c r="P1010" t="str">
        <f>IF(J1010 = 1, "franchise", "non-franchise")</f>
        <v>non-franchise</v>
      </c>
      <c r="Q1010" t="str">
        <f>IF(OR(I1010 = 1,J1010 =1), "old", "new")</f>
        <v>new</v>
      </c>
      <c r="R1010">
        <f t="shared" si="30"/>
        <v>0.76618930558065412</v>
      </c>
      <c r="S1010">
        <f>IF(Q1010="new",1.5,1)*(K1010/10)*(1-(MIN(F1010,180)/180))</f>
        <v>0.121</v>
      </c>
      <c r="T1010" t="str">
        <f t="shared" si="31"/>
        <v>Scenario 1: Strong Commitment</v>
      </c>
    </row>
    <row r="1011" spans="1:20" x14ac:dyDescent="0.35">
      <c r="A1011" t="s">
        <v>1300</v>
      </c>
      <c r="B1011" s="1">
        <v>44526</v>
      </c>
      <c r="C1011">
        <v>2021</v>
      </c>
      <c r="D1011">
        <v>11</v>
      </c>
      <c r="E1011" t="s">
        <v>125</v>
      </c>
      <c r="F1011">
        <v>133</v>
      </c>
      <c r="G1011" t="s">
        <v>1016</v>
      </c>
      <c r="H1011" t="s">
        <v>24</v>
      </c>
      <c r="I1011">
        <v>1</v>
      </c>
      <c r="J1011">
        <v>0</v>
      </c>
      <c r="K1011">
        <v>7.1</v>
      </c>
      <c r="L1011">
        <v>158795</v>
      </c>
      <c r="M1011" t="s">
        <v>983</v>
      </c>
      <c r="N1011" t="str">
        <f>IF(ISNUMBER(SEARCH("Streaming", M1011)), "streaming", "cinema")</f>
        <v>cinema</v>
      </c>
      <c r="O1011" t="str">
        <f>IF(I1011=1, "non-original", "original")</f>
        <v>non-original</v>
      </c>
      <c r="P1011" t="str">
        <f>IF(J1011 = 1, "franchise", "non-franchise")</f>
        <v>non-franchise</v>
      </c>
      <c r="Q1011" t="str">
        <f>IF(OR(I1011 = 1,J1011 =1), "old", "new")</f>
        <v>old</v>
      </c>
      <c r="R1011">
        <f t="shared" si="30"/>
        <v>0.9601489186421317</v>
      </c>
      <c r="S1011">
        <f>IF(Q1011="new",1.5,1)*(K1011/10)*(1-(MIN(F1011,180)/180))</f>
        <v>0.18538888888888885</v>
      </c>
      <c r="T1011" t="str">
        <f t="shared" si="31"/>
        <v>Scenario 1: Strong Commitment</v>
      </c>
    </row>
    <row r="1012" spans="1:20" x14ac:dyDescent="0.35">
      <c r="A1012" t="s">
        <v>1301</v>
      </c>
      <c r="B1012" s="1">
        <v>44540</v>
      </c>
      <c r="C1012">
        <v>2021</v>
      </c>
      <c r="D1012">
        <v>12</v>
      </c>
      <c r="E1012" t="s">
        <v>14</v>
      </c>
      <c r="F1012">
        <v>116</v>
      </c>
      <c r="G1012" t="s">
        <v>1259</v>
      </c>
      <c r="H1012" t="s">
        <v>24</v>
      </c>
      <c r="I1012">
        <v>0</v>
      </c>
      <c r="J1012">
        <v>0</v>
      </c>
      <c r="K1012">
        <v>5.7</v>
      </c>
      <c r="L1012">
        <v>2104</v>
      </c>
      <c r="M1012" t="s">
        <v>983</v>
      </c>
      <c r="N1012" t="str">
        <f>IF(ISNUMBER(SEARCH("Streaming", M1012)), "streaming", "cinema")</f>
        <v>cinema</v>
      </c>
      <c r="O1012" t="str">
        <f>IF(I1012=1, "non-original", "original")</f>
        <v>original</v>
      </c>
      <c r="P1012" t="str">
        <f>IF(J1012 = 1, "franchise", "non-franchise")</f>
        <v>non-franchise</v>
      </c>
      <c r="Q1012" t="str">
        <f>IF(OR(I1012 = 1,J1012 =1), "old", "new")</f>
        <v>new</v>
      </c>
      <c r="R1012">
        <f t="shared" si="30"/>
        <v>0.35671122579626796</v>
      </c>
      <c r="S1012">
        <f>IF(Q1012="new",1.5,1)*(K1012/10)*(1-(MIN(F1012,180)/180))</f>
        <v>0.30399999999999999</v>
      </c>
      <c r="T1012" t="str">
        <f t="shared" si="31"/>
        <v>Scenario 2: Weak Commitment/Convenience</v>
      </c>
    </row>
    <row r="1013" spans="1:20" x14ac:dyDescent="0.35">
      <c r="A1013" t="s">
        <v>1302</v>
      </c>
      <c r="B1013" s="1">
        <v>44546</v>
      </c>
      <c r="C1013">
        <v>2021</v>
      </c>
      <c r="D1013">
        <v>12</v>
      </c>
      <c r="E1013" t="s">
        <v>14</v>
      </c>
      <c r="F1013">
        <v>148</v>
      </c>
      <c r="G1013" t="s">
        <v>1303</v>
      </c>
      <c r="H1013" t="s">
        <v>24</v>
      </c>
      <c r="I1013">
        <v>1</v>
      </c>
      <c r="J1013">
        <v>1</v>
      </c>
      <c r="K1013">
        <v>5.6</v>
      </c>
      <c r="L1013">
        <v>301321</v>
      </c>
      <c r="M1013" t="s">
        <v>983</v>
      </c>
      <c r="N1013" t="str">
        <f>IF(ISNUMBER(SEARCH("Streaming", M1013)), "streaming", "cinema")</f>
        <v>cinema</v>
      </c>
      <c r="O1013" t="str">
        <f>IF(I1013=1, "non-original", "original")</f>
        <v>non-original</v>
      </c>
      <c r="P1013" t="str">
        <f>IF(J1013 = 1, "franchise", "non-franchise")</f>
        <v>franchise</v>
      </c>
      <c r="Q1013" t="str">
        <f>IF(OR(I1013 = 1,J1013 =1), "old", "new")</f>
        <v>old</v>
      </c>
      <c r="R1013">
        <f t="shared" si="30"/>
        <v>1.1255870151500735</v>
      </c>
      <c r="S1013">
        <f>IF(Q1013="new",1.5,1)*(K1013/10)*(1-(MIN(F1013,180)/180))</f>
        <v>9.9555555555555564E-2</v>
      </c>
      <c r="T1013" t="str">
        <f t="shared" si="31"/>
        <v>Scenario 1: Strong Commitment</v>
      </c>
    </row>
    <row r="1014" spans="1:20" x14ac:dyDescent="0.35">
      <c r="A1014" t="s">
        <v>1304</v>
      </c>
      <c r="B1014" s="1">
        <v>44547</v>
      </c>
      <c r="C1014">
        <v>2021</v>
      </c>
      <c r="D1014">
        <v>12</v>
      </c>
      <c r="E1014" t="s">
        <v>14</v>
      </c>
      <c r="F1014">
        <v>150</v>
      </c>
      <c r="G1014" t="s">
        <v>1305</v>
      </c>
      <c r="H1014" t="s">
        <v>24</v>
      </c>
      <c r="I1014">
        <v>0</v>
      </c>
      <c r="J1014">
        <v>0</v>
      </c>
      <c r="K1014">
        <v>7</v>
      </c>
      <c r="L1014">
        <v>181513</v>
      </c>
      <c r="M1014" t="s">
        <v>983</v>
      </c>
      <c r="N1014" t="str">
        <f>IF(ISNUMBER(SEARCH("Streaming", M1014)), "streaming", "cinema")</f>
        <v>cinema</v>
      </c>
      <c r="O1014" t="str">
        <f>IF(I1014=1, "non-original", "original")</f>
        <v>original</v>
      </c>
      <c r="P1014" t="str">
        <f>IF(J1014 = 1, "franchise", "non-franchise")</f>
        <v>non-franchise</v>
      </c>
      <c r="Q1014" t="str">
        <f>IF(OR(I1014 = 1,J1014 =1), "old", "new")</f>
        <v>new</v>
      </c>
      <c r="R1014">
        <f t="shared" si="30"/>
        <v>0.72997717294908016</v>
      </c>
      <c r="S1014">
        <f>IF(Q1014="new",1.5,1)*(K1014/10)*(1-(MIN(F1014,180)/180))</f>
        <v>0.17499999999999993</v>
      </c>
      <c r="T1014" t="str">
        <f t="shared" si="31"/>
        <v>Scenario 1: Strong Commitment</v>
      </c>
    </row>
    <row r="1015" spans="1:20" x14ac:dyDescent="0.35">
      <c r="A1015" t="s">
        <v>1306</v>
      </c>
      <c r="B1015" s="1">
        <v>44573</v>
      </c>
      <c r="C1015">
        <v>2022</v>
      </c>
      <c r="D1015">
        <v>1</v>
      </c>
      <c r="E1015" t="s">
        <v>14</v>
      </c>
      <c r="F1015">
        <v>114</v>
      </c>
      <c r="G1015" t="s">
        <v>1209</v>
      </c>
      <c r="H1015" t="s">
        <v>24</v>
      </c>
      <c r="I1015">
        <v>1</v>
      </c>
      <c r="J1015">
        <v>1</v>
      </c>
      <c r="K1015">
        <v>6.3</v>
      </c>
      <c r="L1015">
        <v>184600</v>
      </c>
      <c r="M1015" t="s">
        <v>989</v>
      </c>
      <c r="N1015" t="str">
        <f>IF(ISNUMBER(SEARCH("Streaming", M1015)), "streaming", "cinema")</f>
        <v>cinema</v>
      </c>
      <c r="O1015" t="str">
        <f>IF(I1015=1, "non-original", "original")</f>
        <v>non-original</v>
      </c>
      <c r="P1015" t="str">
        <f>IF(J1015 = 1, "franchise", "non-franchise")</f>
        <v>franchise</v>
      </c>
      <c r="Q1015" t="str">
        <f>IF(OR(I1015 = 1,J1015 =1), "old", "new")</f>
        <v>old</v>
      </c>
      <c r="R1015">
        <f t="shared" si="30"/>
        <v>0.83333292705107653</v>
      </c>
      <c r="S1015">
        <f>IF(Q1015="new",1.5,1)*(K1015/10)*(1-(MIN(F1015,180)/180))</f>
        <v>0.23100000000000001</v>
      </c>
      <c r="T1015" t="str">
        <f t="shared" si="31"/>
        <v>Scenario 1: Strong Commitment</v>
      </c>
    </row>
    <row r="1016" spans="1:20" x14ac:dyDescent="0.35">
      <c r="A1016" t="s">
        <v>1307</v>
      </c>
      <c r="B1016" s="1">
        <v>44624</v>
      </c>
      <c r="C1016">
        <v>2022</v>
      </c>
      <c r="D1016">
        <v>3</v>
      </c>
      <c r="E1016" t="s">
        <v>38</v>
      </c>
      <c r="F1016">
        <v>105</v>
      </c>
      <c r="G1016" t="s">
        <v>982</v>
      </c>
      <c r="H1016" t="s">
        <v>24</v>
      </c>
      <c r="I1016">
        <v>1</v>
      </c>
      <c r="J1016">
        <v>0</v>
      </c>
      <c r="K1016">
        <v>3.5</v>
      </c>
      <c r="L1016">
        <v>5480</v>
      </c>
      <c r="M1016" t="s">
        <v>983</v>
      </c>
      <c r="N1016" t="str">
        <f>IF(ISNUMBER(SEARCH("Streaming", M1016)), "streaming", "cinema")</f>
        <v>cinema</v>
      </c>
      <c r="O1016" t="str">
        <f>IF(I1016=1, "non-original", "original")</f>
        <v>non-original</v>
      </c>
      <c r="P1016" t="str">
        <f>IF(J1016 = 1, "franchise", "non-franchise")</f>
        <v>non-franchise</v>
      </c>
      <c r="Q1016" t="str">
        <f>IF(OR(I1016 = 1,J1016 =1), "old", "new")</f>
        <v>old</v>
      </c>
      <c r="R1016">
        <f t="shared" si="30"/>
        <v>0.54492031996328716</v>
      </c>
      <c r="S1016">
        <f>IF(Q1016="new",1.5,1)*(K1016/10)*(1-(MIN(F1016,180)/180))</f>
        <v>0.14583333333333331</v>
      </c>
      <c r="T1016" t="str">
        <f t="shared" si="31"/>
        <v>Scenario 1: Strong Commitment</v>
      </c>
    </row>
    <row r="1017" spans="1:20" x14ac:dyDescent="0.35">
      <c r="A1017" t="s">
        <v>1308</v>
      </c>
      <c r="B1017" s="1">
        <v>44636</v>
      </c>
      <c r="C1017">
        <v>2022</v>
      </c>
      <c r="D1017">
        <v>3</v>
      </c>
      <c r="E1017" t="s">
        <v>38</v>
      </c>
      <c r="F1017">
        <v>136</v>
      </c>
      <c r="G1017" t="s">
        <v>982</v>
      </c>
      <c r="H1017" t="s">
        <v>24</v>
      </c>
      <c r="I1017">
        <v>0</v>
      </c>
      <c r="J1017">
        <v>0</v>
      </c>
      <c r="K1017">
        <v>6.1</v>
      </c>
      <c r="L1017">
        <v>112227</v>
      </c>
      <c r="M1017" t="s">
        <v>983</v>
      </c>
      <c r="N1017" t="str">
        <f>IF(ISNUMBER(SEARCH("Streaming", M1017)), "streaming", "cinema")</f>
        <v>cinema</v>
      </c>
      <c r="O1017" t="str">
        <f>IF(I1017=1, "non-original", "original")</f>
        <v>original</v>
      </c>
      <c r="P1017" t="str">
        <f>IF(J1017 = 1, "franchise", "non-franchise")</f>
        <v>non-franchise</v>
      </c>
      <c r="Q1017" t="str">
        <f>IF(OR(I1017 = 1,J1017 =1), "old", "new")</f>
        <v>new</v>
      </c>
      <c r="R1017">
        <f t="shared" si="30"/>
        <v>0.63556669007280819</v>
      </c>
      <c r="S1017">
        <f>IF(Q1017="new",1.5,1)*(K1017/10)*(1-(MIN(F1017,180)/180))</f>
        <v>0.22366666666666668</v>
      </c>
      <c r="T1017" t="str">
        <f t="shared" si="31"/>
        <v>Scenario 1: Strong Commitment</v>
      </c>
    </row>
    <row r="1018" spans="1:20" x14ac:dyDescent="0.35">
      <c r="A1018" t="s">
        <v>1309</v>
      </c>
      <c r="B1018" s="1">
        <v>44637</v>
      </c>
      <c r="C1018">
        <v>2022</v>
      </c>
      <c r="D1018">
        <v>3</v>
      </c>
      <c r="E1018" t="s">
        <v>38</v>
      </c>
      <c r="F1018">
        <v>105</v>
      </c>
      <c r="G1018" t="s">
        <v>1209</v>
      </c>
      <c r="H1018" t="s">
        <v>24</v>
      </c>
      <c r="I1018">
        <v>1</v>
      </c>
      <c r="J1018">
        <v>1</v>
      </c>
      <c r="K1018">
        <v>6.5</v>
      </c>
      <c r="L1018">
        <v>221962</v>
      </c>
      <c r="M1018" t="s">
        <v>989</v>
      </c>
      <c r="N1018" t="str">
        <f>IF(ISNUMBER(SEARCH("Streaming", M1018)), "streaming", "cinema")</f>
        <v>cinema</v>
      </c>
      <c r="O1018" t="str">
        <f>IF(I1018=1, "non-original", "original")</f>
        <v>non-original</v>
      </c>
      <c r="P1018" t="str">
        <f>IF(J1018 = 1, "franchise", "non-franchise")</f>
        <v>franchise</v>
      </c>
      <c r="Q1018" t="str">
        <f>IF(OR(I1018 = 1,J1018 =1), "old", "new")</f>
        <v>old</v>
      </c>
      <c r="R1018">
        <f t="shared" si="30"/>
        <v>0.7792101771606611</v>
      </c>
      <c r="S1018">
        <f>IF(Q1018="new",1.5,1)*(K1018/10)*(1-(MIN(F1018,180)/180))</f>
        <v>0.27083333333333331</v>
      </c>
      <c r="T1018" t="str">
        <f t="shared" si="31"/>
        <v>Scenario 1: Strong Commitment</v>
      </c>
    </row>
    <row r="1019" spans="1:20" x14ac:dyDescent="0.35">
      <c r="A1019" t="s">
        <v>1310</v>
      </c>
      <c r="B1019" s="1">
        <v>44638</v>
      </c>
      <c r="C1019">
        <v>2022</v>
      </c>
      <c r="D1019">
        <v>3</v>
      </c>
      <c r="E1019" t="s">
        <v>38</v>
      </c>
      <c r="F1019">
        <v>105</v>
      </c>
      <c r="G1019" t="s">
        <v>1158</v>
      </c>
      <c r="H1019" t="s">
        <v>24</v>
      </c>
      <c r="I1019">
        <v>1</v>
      </c>
      <c r="J1019">
        <v>0</v>
      </c>
      <c r="K1019">
        <v>7.2</v>
      </c>
      <c r="L1019">
        <v>85586</v>
      </c>
      <c r="M1019" t="s">
        <v>983</v>
      </c>
      <c r="N1019" t="str">
        <f>IF(ISNUMBER(SEARCH("Streaming", M1019)), "streaming", "cinema")</f>
        <v>cinema</v>
      </c>
      <c r="O1019" t="str">
        <f>IF(I1019=1, "non-original", "original")</f>
        <v>non-original</v>
      </c>
      <c r="P1019" t="str">
        <f>IF(J1019 = 1, "franchise", "non-franchise")</f>
        <v>non-franchise</v>
      </c>
      <c r="Q1019" t="str">
        <f>IF(OR(I1019 = 1,J1019 =1), "old", "new")</f>
        <v>old</v>
      </c>
      <c r="R1019">
        <f t="shared" si="30"/>
        <v>0.71888853369351213</v>
      </c>
      <c r="S1019">
        <f>IF(Q1019="new",1.5,1)*(K1019/10)*(1-(MIN(F1019,180)/180))</f>
        <v>0.3</v>
      </c>
      <c r="T1019" t="str">
        <f t="shared" si="31"/>
        <v>Scenario 1: Strong Commitment</v>
      </c>
    </row>
    <row r="1020" spans="1:20" x14ac:dyDescent="0.35">
      <c r="A1020" t="s">
        <v>1311</v>
      </c>
      <c r="B1020" s="1">
        <v>44652</v>
      </c>
      <c r="C1020">
        <v>2022</v>
      </c>
      <c r="D1020">
        <v>4</v>
      </c>
      <c r="E1020" t="s">
        <v>38</v>
      </c>
      <c r="F1020">
        <v>107</v>
      </c>
      <c r="G1020" t="s">
        <v>1312</v>
      </c>
      <c r="H1020" t="s">
        <v>24</v>
      </c>
      <c r="I1020">
        <v>1</v>
      </c>
      <c r="J1020">
        <v>0</v>
      </c>
      <c r="K1020">
        <v>7</v>
      </c>
      <c r="L1020">
        <v>177641</v>
      </c>
      <c r="M1020" t="s">
        <v>983</v>
      </c>
      <c r="N1020" t="str">
        <f>IF(ISNUMBER(SEARCH("Streaming", M1020)), "streaming", "cinema")</f>
        <v>cinema</v>
      </c>
      <c r="O1020" t="str">
        <f>IF(I1020=1, "non-original", "original")</f>
        <v>non-original</v>
      </c>
      <c r="P1020" t="str">
        <f>IF(J1020 = 1, "franchise", "non-franchise")</f>
        <v>non-franchise</v>
      </c>
      <c r="Q1020" t="str">
        <f>IF(OR(I1020 = 1,J1020 =1), "old", "new")</f>
        <v>old</v>
      </c>
      <c r="R1020">
        <f t="shared" si="30"/>
        <v>0.77968471549435325</v>
      </c>
      <c r="S1020">
        <f>IF(Q1020="new",1.5,1)*(K1020/10)*(1-(MIN(F1020,180)/180))</f>
        <v>0.28388888888888886</v>
      </c>
      <c r="T1020" t="str">
        <f t="shared" si="31"/>
        <v>Scenario 1: Strong Commitment</v>
      </c>
    </row>
    <row r="1021" spans="1:20" x14ac:dyDescent="0.35">
      <c r="A1021" t="s">
        <v>1313</v>
      </c>
      <c r="B1021" s="1">
        <v>44664</v>
      </c>
      <c r="C1021">
        <v>2022</v>
      </c>
      <c r="D1021">
        <v>4</v>
      </c>
      <c r="E1021" t="s">
        <v>38</v>
      </c>
      <c r="F1021">
        <v>124</v>
      </c>
      <c r="G1021" t="s">
        <v>1145</v>
      </c>
      <c r="H1021" t="s">
        <v>24</v>
      </c>
      <c r="I1021">
        <v>0</v>
      </c>
      <c r="J1021">
        <v>0</v>
      </c>
      <c r="K1021">
        <v>6.5</v>
      </c>
      <c r="L1021">
        <v>35776</v>
      </c>
      <c r="M1021" t="s">
        <v>989</v>
      </c>
      <c r="N1021" t="str">
        <f>IF(ISNUMBER(SEARCH("Streaming", M1021)), "streaming", "cinema")</f>
        <v>cinema</v>
      </c>
      <c r="O1021" t="str">
        <f>IF(I1021=1, "non-original", "original")</f>
        <v>original</v>
      </c>
      <c r="P1021" t="str">
        <f>IF(J1021 = 1, "franchise", "non-franchise")</f>
        <v>non-franchise</v>
      </c>
      <c r="Q1021" t="str">
        <f>IF(OR(I1021 = 1,J1021 =1), "old", "new")</f>
        <v>new</v>
      </c>
      <c r="R1021">
        <f t="shared" si="30"/>
        <v>0.52251438219440138</v>
      </c>
      <c r="S1021">
        <f>IF(Q1021="new",1.5,1)*(K1021/10)*(1-(MIN(F1021,180)/180))</f>
        <v>0.30333333333333334</v>
      </c>
      <c r="T1021" t="str">
        <f t="shared" si="31"/>
        <v>Scenario 1: Strong Commitment</v>
      </c>
    </row>
    <row r="1022" spans="1:20" x14ac:dyDescent="0.35">
      <c r="A1022" t="s">
        <v>1314</v>
      </c>
      <c r="B1022" s="1">
        <v>44729</v>
      </c>
      <c r="C1022">
        <v>2022</v>
      </c>
      <c r="D1022">
        <v>6</v>
      </c>
      <c r="E1022" t="s">
        <v>78</v>
      </c>
      <c r="F1022">
        <v>97</v>
      </c>
      <c r="G1022" t="s">
        <v>985</v>
      </c>
      <c r="H1022" t="s">
        <v>24</v>
      </c>
      <c r="I1022">
        <v>1</v>
      </c>
      <c r="J1022">
        <v>0</v>
      </c>
      <c r="K1022">
        <v>7.2</v>
      </c>
      <c r="L1022">
        <v>43928</v>
      </c>
      <c r="M1022" t="s">
        <v>989</v>
      </c>
      <c r="N1022" t="str">
        <f>IF(ISNUMBER(SEARCH("Streaming", M1022)), "streaming", "cinema")</f>
        <v>cinema</v>
      </c>
      <c r="O1022" t="str">
        <f>IF(I1022=1, "non-original", "original")</f>
        <v>non-original</v>
      </c>
      <c r="P1022" t="str">
        <f>IF(J1022 = 1, "franchise", "non-franchise")</f>
        <v>non-franchise</v>
      </c>
      <c r="Q1022" t="str">
        <f>IF(OR(I1022 = 1,J1022 =1), "old", "new")</f>
        <v>old</v>
      </c>
      <c r="R1022">
        <f t="shared" si="30"/>
        <v>0.6251150566237671</v>
      </c>
      <c r="S1022">
        <f>IF(Q1022="new",1.5,1)*(K1022/10)*(1-(MIN(F1022,180)/180))</f>
        <v>0.33200000000000002</v>
      </c>
      <c r="T1022" t="str">
        <f t="shared" si="31"/>
        <v>Scenario 4: Hybrid Logic</v>
      </c>
    </row>
    <row r="1023" spans="1:20" x14ac:dyDescent="0.35">
      <c r="A1023" t="s">
        <v>1315</v>
      </c>
      <c r="B1023" s="1">
        <v>44756</v>
      </c>
      <c r="C1023">
        <v>2022</v>
      </c>
      <c r="D1023">
        <v>7</v>
      </c>
      <c r="E1023" t="s">
        <v>78</v>
      </c>
      <c r="F1023">
        <v>127</v>
      </c>
      <c r="G1023" t="s">
        <v>1143</v>
      </c>
      <c r="H1023" t="s">
        <v>24</v>
      </c>
      <c r="I1023">
        <v>0</v>
      </c>
      <c r="J1023">
        <v>0</v>
      </c>
      <c r="K1023">
        <v>7.3</v>
      </c>
      <c r="L1023">
        <v>527597</v>
      </c>
      <c r="M1023" t="s">
        <v>989</v>
      </c>
      <c r="N1023" t="str">
        <f>IF(ISNUMBER(SEARCH("Streaming", M1023)), "streaming", "cinema")</f>
        <v>cinema</v>
      </c>
      <c r="O1023" t="str">
        <f>IF(I1023=1, "non-original", "original")</f>
        <v>original</v>
      </c>
      <c r="P1023" t="str">
        <f>IF(J1023 = 1, "franchise", "non-franchise")</f>
        <v>non-franchise</v>
      </c>
      <c r="Q1023" t="str">
        <f>IF(OR(I1023 = 1,J1023 =1), "old", "new")</f>
        <v>new</v>
      </c>
      <c r="R1023">
        <f t="shared" si="30"/>
        <v>0.67250727774344876</v>
      </c>
      <c r="S1023">
        <f>IF(Q1023="new",1.5,1)*(K1023/10)*(1-(MIN(F1023,180)/180))</f>
        <v>0.32241666666666663</v>
      </c>
      <c r="T1023" t="str">
        <f t="shared" si="31"/>
        <v>Scenario 4: Hybrid Logic</v>
      </c>
    </row>
    <row r="1024" spans="1:20" x14ac:dyDescent="0.35">
      <c r="A1024" t="s">
        <v>1316</v>
      </c>
      <c r="B1024" s="1">
        <v>44763</v>
      </c>
      <c r="C1024">
        <v>2022</v>
      </c>
      <c r="D1024">
        <v>7</v>
      </c>
      <c r="E1024" t="s">
        <v>78</v>
      </c>
      <c r="F1024">
        <v>130</v>
      </c>
      <c r="G1024" t="s">
        <v>1242</v>
      </c>
      <c r="H1024" t="s">
        <v>24</v>
      </c>
      <c r="I1024">
        <v>1</v>
      </c>
      <c r="J1024">
        <v>0</v>
      </c>
      <c r="K1024">
        <v>6.8</v>
      </c>
      <c r="L1024">
        <v>312900</v>
      </c>
      <c r="M1024" t="s">
        <v>989</v>
      </c>
      <c r="N1024" t="str">
        <f>IF(ISNUMBER(SEARCH("Streaming", M1024)), "streaming", "cinema")</f>
        <v>cinema</v>
      </c>
      <c r="O1024" t="str">
        <f>IF(I1024=1, "non-original", "original")</f>
        <v>non-original</v>
      </c>
      <c r="P1024" t="str">
        <f>IF(J1024 = 1, "franchise", "non-franchise")</f>
        <v>non-franchise</v>
      </c>
      <c r="Q1024" t="str">
        <f>IF(OR(I1024 = 1,J1024 =1), "old", "new")</f>
        <v>old</v>
      </c>
      <c r="R1024">
        <f t="shared" si="30"/>
        <v>0.99164637703997571</v>
      </c>
      <c r="S1024">
        <f>IF(Q1024="new",1.5,1)*(K1024/10)*(1-(MIN(F1024,180)/180))</f>
        <v>0.18888888888888888</v>
      </c>
      <c r="T1024" t="str">
        <f t="shared" si="31"/>
        <v>Scenario 1: Strong Commitment</v>
      </c>
    </row>
    <row r="1025" spans="1:20" x14ac:dyDescent="0.35">
      <c r="A1025" t="s">
        <v>1317</v>
      </c>
      <c r="B1025" s="1">
        <v>44770</v>
      </c>
      <c r="C1025">
        <v>2022</v>
      </c>
      <c r="D1025">
        <v>7</v>
      </c>
      <c r="E1025" t="s">
        <v>78</v>
      </c>
      <c r="F1025">
        <v>147</v>
      </c>
      <c r="G1025" t="s">
        <v>985</v>
      </c>
      <c r="H1025" t="s">
        <v>24</v>
      </c>
      <c r="I1025">
        <v>1</v>
      </c>
      <c r="J1025">
        <v>0</v>
      </c>
      <c r="K1025">
        <v>7.2</v>
      </c>
      <c r="L1025">
        <v>214003</v>
      </c>
      <c r="M1025" t="s">
        <v>983</v>
      </c>
      <c r="N1025" t="str">
        <f>IF(ISNUMBER(SEARCH("Streaming", M1025)), "streaming", "cinema")</f>
        <v>cinema</v>
      </c>
      <c r="O1025" t="str">
        <f>IF(I1025=1, "non-original", "original")</f>
        <v>non-original</v>
      </c>
      <c r="P1025" t="str">
        <f>IF(J1025 = 1, "franchise", "non-franchise")</f>
        <v>non-franchise</v>
      </c>
      <c r="Q1025" t="str">
        <f>IF(OR(I1025 = 1,J1025 =1), "old", "new")</f>
        <v>old</v>
      </c>
      <c r="R1025">
        <f t="shared" si="30"/>
        <v>1.0876583076965658</v>
      </c>
      <c r="S1025">
        <f>IF(Q1025="new",1.5,1)*(K1025/10)*(1-(MIN(F1025,180)/180))</f>
        <v>0.13200000000000001</v>
      </c>
      <c r="T1025" t="str">
        <f t="shared" si="31"/>
        <v>Scenario 1: Strong Commitment</v>
      </c>
    </row>
    <row r="1026" spans="1:20" x14ac:dyDescent="0.35">
      <c r="A1026" t="s">
        <v>1318</v>
      </c>
      <c r="B1026" s="1">
        <v>44783</v>
      </c>
      <c r="C1026">
        <v>2022</v>
      </c>
      <c r="D1026">
        <v>8</v>
      </c>
      <c r="E1026" t="s">
        <v>78</v>
      </c>
      <c r="F1026">
        <v>93</v>
      </c>
      <c r="G1026" t="s">
        <v>1006</v>
      </c>
      <c r="H1026" t="s">
        <v>24</v>
      </c>
      <c r="I1026">
        <v>1</v>
      </c>
      <c r="J1026">
        <v>0</v>
      </c>
      <c r="K1026">
        <v>5.6</v>
      </c>
      <c r="L1026">
        <v>47729</v>
      </c>
      <c r="M1026" t="s">
        <v>983</v>
      </c>
      <c r="N1026" t="str">
        <f>IF(ISNUMBER(SEARCH("Streaming", M1026)), "streaming", "cinema")</f>
        <v>cinema</v>
      </c>
      <c r="O1026" t="str">
        <f>IF(I1026=1, "non-original", "original")</f>
        <v>non-original</v>
      </c>
      <c r="P1026" t="str">
        <f>IF(J1026 = 1, "franchise", "non-franchise")</f>
        <v>non-franchise</v>
      </c>
      <c r="Q1026" t="str">
        <f>IF(OR(I1026 = 1,J1026 =1), "old", "new")</f>
        <v>old</v>
      </c>
      <c r="R1026">
        <f t="shared" si="30"/>
        <v>0.60398968018236465</v>
      </c>
      <c r="S1026">
        <f>IF(Q1026="new",1.5,1)*(K1026/10)*(1-(MIN(F1026,180)/180))</f>
        <v>0.27066666666666661</v>
      </c>
      <c r="T1026" t="str">
        <f t="shared" si="31"/>
        <v>Scenario 1: Strong Commitment</v>
      </c>
    </row>
    <row r="1027" spans="1:20" x14ac:dyDescent="0.35">
      <c r="A1027" t="s">
        <v>1319</v>
      </c>
      <c r="B1027" s="1">
        <v>44797</v>
      </c>
      <c r="C1027">
        <v>2022</v>
      </c>
      <c r="D1027">
        <v>8</v>
      </c>
      <c r="E1027" t="s">
        <v>78</v>
      </c>
      <c r="F1027">
        <v>108</v>
      </c>
      <c r="G1027" t="s">
        <v>1320</v>
      </c>
      <c r="H1027" t="s">
        <v>24</v>
      </c>
      <c r="I1027">
        <v>0</v>
      </c>
      <c r="J1027">
        <v>0</v>
      </c>
      <c r="K1027">
        <v>6.7</v>
      </c>
      <c r="L1027">
        <v>71977</v>
      </c>
      <c r="M1027" t="s">
        <v>983</v>
      </c>
      <c r="N1027" t="str">
        <f>IF(ISNUMBER(SEARCH("Streaming", M1027)), "streaming", "cinema")</f>
        <v>cinema</v>
      </c>
      <c r="O1027" t="str">
        <f>IF(I1027=1, "non-original", "original")</f>
        <v>original</v>
      </c>
      <c r="P1027" t="str">
        <f>IF(J1027 = 1, "franchise", "non-franchise")</f>
        <v>non-franchise</v>
      </c>
      <c r="Q1027" t="str">
        <f>IF(OR(I1027 = 1,J1027 =1), "old", "new")</f>
        <v>new</v>
      </c>
      <c r="R1027">
        <f t="shared" ref="R1027:R1078" si="32">IF(Q1027="old",1.5,1)*(LOG10(L1027)/LOG10(MAX($L$2:$L$1078)))*(MIN(F1027,180)/180)</f>
        <v>0.4854356320549959</v>
      </c>
      <c r="S1027">
        <f>IF(Q1027="new",1.5,1)*(K1027/10)*(1-(MIN(F1027,180)/180))</f>
        <v>0.40200000000000008</v>
      </c>
      <c r="T1027" t="str">
        <f t="shared" ref="T1027:T1078" si="33">IF(AND(R1027&gt;=AVERAGE($R$2:$R$1078),S1027&gt;=AVERAGE($S$2:$S$1078)),"Scenario 4: Hybrid Logic",
 IF(AND(R1027&gt;=AVERAGE($R$2:$R$1078),S1027&lt;AVERAGE($S$2:$S$1078)),"Scenario 1: Strong Commitment",
  IF(AND(R1027&lt;AVERAGE($R$2:$R$1078),S1027&gt;=AVERAGE($S$2:$S$1078)),"Scenario 3: Strong Convenience",
   "Scenario 2: Weak Commitment/Convenience")))</f>
        <v>Scenario 4: Hybrid Logic</v>
      </c>
    </row>
    <row r="1028" spans="1:20" x14ac:dyDescent="0.35">
      <c r="A1028" t="s">
        <v>1321</v>
      </c>
      <c r="B1028" s="1">
        <v>44812</v>
      </c>
      <c r="C1028">
        <v>2022</v>
      </c>
      <c r="D1028">
        <v>9</v>
      </c>
      <c r="E1028" t="s">
        <v>125</v>
      </c>
      <c r="F1028">
        <v>102</v>
      </c>
      <c r="G1028" t="s">
        <v>1209</v>
      </c>
      <c r="H1028" t="s">
        <v>24</v>
      </c>
      <c r="I1028">
        <v>1</v>
      </c>
      <c r="J1028">
        <v>0</v>
      </c>
      <c r="K1028">
        <v>7</v>
      </c>
      <c r="L1028">
        <v>255742</v>
      </c>
      <c r="M1028" t="s">
        <v>989</v>
      </c>
      <c r="N1028" t="str">
        <f>IF(ISNUMBER(SEARCH("Streaming", M1028)), "streaming", "cinema")</f>
        <v>cinema</v>
      </c>
      <c r="O1028" t="str">
        <f>IF(I1028=1, "non-original", "original")</f>
        <v>non-original</v>
      </c>
      <c r="P1028" t="str">
        <f>IF(J1028 = 1, "franchise", "non-franchise")</f>
        <v>non-franchise</v>
      </c>
      <c r="Q1028" t="str">
        <f>IF(OR(I1028 = 1,J1028 =1), "old", "new")</f>
        <v>old</v>
      </c>
      <c r="R1028">
        <f t="shared" si="32"/>
        <v>0.76565775667256197</v>
      </c>
      <c r="S1028">
        <f>IF(Q1028="new",1.5,1)*(K1028/10)*(1-(MIN(F1028,180)/180))</f>
        <v>0.30333333333333334</v>
      </c>
      <c r="T1028" t="str">
        <f t="shared" si="33"/>
        <v>Scenario 1: Strong Commitment</v>
      </c>
    </row>
    <row r="1029" spans="1:20" x14ac:dyDescent="0.35">
      <c r="A1029" t="s">
        <v>1322</v>
      </c>
      <c r="B1029" s="1">
        <v>44818</v>
      </c>
      <c r="C1029">
        <v>2022</v>
      </c>
      <c r="D1029">
        <v>9</v>
      </c>
      <c r="E1029" t="s">
        <v>125</v>
      </c>
      <c r="F1029">
        <v>114</v>
      </c>
      <c r="G1029" t="s">
        <v>34</v>
      </c>
      <c r="H1029" t="s">
        <v>24</v>
      </c>
      <c r="I1029">
        <v>0</v>
      </c>
      <c r="J1029">
        <v>0</v>
      </c>
      <c r="K1029">
        <v>6.4</v>
      </c>
      <c r="L1029">
        <v>17891</v>
      </c>
      <c r="M1029" t="s">
        <v>989</v>
      </c>
      <c r="N1029" t="str">
        <f>IF(ISNUMBER(SEARCH("Streaming", M1029)), "streaming", "cinema")</f>
        <v>cinema</v>
      </c>
      <c r="O1029" t="str">
        <f>IF(I1029=1, "non-original", "original")</f>
        <v>original</v>
      </c>
      <c r="P1029" t="str">
        <f>IF(J1029 = 1, "franchise", "non-franchise")</f>
        <v>non-franchise</v>
      </c>
      <c r="Q1029" t="str">
        <f>IF(OR(I1029 = 1,J1029 =1), "old", "new")</f>
        <v>new</v>
      </c>
      <c r="R1029">
        <f t="shared" si="32"/>
        <v>0.44862698239145649</v>
      </c>
      <c r="S1029">
        <f>IF(Q1029="new",1.5,1)*(K1029/10)*(1-(MIN(F1029,180)/180))</f>
        <v>0.35200000000000004</v>
      </c>
      <c r="T1029" t="str">
        <f t="shared" si="33"/>
        <v>Scenario 3: Strong Convenience</v>
      </c>
    </row>
    <row r="1030" spans="1:20" x14ac:dyDescent="0.35">
      <c r="A1030" t="s">
        <v>1323</v>
      </c>
      <c r="B1030" s="1">
        <v>44832</v>
      </c>
      <c r="C1030">
        <v>2022</v>
      </c>
      <c r="D1030">
        <v>9</v>
      </c>
      <c r="E1030" t="s">
        <v>125</v>
      </c>
      <c r="F1030">
        <v>115</v>
      </c>
      <c r="G1030" t="s">
        <v>1209</v>
      </c>
      <c r="H1030" t="s">
        <v>24</v>
      </c>
      <c r="I1030">
        <v>0</v>
      </c>
      <c r="J1030">
        <v>1</v>
      </c>
      <c r="K1030">
        <v>6.5</v>
      </c>
      <c r="L1030">
        <v>236017</v>
      </c>
      <c r="M1030" t="s">
        <v>989</v>
      </c>
      <c r="N1030" t="str">
        <f>IF(ISNUMBER(SEARCH("Streaming", M1030)), "streaming", "cinema")</f>
        <v>cinema</v>
      </c>
      <c r="O1030" t="str">
        <f>IF(I1030=1, "non-original", "original")</f>
        <v>original</v>
      </c>
      <c r="P1030" t="str">
        <f>IF(J1030 = 1, "franchise", "non-franchise")</f>
        <v>franchise</v>
      </c>
      <c r="Q1030" t="str">
        <f>IF(OR(I1030 = 1,J1030 =1), "old", "new")</f>
        <v>old</v>
      </c>
      <c r="R1030">
        <f t="shared" si="32"/>
        <v>0.85767712045610733</v>
      </c>
      <c r="S1030">
        <f>IF(Q1030="new",1.5,1)*(K1030/10)*(1-(MIN(F1030,180)/180))</f>
        <v>0.23472222222222225</v>
      </c>
      <c r="T1030" t="str">
        <f t="shared" si="33"/>
        <v>Scenario 1: Strong Commitment</v>
      </c>
    </row>
    <row r="1031" spans="1:20" x14ac:dyDescent="0.35">
      <c r="A1031" t="s">
        <v>1324</v>
      </c>
      <c r="B1031" s="1">
        <v>44840</v>
      </c>
      <c r="C1031">
        <v>2022</v>
      </c>
      <c r="D1031">
        <v>10</v>
      </c>
      <c r="E1031" t="s">
        <v>125</v>
      </c>
      <c r="F1031">
        <v>134</v>
      </c>
      <c r="G1031" t="s">
        <v>1325</v>
      </c>
      <c r="H1031" t="s">
        <v>24</v>
      </c>
      <c r="I1031">
        <v>1</v>
      </c>
      <c r="J1031">
        <v>0</v>
      </c>
      <c r="K1031">
        <v>6.2</v>
      </c>
      <c r="L1031">
        <v>106518</v>
      </c>
      <c r="M1031" t="s">
        <v>983</v>
      </c>
      <c r="N1031" t="str">
        <f>IF(ISNUMBER(SEARCH("Streaming", M1031)), "streaming", "cinema")</f>
        <v>cinema</v>
      </c>
      <c r="O1031" t="str">
        <f>IF(I1031=1, "non-original", "original")</f>
        <v>non-original</v>
      </c>
      <c r="P1031" t="str">
        <f>IF(J1031 = 1, "franchise", "non-franchise")</f>
        <v>non-franchise</v>
      </c>
      <c r="Q1031" t="str">
        <f>IF(OR(I1031 = 1,J1031 =1), "old", "new")</f>
        <v>old</v>
      </c>
      <c r="R1031">
        <f t="shared" si="32"/>
        <v>0.93511269829349275</v>
      </c>
      <c r="S1031">
        <f>IF(Q1031="new",1.5,1)*(K1031/10)*(1-(MIN(F1031,180)/180))</f>
        <v>0.15844444444444444</v>
      </c>
      <c r="T1031" t="str">
        <f t="shared" si="33"/>
        <v>Scenario 1: Strong Commitment</v>
      </c>
    </row>
    <row r="1032" spans="1:20" x14ac:dyDescent="0.35">
      <c r="A1032" t="s">
        <v>1326</v>
      </c>
      <c r="B1032" s="1">
        <v>44846</v>
      </c>
      <c r="C1032">
        <v>2022</v>
      </c>
      <c r="D1032">
        <v>10</v>
      </c>
      <c r="E1032" t="s">
        <v>125</v>
      </c>
      <c r="F1032">
        <v>111</v>
      </c>
      <c r="G1032" t="s">
        <v>1327</v>
      </c>
      <c r="H1032" t="s">
        <v>24</v>
      </c>
      <c r="I1032">
        <v>1</v>
      </c>
      <c r="J1032">
        <v>1</v>
      </c>
      <c r="K1032">
        <v>5</v>
      </c>
      <c r="L1032">
        <v>82204</v>
      </c>
      <c r="M1032" t="s">
        <v>989</v>
      </c>
      <c r="N1032" t="str">
        <f>IF(ISNUMBER(SEARCH("Streaming", M1032)), "streaming", "cinema")</f>
        <v>cinema</v>
      </c>
      <c r="O1032" t="str">
        <f>IF(I1032=1, "non-original", "original")</f>
        <v>non-original</v>
      </c>
      <c r="P1032" t="str">
        <f>IF(J1032 = 1, "franchise", "non-franchise")</f>
        <v>franchise</v>
      </c>
      <c r="Q1032" t="str">
        <f>IF(OR(I1032 = 1,J1032 =1), "old", "new")</f>
        <v>old</v>
      </c>
      <c r="R1032">
        <f t="shared" si="32"/>
        <v>0.75727003116060132</v>
      </c>
      <c r="S1032">
        <f>IF(Q1032="new",1.5,1)*(K1032/10)*(1-(MIN(F1032,180)/180))</f>
        <v>0.19166666666666665</v>
      </c>
      <c r="T1032" t="str">
        <f t="shared" si="33"/>
        <v>Scenario 1: Strong Commitment</v>
      </c>
    </row>
    <row r="1033" spans="1:20" x14ac:dyDescent="0.35">
      <c r="A1033" t="s">
        <v>1328</v>
      </c>
      <c r="B1033" s="1">
        <v>44855</v>
      </c>
      <c r="C1033">
        <v>2022</v>
      </c>
      <c r="D1033">
        <v>10</v>
      </c>
      <c r="E1033" t="s">
        <v>125</v>
      </c>
      <c r="F1033">
        <v>114</v>
      </c>
      <c r="G1033" t="s">
        <v>985</v>
      </c>
      <c r="H1033" t="s">
        <v>24</v>
      </c>
      <c r="I1033">
        <v>1</v>
      </c>
      <c r="J1033">
        <v>0</v>
      </c>
      <c r="K1033">
        <v>7.6</v>
      </c>
      <c r="L1033">
        <v>292792</v>
      </c>
      <c r="M1033" t="s">
        <v>989</v>
      </c>
      <c r="N1033" t="str">
        <f>IF(ISNUMBER(SEARCH("Streaming", M1033)), "streaming", "cinema")</f>
        <v>cinema</v>
      </c>
      <c r="O1033" t="str">
        <f>IF(I1033=1, "non-original", "original")</f>
        <v>non-original</v>
      </c>
      <c r="P1033" t="str">
        <f>IF(J1033 = 1, "franchise", "non-franchise")</f>
        <v>non-franchise</v>
      </c>
      <c r="Q1033" t="str">
        <f>IF(OR(I1033 = 1,J1033 =1), "old", "new")</f>
        <v>old</v>
      </c>
      <c r="R1033">
        <f t="shared" si="32"/>
        <v>0.86503292042954949</v>
      </c>
      <c r="S1033">
        <f>IF(Q1033="new",1.5,1)*(K1033/10)*(1-(MIN(F1033,180)/180))</f>
        <v>0.27866666666666667</v>
      </c>
      <c r="T1033" t="str">
        <f t="shared" si="33"/>
        <v>Scenario 1: Strong Commitment</v>
      </c>
    </row>
    <row r="1034" spans="1:20" x14ac:dyDescent="0.35">
      <c r="A1034" t="s">
        <v>1329</v>
      </c>
      <c r="B1034" s="1">
        <v>44881</v>
      </c>
      <c r="C1034">
        <v>2022</v>
      </c>
      <c r="D1034">
        <v>11</v>
      </c>
      <c r="E1034" t="s">
        <v>125</v>
      </c>
      <c r="F1034">
        <v>107</v>
      </c>
      <c r="G1034" t="s">
        <v>1271</v>
      </c>
      <c r="H1034" t="s">
        <v>24</v>
      </c>
      <c r="I1034">
        <v>1</v>
      </c>
      <c r="J1034">
        <v>0</v>
      </c>
      <c r="K1034">
        <v>7.2</v>
      </c>
      <c r="L1034">
        <v>490980</v>
      </c>
      <c r="M1034" t="s">
        <v>983</v>
      </c>
      <c r="N1034" t="str">
        <f>IF(ISNUMBER(SEARCH("Streaming", M1034)), "streaming", "cinema")</f>
        <v>cinema</v>
      </c>
      <c r="O1034" t="str">
        <f>IF(I1034=1, "non-original", "original")</f>
        <v>non-original</v>
      </c>
      <c r="P1034" t="str">
        <f>IF(J1034 = 1, "franchise", "non-franchise")</f>
        <v>non-franchise</v>
      </c>
      <c r="Q1034" t="str">
        <f>IF(OR(I1034 = 1,J1034 =1), "old", "new")</f>
        <v>old</v>
      </c>
      <c r="R1034">
        <f t="shared" si="32"/>
        <v>0.84526125113549333</v>
      </c>
      <c r="S1034">
        <f>IF(Q1034="new",1.5,1)*(K1034/10)*(1-(MIN(F1034,180)/180))</f>
        <v>0.29199999999999998</v>
      </c>
      <c r="T1034" t="str">
        <f t="shared" si="33"/>
        <v>Scenario 1: Strong Commitment</v>
      </c>
    </row>
    <row r="1035" spans="1:20" x14ac:dyDescent="0.35">
      <c r="A1035" t="s">
        <v>1330</v>
      </c>
      <c r="B1035" s="1">
        <v>44883</v>
      </c>
      <c r="C1035">
        <v>2022</v>
      </c>
      <c r="D1035">
        <v>11</v>
      </c>
      <c r="E1035" t="s">
        <v>125</v>
      </c>
      <c r="F1035">
        <v>95</v>
      </c>
      <c r="G1035" t="s">
        <v>34</v>
      </c>
      <c r="H1035" t="s">
        <v>24</v>
      </c>
      <c r="I1035">
        <v>0</v>
      </c>
      <c r="J1035">
        <v>0</v>
      </c>
      <c r="K1035">
        <v>6.7</v>
      </c>
      <c r="L1035">
        <v>6037</v>
      </c>
      <c r="M1035" t="s">
        <v>983</v>
      </c>
      <c r="N1035" t="str">
        <f>IF(ISNUMBER(SEARCH("Streaming", M1035)), "streaming", "cinema")</f>
        <v>cinema</v>
      </c>
      <c r="O1035" t="str">
        <f>IF(I1035=1, "non-original", "original")</f>
        <v>original</v>
      </c>
      <c r="P1035" t="str">
        <f>IF(J1035 = 1, "franchise", "non-franchise")</f>
        <v>non-franchise</v>
      </c>
      <c r="Q1035" t="str">
        <f>IF(OR(I1035 = 1,J1035 =1), "old", "new")</f>
        <v>new</v>
      </c>
      <c r="R1035">
        <f t="shared" si="32"/>
        <v>0.33237795475811582</v>
      </c>
      <c r="S1035">
        <f>IF(Q1035="new",1.5,1)*(K1035/10)*(1-(MIN(F1035,180)/180))</f>
        <v>0.47458333333333336</v>
      </c>
      <c r="T1035" t="str">
        <f t="shared" si="33"/>
        <v>Scenario 3: Strong Convenience</v>
      </c>
    </row>
    <row r="1036" spans="1:20" x14ac:dyDescent="0.35">
      <c r="A1036" t="s">
        <v>1331</v>
      </c>
      <c r="B1036" s="1">
        <v>44895</v>
      </c>
      <c r="C1036">
        <v>2022</v>
      </c>
      <c r="D1036">
        <v>11</v>
      </c>
      <c r="E1036" t="s">
        <v>125</v>
      </c>
      <c r="F1036">
        <v>112</v>
      </c>
      <c r="G1036" t="s">
        <v>1143</v>
      </c>
      <c r="H1036" t="s">
        <v>24</v>
      </c>
      <c r="I1036">
        <v>1</v>
      </c>
      <c r="J1036">
        <v>0</v>
      </c>
      <c r="K1036">
        <v>6.7</v>
      </c>
      <c r="L1036">
        <v>120825</v>
      </c>
      <c r="M1036" t="s">
        <v>989</v>
      </c>
      <c r="N1036" t="str">
        <f>IF(ISNUMBER(SEARCH("Streaming", M1036)), "streaming", "cinema")</f>
        <v>cinema</v>
      </c>
      <c r="O1036" t="str">
        <f>IF(I1036=1, "non-original", "original")</f>
        <v>non-original</v>
      </c>
      <c r="P1036" t="str">
        <f>IF(J1036 = 1, "franchise", "non-franchise")</f>
        <v>non-franchise</v>
      </c>
      <c r="Q1036" t="str">
        <f>IF(OR(I1036 = 1,J1036 =1), "old", "new")</f>
        <v>old</v>
      </c>
      <c r="R1036">
        <f t="shared" si="32"/>
        <v>0.79009590592540291</v>
      </c>
      <c r="S1036">
        <f>IF(Q1036="new",1.5,1)*(K1036/10)*(1-(MIN(F1036,180)/180))</f>
        <v>0.25311111111111112</v>
      </c>
      <c r="T1036" t="str">
        <f t="shared" si="33"/>
        <v>Scenario 1: Strong Commitment</v>
      </c>
    </row>
    <row r="1037" spans="1:20" x14ac:dyDescent="0.35">
      <c r="A1037" t="s">
        <v>1332</v>
      </c>
      <c r="B1037" s="1">
        <v>44916</v>
      </c>
      <c r="C1037">
        <v>2022</v>
      </c>
      <c r="D1037">
        <v>12</v>
      </c>
      <c r="E1037" t="s">
        <v>14</v>
      </c>
      <c r="F1037">
        <v>117</v>
      </c>
      <c r="G1037" t="s">
        <v>34</v>
      </c>
      <c r="H1037" t="s">
        <v>24</v>
      </c>
      <c r="I1037">
        <v>0</v>
      </c>
      <c r="J1037">
        <v>0</v>
      </c>
      <c r="K1037">
        <v>7.6</v>
      </c>
      <c r="L1037">
        <v>278967</v>
      </c>
      <c r="M1037" t="s">
        <v>989</v>
      </c>
      <c r="N1037" t="str">
        <f>IF(ISNUMBER(SEARCH("Streaming", M1037)), "streaming", "cinema")</f>
        <v>cinema</v>
      </c>
      <c r="O1037" t="str">
        <f>IF(I1037=1, "non-original", "original")</f>
        <v>original</v>
      </c>
      <c r="P1037" t="str">
        <f>IF(J1037 = 1, "franchise", "non-franchise")</f>
        <v>non-franchise</v>
      </c>
      <c r="Q1037" t="str">
        <f>IF(OR(I1037 = 1,J1037 =1), "old", "new")</f>
        <v>new</v>
      </c>
      <c r="R1037">
        <f t="shared" si="32"/>
        <v>0.58959026861827912</v>
      </c>
      <c r="S1037">
        <f>IF(Q1037="new",1.5,1)*(K1037/10)*(1-(MIN(F1037,180)/180))</f>
        <v>0.39900000000000002</v>
      </c>
      <c r="T1037" t="str">
        <f t="shared" si="33"/>
        <v>Scenario 4: Hybrid Logic</v>
      </c>
    </row>
    <row r="1038" spans="1:20" x14ac:dyDescent="0.35">
      <c r="A1038" t="s">
        <v>1333</v>
      </c>
      <c r="B1038" s="1">
        <v>44918</v>
      </c>
      <c r="C1038">
        <v>2022</v>
      </c>
      <c r="D1038">
        <v>12</v>
      </c>
      <c r="E1038" t="s">
        <v>14</v>
      </c>
      <c r="F1038">
        <v>189</v>
      </c>
      <c r="G1038" t="s">
        <v>985</v>
      </c>
      <c r="H1038" t="s">
        <v>24</v>
      </c>
      <c r="I1038">
        <v>1</v>
      </c>
      <c r="J1038">
        <v>0</v>
      </c>
      <c r="K1038">
        <v>7.1</v>
      </c>
      <c r="L1038">
        <v>204308</v>
      </c>
      <c r="M1038" t="s">
        <v>983</v>
      </c>
      <c r="N1038" t="str">
        <f>IF(ISNUMBER(SEARCH("Streaming", M1038)), "streaming", "cinema")</f>
        <v>cinema</v>
      </c>
      <c r="O1038" t="str">
        <f>IF(I1038=1, "non-original", "original")</f>
        <v>non-original</v>
      </c>
      <c r="P1038" t="str">
        <f>IF(J1038 = 1, "franchise", "non-franchise")</f>
        <v>non-franchise</v>
      </c>
      <c r="Q1038" t="str">
        <f>IF(OR(I1038 = 1,J1038 =1), "old", "new")</f>
        <v>old</v>
      </c>
      <c r="R1038">
        <f t="shared" si="32"/>
        <v>1.3267958174299996</v>
      </c>
      <c r="S1038">
        <f>IF(Q1038="new",1.5,1)*(K1038/10)*(1-(MIN(F1038,180)/180))</f>
        <v>0</v>
      </c>
      <c r="T1038" t="str">
        <f t="shared" si="33"/>
        <v>Scenario 1: Strong Commitment</v>
      </c>
    </row>
    <row r="1039" spans="1:20" x14ac:dyDescent="0.35">
      <c r="A1039" t="s">
        <v>1334</v>
      </c>
      <c r="B1039" s="1">
        <v>44958</v>
      </c>
      <c r="C1039">
        <v>2023</v>
      </c>
      <c r="D1039">
        <v>2</v>
      </c>
      <c r="E1039" t="s">
        <v>14</v>
      </c>
      <c r="F1039">
        <v>100</v>
      </c>
      <c r="G1039" t="s">
        <v>1209</v>
      </c>
      <c r="H1039" t="s">
        <v>24</v>
      </c>
      <c r="I1039">
        <v>0</v>
      </c>
      <c r="J1039">
        <v>0</v>
      </c>
      <c r="K1039">
        <v>6.1</v>
      </c>
      <c r="L1039">
        <v>140535</v>
      </c>
      <c r="M1039" t="s">
        <v>989</v>
      </c>
      <c r="N1039" t="str">
        <f>IF(ISNUMBER(SEARCH("Streaming", M1039)), "streaming", "cinema")</f>
        <v>cinema</v>
      </c>
      <c r="O1039" t="str">
        <f>IF(I1039=1, "non-original", "original")</f>
        <v>original</v>
      </c>
      <c r="P1039" t="str">
        <f>IF(J1039 = 1, "franchise", "non-franchise")</f>
        <v>non-franchise</v>
      </c>
      <c r="Q1039" t="str">
        <f>IF(OR(I1039 = 1,J1039 =1), "old", "new")</f>
        <v>new</v>
      </c>
      <c r="R1039">
        <f t="shared" si="32"/>
        <v>0.47636827066762588</v>
      </c>
      <c r="S1039">
        <f>IF(Q1039="new",1.5,1)*(K1039/10)*(1-(MIN(F1039,180)/180))</f>
        <v>0.40666666666666668</v>
      </c>
      <c r="T1039" t="str">
        <f t="shared" si="33"/>
        <v>Scenario 4: Hybrid Logic</v>
      </c>
    </row>
    <row r="1040" spans="1:20" x14ac:dyDescent="0.35">
      <c r="A1040" t="s">
        <v>1335</v>
      </c>
      <c r="B1040" s="1">
        <v>44993</v>
      </c>
      <c r="C1040">
        <v>2023</v>
      </c>
      <c r="D1040">
        <v>3</v>
      </c>
      <c r="E1040" t="s">
        <v>38</v>
      </c>
      <c r="F1040">
        <v>122</v>
      </c>
      <c r="G1040" t="s">
        <v>1209</v>
      </c>
      <c r="H1040" t="s">
        <v>24</v>
      </c>
      <c r="I1040">
        <v>1</v>
      </c>
      <c r="J1040">
        <v>1</v>
      </c>
      <c r="K1040">
        <v>6.4</v>
      </c>
      <c r="L1040">
        <v>148670</v>
      </c>
      <c r="M1040" t="s">
        <v>989</v>
      </c>
      <c r="N1040" t="str">
        <f>IF(ISNUMBER(SEARCH("Streaming", M1040)), "streaming", "cinema")</f>
        <v>cinema</v>
      </c>
      <c r="O1040" t="str">
        <f>IF(I1040=1, "non-original", "original")</f>
        <v>non-original</v>
      </c>
      <c r="P1040" t="str">
        <f>IF(J1040 = 1, "franchise", "non-franchise")</f>
        <v>franchise</v>
      </c>
      <c r="Q1040" t="str">
        <f>IF(OR(I1040 = 1,J1040 =1), "old", "new")</f>
        <v>old</v>
      </c>
      <c r="R1040">
        <f t="shared" si="32"/>
        <v>0.87589254251020299</v>
      </c>
      <c r="S1040">
        <f>IF(Q1040="new",1.5,1)*(K1040/10)*(1-(MIN(F1040,180)/180))</f>
        <v>0.2062222222222222</v>
      </c>
      <c r="T1040" t="str">
        <f t="shared" si="33"/>
        <v>Scenario 1: Strong Commitment</v>
      </c>
    </row>
    <row r="1041" spans="1:20" x14ac:dyDescent="0.35">
      <c r="A1041" t="s">
        <v>1336</v>
      </c>
      <c r="B1041" s="1">
        <v>45007</v>
      </c>
      <c r="C1041">
        <v>2023</v>
      </c>
      <c r="D1041">
        <v>3</v>
      </c>
      <c r="E1041" t="s">
        <v>38</v>
      </c>
      <c r="F1041">
        <v>169</v>
      </c>
      <c r="G1041" t="s">
        <v>1126</v>
      </c>
      <c r="H1041" t="s">
        <v>24</v>
      </c>
      <c r="I1041">
        <v>1</v>
      </c>
      <c r="J1041">
        <v>1</v>
      </c>
      <c r="K1041">
        <v>7.6</v>
      </c>
      <c r="L1041">
        <v>406420</v>
      </c>
      <c r="M1041" t="s">
        <v>989</v>
      </c>
      <c r="N1041" t="str">
        <f>IF(ISNUMBER(SEARCH("Streaming", M1041)), "streaming", "cinema")</f>
        <v>cinema</v>
      </c>
      <c r="O1041" t="str">
        <f>IF(I1041=1, "non-original", "original")</f>
        <v>non-original</v>
      </c>
      <c r="P1041" t="str">
        <f>IF(J1041 = 1, "franchise", "non-franchise")</f>
        <v>franchise</v>
      </c>
      <c r="Q1041" t="str">
        <f>IF(OR(I1041 = 1,J1041 =1), "old", "new")</f>
        <v>old</v>
      </c>
      <c r="R1041">
        <f t="shared" si="32"/>
        <v>1.3157820051777471</v>
      </c>
      <c r="S1041">
        <f>IF(Q1041="new",1.5,1)*(K1041/10)*(1-(MIN(F1041,180)/180))</f>
        <v>4.6444444444444448E-2</v>
      </c>
      <c r="T1041" t="str">
        <f t="shared" si="33"/>
        <v>Scenario 1: Strong Commitment</v>
      </c>
    </row>
    <row r="1042" spans="1:20" x14ac:dyDescent="0.35">
      <c r="A1042" t="s">
        <v>1337</v>
      </c>
      <c r="B1042" s="1">
        <v>45022</v>
      </c>
      <c r="C1042">
        <v>2023</v>
      </c>
      <c r="D1042">
        <v>4</v>
      </c>
      <c r="E1042" t="s">
        <v>38</v>
      </c>
      <c r="F1042">
        <v>93</v>
      </c>
      <c r="G1042" t="s">
        <v>1338</v>
      </c>
      <c r="H1042" t="s">
        <v>24</v>
      </c>
      <c r="I1042">
        <v>1</v>
      </c>
      <c r="J1042">
        <v>0</v>
      </c>
      <c r="K1042">
        <v>6.4</v>
      </c>
      <c r="L1042">
        <v>118844</v>
      </c>
      <c r="M1042" t="s">
        <v>983</v>
      </c>
      <c r="N1042" t="str">
        <f>IF(ISNUMBER(SEARCH("Streaming", M1042)), "streaming", "cinema")</f>
        <v>cinema</v>
      </c>
      <c r="O1042" t="str">
        <f>IF(I1042=1, "non-original", "original")</f>
        <v>non-original</v>
      </c>
      <c r="P1042" t="str">
        <f>IF(J1042 = 1, "franchise", "non-franchise")</f>
        <v>non-franchise</v>
      </c>
      <c r="Q1042" t="str">
        <f>IF(OR(I1042 = 1,J1042 =1), "old", "new")</f>
        <v>old</v>
      </c>
      <c r="R1042">
        <f t="shared" si="32"/>
        <v>0.65513496310546671</v>
      </c>
      <c r="S1042">
        <f>IF(Q1042="new",1.5,1)*(K1042/10)*(1-(MIN(F1042,180)/180))</f>
        <v>0.30933333333333329</v>
      </c>
      <c r="T1042" t="str">
        <f t="shared" si="33"/>
        <v>Scenario 1: Strong Commitment</v>
      </c>
    </row>
    <row r="1043" spans="1:20" x14ac:dyDescent="0.35">
      <c r="A1043" t="s">
        <v>1339</v>
      </c>
      <c r="B1043" s="1">
        <v>45029</v>
      </c>
      <c r="C1043">
        <v>2023</v>
      </c>
      <c r="D1043">
        <v>4</v>
      </c>
      <c r="E1043" t="s">
        <v>38</v>
      </c>
      <c r="F1043">
        <v>101</v>
      </c>
      <c r="G1043" t="s">
        <v>1312</v>
      </c>
      <c r="H1043" t="s">
        <v>24</v>
      </c>
      <c r="I1043">
        <v>1</v>
      </c>
      <c r="J1043">
        <v>0</v>
      </c>
      <c r="K1043">
        <v>5.4</v>
      </c>
      <c r="L1043">
        <v>13967</v>
      </c>
      <c r="M1043" t="s">
        <v>983</v>
      </c>
      <c r="N1043" t="str">
        <f>IF(ISNUMBER(SEARCH("Streaming", M1043)), "streaming", "cinema")</f>
        <v>cinema</v>
      </c>
      <c r="O1043" t="str">
        <f>IF(I1043=1, "non-original", "original")</f>
        <v>non-original</v>
      </c>
      <c r="P1043" t="str">
        <f>IF(J1043 = 1, "franchise", "non-franchise")</f>
        <v>non-franchise</v>
      </c>
      <c r="Q1043" t="str">
        <f>IF(OR(I1043 = 1,J1043 =1), "old", "new")</f>
        <v>old</v>
      </c>
      <c r="R1043">
        <f t="shared" si="32"/>
        <v>0.58112618199965815</v>
      </c>
      <c r="S1043">
        <f>IF(Q1043="new",1.5,1)*(K1043/10)*(1-(MIN(F1043,180)/180))</f>
        <v>0.23700000000000002</v>
      </c>
      <c r="T1043" t="str">
        <f t="shared" si="33"/>
        <v>Scenario 1: Strong Commitment</v>
      </c>
    </row>
    <row r="1044" spans="1:20" x14ac:dyDescent="0.35">
      <c r="A1044" t="s">
        <v>1340</v>
      </c>
      <c r="B1044" s="1">
        <v>45071</v>
      </c>
      <c r="C1044">
        <v>2023</v>
      </c>
      <c r="D1044">
        <v>5</v>
      </c>
      <c r="E1044" t="s">
        <v>38</v>
      </c>
      <c r="F1044">
        <v>112</v>
      </c>
      <c r="G1044" t="s">
        <v>1086</v>
      </c>
      <c r="H1044" t="s">
        <v>24</v>
      </c>
      <c r="I1044">
        <v>1</v>
      </c>
      <c r="J1044">
        <v>0</v>
      </c>
      <c r="K1044">
        <v>5.7</v>
      </c>
      <c r="L1044">
        <v>17949</v>
      </c>
      <c r="M1044" t="s">
        <v>983</v>
      </c>
      <c r="N1044" t="str">
        <f>IF(ISNUMBER(SEARCH("Streaming", M1044)), "streaming", "cinema")</f>
        <v>cinema</v>
      </c>
      <c r="O1044" t="str">
        <f>IF(I1044=1, "non-original", "original")</f>
        <v>non-original</v>
      </c>
      <c r="P1044" t="str">
        <f>IF(J1044 = 1, "franchise", "non-franchise")</f>
        <v>non-franchise</v>
      </c>
      <c r="Q1044" t="str">
        <f>IF(OR(I1044 = 1,J1044 =1), "old", "new")</f>
        <v>old</v>
      </c>
      <c r="R1044">
        <f t="shared" si="32"/>
        <v>0.66135302803348972</v>
      </c>
      <c r="S1044">
        <f>IF(Q1044="new",1.5,1)*(K1044/10)*(1-(MIN(F1044,180)/180))</f>
        <v>0.21533333333333335</v>
      </c>
      <c r="T1044" t="str">
        <f t="shared" si="33"/>
        <v>Scenario 1: Strong Commitment</v>
      </c>
    </row>
    <row r="1045" spans="1:20" x14ac:dyDescent="0.35">
      <c r="A1045" t="s">
        <v>1341</v>
      </c>
      <c r="B1045" s="1">
        <v>45092</v>
      </c>
      <c r="C1045">
        <v>2023</v>
      </c>
      <c r="D1045">
        <v>6</v>
      </c>
      <c r="E1045" t="s">
        <v>78</v>
      </c>
      <c r="F1045">
        <v>103</v>
      </c>
      <c r="G1045" t="s">
        <v>1239</v>
      </c>
      <c r="H1045" t="s">
        <v>24</v>
      </c>
      <c r="I1045">
        <v>1</v>
      </c>
      <c r="J1045">
        <v>0</v>
      </c>
      <c r="K1045">
        <v>6.3</v>
      </c>
      <c r="L1045">
        <v>213035</v>
      </c>
      <c r="M1045" t="s">
        <v>983</v>
      </c>
      <c r="N1045" t="str">
        <f>IF(ISNUMBER(SEARCH("Streaming", M1045)), "streaming", "cinema")</f>
        <v>cinema</v>
      </c>
      <c r="O1045" t="str">
        <f>IF(I1045=1, "non-original", "original")</f>
        <v>non-original</v>
      </c>
      <c r="P1045" t="str">
        <f>IF(J1045 = 1, "franchise", "non-franchise")</f>
        <v>non-franchise</v>
      </c>
      <c r="Q1045" t="str">
        <f>IF(OR(I1045 = 1,J1045 =1), "old", "new")</f>
        <v>old</v>
      </c>
      <c r="R1045">
        <f t="shared" si="32"/>
        <v>0.76181922130619972</v>
      </c>
      <c r="S1045">
        <f>IF(Q1045="new",1.5,1)*(K1045/10)*(1-(MIN(F1045,180)/180))</f>
        <v>0.26950000000000002</v>
      </c>
      <c r="T1045" t="str">
        <f t="shared" si="33"/>
        <v>Scenario 1: Strong Commitment</v>
      </c>
    </row>
    <row r="1046" spans="1:20" x14ac:dyDescent="0.35">
      <c r="A1046" t="s">
        <v>1342</v>
      </c>
      <c r="B1046" s="1">
        <v>45126</v>
      </c>
      <c r="C1046">
        <v>2023</v>
      </c>
      <c r="D1046">
        <v>7</v>
      </c>
      <c r="E1046" t="s">
        <v>78</v>
      </c>
      <c r="F1046">
        <v>180</v>
      </c>
      <c r="G1046" t="s">
        <v>1000</v>
      </c>
      <c r="H1046" t="s">
        <v>24</v>
      </c>
      <c r="I1046">
        <v>0</v>
      </c>
      <c r="J1046">
        <v>0</v>
      </c>
      <c r="K1046">
        <v>8.1999999999999993</v>
      </c>
      <c r="L1046">
        <v>1008108</v>
      </c>
      <c r="M1046" t="s">
        <v>989</v>
      </c>
      <c r="N1046" t="str">
        <f>IF(ISNUMBER(SEARCH("Streaming", M1046)), "streaming", "cinema")</f>
        <v>cinema</v>
      </c>
      <c r="O1046" t="str">
        <f>IF(I1046=1, "non-original", "original")</f>
        <v>original</v>
      </c>
      <c r="P1046" t="str">
        <f>IF(J1046 = 1, "franchise", "non-franchise")</f>
        <v>non-franchise</v>
      </c>
      <c r="Q1046" t="str">
        <f>IF(OR(I1046 = 1,J1046 =1), "old", "new")</f>
        <v>new</v>
      </c>
      <c r="R1046">
        <f t="shared" si="32"/>
        <v>1</v>
      </c>
      <c r="S1046">
        <f>IF(Q1046="new",1.5,1)*(K1046/10)*(1-(MIN(F1046,180)/180))</f>
        <v>0</v>
      </c>
      <c r="T1046" t="str">
        <f t="shared" si="33"/>
        <v>Scenario 1: Strong Commitment</v>
      </c>
    </row>
    <row r="1047" spans="1:20" x14ac:dyDescent="0.35">
      <c r="A1047" t="s">
        <v>1343</v>
      </c>
      <c r="B1047" s="1">
        <v>45142</v>
      </c>
      <c r="C1047">
        <v>2023</v>
      </c>
      <c r="D1047">
        <v>8</v>
      </c>
      <c r="E1047" t="s">
        <v>78</v>
      </c>
      <c r="F1047">
        <v>93</v>
      </c>
      <c r="G1047" t="s">
        <v>1344</v>
      </c>
      <c r="H1047" t="s">
        <v>24</v>
      </c>
      <c r="I1047">
        <v>1</v>
      </c>
      <c r="J1047">
        <v>0</v>
      </c>
      <c r="K1047">
        <v>6.3</v>
      </c>
      <c r="L1047">
        <v>37512</v>
      </c>
      <c r="M1047" t="s">
        <v>983</v>
      </c>
      <c r="N1047" t="str">
        <f>IF(ISNUMBER(SEARCH("Streaming", M1047)), "streaming", "cinema")</f>
        <v>cinema</v>
      </c>
      <c r="O1047" t="str">
        <f>IF(I1047=1, "non-original", "original")</f>
        <v>non-original</v>
      </c>
      <c r="P1047" t="str">
        <f>IF(J1047 = 1, "franchise", "non-franchise")</f>
        <v>non-franchise</v>
      </c>
      <c r="Q1047" t="str">
        <f>IF(OR(I1047 = 1,J1047 =1), "old", "new")</f>
        <v>old</v>
      </c>
      <c r="R1047">
        <f t="shared" si="32"/>
        <v>0.59048517544365986</v>
      </c>
      <c r="S1047">
        <f>IF(Q1047="new",1.5,1)*(K1047/10)*(1-(MIN(F1047,180)/180))</f>
        <v>0.30449999999999999</v>
      </c>
      <c r="T1047" t="str">
        <f t="shared" si="33"/>
        <v>Scenario 1: Strong Commitment</v>
      </c>
    </row>
    <row r="1048" spans="1:20" x14ac:dyDescent="0.35">
      <c r="A1048" t="s">
        <v>1345</v>
      </c>
      <c r="B1048" s="1">
        <v>45147</v>
      </c>
      <c r="C1048">
        <v>2023</v>
      </c>
      <c r="D1048">
        <v>8</v>
      </c>
      <c r="E1048" t="s">
        <v>78</v>
      </c>
      <c r="F1048">
        <v>118</v>
      </c>
      <c r="G1048" t="s">
        <v>1346</v>
      </c>
      <c r="H1048" t="s">
        <v>24</v>
      </c>
      <c r="I1048">
        <v>0</v>
      </c>
      <c r="J1048">
        <v>0</v>
      </c>
      <c r="K1048">
        <v>6.1</v>
      </c>
      <c r="L1048">
        <v>69379</v>
      </c>
      <c r="M1048" t="s">
        <v>983</v>
      </c>
      <c r="N1048" t="str">
        <f>IF(ISNUMBER(SEARCH("Streaming", M1048)), "streaming", "cinema")</f>
        <v>cinema</v>
      </c>
      <c r="O1048" t="str">
        <f>IF(I1048=1, "non-original", "original")</f>
        <v>original</v>
      </c>
      <c r="P1048" t="str">
        <f>IF(J1048 = 1, "franchise", "non-franchise")</f>
        <v>non-franchise</v>
      </c>
      <c r="Q1048" t="str">
        <f>IF(OR(I1048 = 1,J1048 =1), "old", "new")</f>
        <v>new</v>
      </c>
      <c r="R1048">
        <f t="shared" si="32"/>
        <v>0.52863999363228042</v>
      </c>
      <c r="S1048">
        <f>IF(Q1048="new",1.5,1)*(K1048/10)*(1-(MIN(F1048,180)/180))</f>
        <v>0.31516666666666665</v>
      </c>
      <c r="T1048" t="str">
        <f t="shared" si="33"/>
        <v>Scenario 1: Strong Commitment</v>
      </c>
    </row>
    <row r="1049" spans="1:20" x14ac:dyDescent="0.35">
      <c r="A1049" t="s">
        <v>1347</v>
      </c>
      <c r="B1049" s="1">
        <v>45163</v>
      </c>
      <c r="C1049">
        <v>2023</v>
      </c>
      <c r="D1049">
        <v>8</v>
      </c>
      <c r="E1049" t="s">
        <v>78</v>
      </c>
      <c r="F1049">
        <v>91</v>
      </c>
      <c r="G1049" t="s">
        <v>21</v>
      </c>
      <c r="H1049" t="s">
        <v>24</v>
      </c>
      <c r="I1049">
        <v>1</v>
      </c>
      <c r="J1049">
        <v>0</v>
      </c>
      <c r="K1049">
        <v>6.7</v>
      </c>
      <c r="L1049">
        <v>57172</v>
      </c>
      <c r="M1049" t="s">
        <v>983</v>
      </c>
      <c r="N1049" t="str">
        <f>IF(ISNUMBER(SEARCH("Streaming", M1049)), "streaming", "cinema")</f>
        <v>cinema</v>
      </c>
      <c r="O1049" t="str">
        <f>IF(I1049=1, "non-original", "original")</f>
        <v>non-original</v>
      </c>
      <c r="P1049" t="str">
        <f>IF(J1049 = 1, "franchise", "non-franchise")</f>
        <v>non-franchise</v>
      </c>
      <c r="Q1049" t="str">
        <f>IF(OR(I1049 = 1,J1049 =1), "old", "new")</f>
        <v>old</v>
      </c>
      <c r="R1049">
        <f t="shared" si="32"/>
        <v>0.60090388782721593</v>
      </c>
      <c r="S1049">
        <f>IF(Q1049="new",1.5,1)*(K1049/10)*(1-(MIN(F1049,180)/180))</f>
        <v>0.33127777777777784</v>
      </c>
      <c r="T1049" t="str">
        <f t="shared" si="33"/>
        <v>Scenario 4: Hybrid Logic</v>
      </c>
    </row>
    <row r="1050" spans="1:20" x14ac:dyDescent="0.35">
      <c r="A1050" t="s">
        <v>1348</v>
      </c>
      <c r="B1050" s="1">
        <v>45184</v>
      </c>
      <c r="C1050">
        <v>2023</v>
      </c>
      <c r="D1050">
        <v>9</v>
      </c>
      <c r="E1050" t="s">
        <v>125</v>
      </c>
      <c r="F1050">
        <v>105</v>
      </c>
      <c r="G1050" t="s">
        <v>1349</v>
      </c>
      <c r="H1050" t="s">
        <v>24</v>
      </c>
      <c r="I1050">
        <v>0</v>
      </c>
      <c r="J1050">
        <v>0</v>
      </c>
      <c r="K1050">
        <v>6.8</v>
      </c>
      <c r="L1050">
        <v>62161</v>
      </c>
      <c r="M1050" t="s">
        <v>983</v>
      </c>
      <c r="N1050" t="str">
        <f>IF(ISNUMBER(SEARCH("Streaming", M1050)), "streaming", "cinema")</f>
        <v>cinema</v>
      </c>
      <c r="O1050" t="str">
        <f>IF(I1050=1, "non-original", "original")</f>
        <v>original</v>
      </c>
      <c r="P1050" t="str">
        <f>IF(J1050 = 1, "franchise", "non-franchise")</f>
        <v>non-franchise</v>
      </c>
      <c r="Q1050" t="str">
        <f>IF(OR(I1050 = 1,J1050 =1), "old", "new")</f>
        <v>new</v>
      </c>
      <c r="R1050">
        <f t="shared" si="32"/>
        <v>0.46576422754943297</v>
      </c>
      <c r="S1050">
        <f>IF(Q1050="new",1.5,1)*(K1050/10)*(1-(MIN(F1050,180)/180))</f>
        <v>0.42499999999999999</v>
      </c>
      <c r="T1050" t="str">
        <f t="shared" si="33"/>
        <v>Scenario 3: Strong Convenience</v>
      </c>
    </row>
    <row r="1051" spans="1:20" x14ac:dyDescent="0.35">
      <c r="A1051" t="s">
        <v>1350</v>
      </c>
      <c r="B1051" s="1">
        <v>45196</v>
      </c>
      <c r="C1051">
        <v>2023</v>
      </c>
      <c r="D1051">
        <v>9</v>
      </c>
      <c r="E1051" t="s">
        <v>125</v>
      </c>
      <c r="F1051">
        <v>118</v>
      </c>
      <c r="G1051" t="s">
        <v>1209</v>
      </c>
      <c r="H1051" t="s">
        <v>24</v>
      </c>
      <c r="I1051">
        <v>1</v>
      </c>
      <c r="J1051">
        <v>1</v>
      </c>
      <c r="K1051">
        <v>6.6</v>
      </c>
      <c r="L1051">
        <v>96303</v>
      </c>
      <c r="M1051" t="s">
        <v>989</v>
      </c>
      <c r="N1051" t="str">
        <f>IF(ISNUMBER(SEARCH("Streaming", M1051)), "streaming", "cinema")</f>
        <v>cinema</v>
      </c>
      <c r="O1051" t="str">
        <f>IF(I1051=1, "non-original", "original")</f>
        <v>non-original</v>
      </c>
      <c r="P1051" t="str">
        <f>IF(J1051 = 1, "franchise", "non-franchise")</f>
        <v>franchise</v>
      </c>
      <c r="Q1051" t="str">
        <f>IF(OR(I1051 = 1,J1051 =1), "old", "new")</f>
        <v>old</v>
      </c>
      <c r="R1051">
        <f t="shared" si="32"/>
        <v>0.81628606459528719</v>
      </c>
      <c r="S1051">
        <f>IF(Q1051="new",1.5,1)*(K1051/10)*(1-(MIN(F1051,180)/180))</f>
        <v>0.2273333333333333</v>
      </c>
      <c r="T1051" t="str">
        <f t="shared" si="33"/>
        <v>Scenario 1: Strong Commitment</v>
      </c>
    </row>
    <row r="1052" spans="1:20" x14ac:dyDescent="0.35">
      <c r="A1052" t="s">
        <v>1351</v>
      </c>
      <c r="B1052" s="1">
        <v>45203</v>
      </c>
      <c r="C1052">
        <v>2023</v>
      </c>
      <c r="D1052">
        <v>10</v>
      </c>
      <c r="E1052" t="s">
        <v>125</v>
      </c>
      <c r="F1052">
        <v>111</v>
      </c>
      <c r="G1052" t="s">
        <v>92</v>
      </c>
      <c r="H1052" t="s">
        <v>24</v>
      </c>
      <c r="I1052">
        <v>1</v>
      </c>
      <c r="J1052">
        <v>1</v>
      </c>
      <c r="K1052">
        <v>4.8</v>
      </c>
      <c r="L1052">
        <v>50321</v>
      </c>
      <c r="M1052" t="s">
        <v>989</v>
      </c>
      <c r="N1052" t="str">
        <f>IF(ISNUMBER(SEARCH("Streaming", M1052)), "streaming", "cinema")</f>
        <v>cinema</v>
      </c>
      <c r="O1052" t="str">
        <f>IF(I1052=1, "non-original", "original")</f>
        <v>non-original</v>
      </c>
      <c r="P1052" t="str">
        <f>IF(J1052 = 1, "franchise", "non-franchise")</f>
        <v>franchise</v>
      </c>
      <c r="Q1052" t="str">
        <f>IF(OR(I1052 = 1,J1052 =1), "old", "new")</f>
        <v>old</v>
      </c>
      <c r="R1052">
        <f t="shared" si="32"/>
        <v>0.72442957490800497</v>
      </c>
      <c r="S1052">
        <f>IF(Q1052="new",1.5,1)*(K1052/10)*(1-(MIN(F1052,180)/180))</f>
        <v>0.18399999999999997</v>
      </c>
      <c r="T1052" t="str">
        <f t="shared" si="33"/>
        <v>Scenario 1: Strong Commitment</v>
      </c>
    </row>
    <row r="1053" spans="1:20" x14ac:dyDescent="0.35">
      <c r="A1053" t="s">
        <v>1352</v>
      </c>
      <c r="B1053" s="1">
        <v>45217</v>
      </c>
      <c r="C1053">
        <v>2023</v>
      </c>
      <c r="D1053">
        <v>10</v>
      </c>
      <c r="E1053" t="s">
        <v>125</v>
      </c>
      <c r="F1053">
        <v>206</v>
      </c>
      <c r="G1053" t="s">
        <v>1353</v>
      </c>
      <c r="H1053" t="s">
        <v>24</v>
      </c>
      <c r="I1053">
        <v>0</v>
      </c>
      <c r="J1053">
        <v>0</v>
      </c>
      <c r="K1053">
        <v>7.5</v>
      </c>
      <c r="L1053">
        <v>303431</v>
      </c>
      <c r="M1053" t="s">
        <v>983</v>
      </c>
      <c r="N1053" t="str">
        <f>IF(ISNUMBER(SEARCH("Streaming", M1053)), "streaming", "cinema")</f>
        <v>cinema</v>
      </c>
      <c r="O1053" t="str">
        <f>IF(I1053=1, "non-original", "original")</f>
        <v>original</v>
      </c>
      <c r="P1053" t="str">
        <f>IF(J1053 = 1, "franchise", "non-franchise")</f>
        <v>non-franchise</v>
      </c>
      <c r="Q1053" t="str">
        <f>IF(OR(I1053 = 1,J1053 =1), "old", "new")</f>
        <v>new</v>
      </c>
      <c r="R1053">
        <f t="shared" si="32"/>
        <v>0.91314291671805281</v>
      </c>
      <c r="S1053">
        <f>IF(Q1053="new",1.5,1)*(K1053/10)*(1-(MIN(F1053,180)/180))</f>
        <v>0</v>
      </c>
      <c r="T1053" t="str">
        <f t="shared" si="33"/>
        <v>Scenario 1: Strong Commitment</v>
      </c>
    </row>
    <row r="1054" spans="1:20" x14ac:dyDescent="0.35">
      <c r="A1054" t="s">
        <v>1354</v>
      </c>
      <c r="B1054" s="1">
        <v>45226</v>
      </c>
      <c r="C1054">
        <v>2023</v>
      </c>
      <c r="D1054">
        <v>10</v>
      </c>
      <c r="E1054" t="s">
        <v>125</v>
      </c>
      <c r="F1054">
        <v>113</v>
      </c>
      <c r="G1054" t="s">
        <v>1020</v>
      </c>
      <c r="H1054" t="s">
        <v>24</v>
      </c>
      <c r="I1054">
        <v>0</v>
      </c>
      <c r="J1054">
        <v>0</v>
      </c>
      <c r="K1054">
        <v>6.4</v>
      </c>
      <c r="L1054">
        <v>53625</v>
      </c>
      <c r="M1054" t="s">
        <v>983</v>
      </c>
      <c r="N1054" t="str">
        <f>IF(ISNUMBER(SEARCH("Streaming", M1054)), "streaming", "cinema")</f>
        <v>cinema</v>
      </c>
      <c r="O1054" t="str">
        <f>IF(I1054=1, "non-original", "original")</f>
        <v>original</v>
      </c>
      <c r="P1054" t="str">
        <f>IF(J1054 = 1, "franchise", "non-franchise")</f>
        <v>non-franchise</v>
      </c>
      <c r="Q1054" t="str">
        <f>IF(OR(I1054 = 1,J1054 =1), "old", "new")</f>
        <v>new</v>
      </c>
      <c r="R1054">
        <f t="shared" si="32"/>
        <v>0.49454288416725872</v>
      </c>
      <c r="S1054">
        <f>IF(Q1054="new",1.5,1)*(K1054/10)*(1-(MIN(F1054,180)/180))</f>
        <v>0.35733333333333334</v>
      </c>
      <c r="T1054" t="str">
        <f t="shared" si="33"/>
        <v>Scenario 4: Hybrid Logic</v>
      </c>
    </row>
    <row r="1055" spans="1:20" x14ac:dyDescent="0.35">
      <c r="A1055" t="s">
        <v>1355</v>
      </c>
      <c r="B1055" s="1">
        <v>45246</v>
      </c>
      <c r="C1055">
        <v>2023</v>
      </c>
      <c r="D1055">
        <v>11</v>
      </c>
      <c r="E1055" t="s">
        <v>125</v>
      </c>
      <c r="F1055">
        <v>106</v>
      </c>
      <c r="G1055" t="s">
        <v>1209</v>
      </c>
      <c r="H1055" t="s">
        <v>24</v>
      </c>
      <c r="I1055">
        <v>1</v>
      </c>
      <c r="J1055">
        <v>1</v>
      </c>
      <c r="K1055">
        <v>6.2</v>
      </c>
      <c r="L1055">
        <v>79686</v>
      </c>
      <c r="M1055" t="s">
        <v>989</v>
      </c>
      <c r="N1055" t="str">
        <f>IF(ISNUMBER(SEARCH("Streaming", M1055)), "streaming", "cinema")</f>
        <v>cinema</v>
      </c>
      <c r="O1055" t="str">
        <f>IF(I1055=1, "non-original", "original")</f>
        <v>non-original</v>
      </c>
      <c r="P1055" t="str">
        <f>IF(J1055 = 1, "franchise", "non-franchise")</f>
        <v>franchise</v>
      </c>
      <c r="Q1055" t="str">
        <f>IF(OR(I1055 = 1,J1055 =1), "old", "new")</f>
        <v>old</v>
      </c>
      <c r="R1055">
        <f t="shared" si="32"/>
        <v>0.72117082228930396</v>
      </c>
      <c r="S1055">
        <f>IF(Q1055="new",1.5,1)*(K1055/10)*(1-(MIN(F1055,180)/180))</f>
        <v>0.25488888888888889</v>
      </c>
      <c r="T1055" t="str">
        <f t="shared" si="33"/>
        <v>Scenario 1: Strong Commitment</v>
      </c>
    </row>
    <row r="1056" spans="1:20" x14ac:dyDescent="0.35">
      <c r="A1056" t="s">
        <v>1356</v>
      </c>
      <c r="B1056" s="1">
        <v>45252</v>
      </c>
      <c r="C1056">
        <v>2023</v>
      </c>
      <c r="D1056">
        <v>11</v>
      </c>
      <c r="E1056" t="s">
        <v>125</v>
      </c>
      <c r="F1056">
        <v>158</v>
      </c>
      <c r="G1056" t="s">
        <v>1357</v>
      </c>
      <c r="H1056" t="s">
        <v>24</v>
      </c>
      <c r="I1056">
        <v>0</v>
      </c>
      <c r="J1056">
        <v>0</v>
      </c>
      <c r="K1056">
        <v>6.3</v>
      </c>
      <c r="L1056">
        <v>184531</v>
      </c>
      <c r="M1056" t="s">
        <v>983</v>
      </c>
      <c r="N1056" t="str">
        <f>IF(ISNUMBER(SEARCH("Streaming", M1056)), "streaming", "cinema")</f>
        <v>cinema</v>
      </c>
      <c r="O1056" t="str">
        <f>IF(I1056=1, "non-original", "original")</f>
        <v>original</v>
      </c>
      <c r="P1056" t="str">
        <f>IF(J1056 = 1, "franchise", "non-franchise")</f>
        <v>non-franchise</v>
      </c>
      <c r="Q1056" t="str">
        <f>IF(OR(I1056 = 1,J1056 =1), "old", "new")</f>
        <v>new</v>
      </c>
      <c r="R1056">
        <f t="shared" si="32"/>
        <v>0.7699563924262629</v>
      </c>
      <c r="S1056">
        <f>IF(Q1056="new",1.5,1)*(K1056/10)*(1-(MIN(F1056,180)/180))</f>
        <v>0.11550000000000002</v>
      </c>
      <c r="T1056" t="str">
        <f t="shared" si="33"/>
        <v>Scenario 1: Strong Commitment</v>
      </c>
    </row>
    <row r="1057" spans="1:20" x14ac:dyDescent="0.35">
      <c r="A1057" t="s">
        <v>1358</v>
      </c>
      <c r="B1057" s="1">
        <v>45274</v>
      </c>
      <c r="C1057">
        <v>2023</v>
      </c>
      <c r="D1057">
        <v>12</v>
      </c>
      <c r="E1057" t="s">
        <v>14</v>
      </c>
      <c r="F1057">
        <v>130</v>
      </c>
      <c r="G1057" t="s">
        <v>1000</v>
      </c>
      <c r="H1057" t="s">
        <v>24</v>
      </c>
      <c r="I1057">
        <v>0</v>
      </c>
      <c r="J1057">
        <v>0</v>
      </c>
      <c r="K1057">
        <v>6.4</v>
      </c>
      <c r="L1057">
        <v>66797</v>
      </c>
      <c r="M1057" t="s">
        <v>983</v>
      </c>
      <c r="N1057" t="str">
        <f>IF(ISNUMBER(SEARCH("Streaming", M1057)), "streaming", "cinema")</f>
        <v>cinema</v>
      </c>
      <c r="O1057" t="str">
        <f>IF(I1057=1, "non-original", "original")</f>
        <v>original</v>
      </c>
      <c r="P1057" t="str">
        <f>IF(J1057 = 1, "franchise", "non-franchise")</f>
        <v>non-franchise</v>
      </c>
      <c r="Q1057" t="str">
        <f>IF(OR(I1057 = 1,J1057 =1), "old", "new")</f>
        <v>new</v>
      </c>
      <c r="R1057">
        <f t="shared" si="32"/>
        <v>0.58041852141373551</v>
      </c>
      <c r="S1057">
        <f>IF(Q1057="new",1.5,1)*(K1057/10)*(1-(MIN(F1057,180)/180))</f>
        <v>0.26666666666666666</v>
      </c>
      <c r="T1057" t="str">
        <f t="shared" si="33"/>
        <v>Scenario 1: Strong Commitment</v>
      </c>
    </row>
    <row r="1058" spans="1:20" x14ac:dyDescent="0.35">
      <c r="A1058" t="s">
        <v>1359</v>
      </c>
      <c r="B1058" s="1">
        <v>45275</v>
      </c>
      <c r="C1058">
        <v>2023</v>
      </c>
      <c r="D1058">
        <v>12</v>
      </c>
      <c r="E1058" t="s">
        <v>14</v>
      </c>
      <c r="F1058">
        <v>117</v>
      </c>
      <c r="G1058" t="s">
        <v>985</v>
      </c>
      <c r="H1058" t="s">
        <v>24</v>
      </c>
      <c r="I1058">
        <v>0</v>
      </c>
      <c r="J1058">
        <v>0</v>
      </c>
      <c r="K1058">
        <v>7.5</v>
      </c>
      <c r="L1058">
        <v>132421</v>
      </c>
      <c r="M1058" t="s">
        <v>983</v>
      </c>
      <c r="N1058" t="str">
        <f>IF(ISNUMBER(SEARCH("Streaming", M1058)), "streaming", "cinema")</f>
        <v>cinema</v>
      </c>
      <c r="O1058" t="str">
        <f>IF(I1058=1, "non-original", "original")</f>
        <v>original</v>
      </c>
      <c r="P1058" t="str">
        <f>IF(J1058 = 1, "franchise", "non-franchise")</f>
        <v>non-franchise</v>
      </c>
      <c r="Q1058" t="str">
        <f>IF(OR(I1058 = 1,J1058 =1), "old", "new")</f>
        <v>new</v>
      </c>
      <c r="R1058">
        <f t="shared" si="32"/>
        <v>0.55455451741181383</v>
      </c>
      <c r="S1058">
        <f>IF(Q1058="new",1.5,1)*(K1058/10)*(1-(MIN(F1058,180)/180))</f>
        <v>0.39374999999999999</v>
      </c>
      <c r="T1058" t="str">
        <f t="shared" si="33"/>
        <v>Scenario 4: Hybrid Logic</v>
      </c>
    </row>
    <row r="1059" spans="1:20" x14ac:dyDescent="0.35">
      <c r="A1059" t="s">
        <v>1360</v>
      </c>
      <c r="B1059" s="1">
        <v>45281</v>
      </c>
      <c r="C1059">
        <v>2023</v>
      </c>
      <c r="D1059">
        <v>12</v>
      </c>
      <c r="E1059" t="s">
        <v>14</v>
      </c>
      <c r="F1059">
        <v>132</v>
      </c>
      <c r="G1059" t="s">
        <v>1145</v>
      </c>
      <c r="H1059" t="s">
        <v>24</v>
      </c>
      <c r="I1059">
        <v>0</v>
      </c>
      <c r="J1059">
        <v>0</v>
      </c>
      <c r="K1059">
        <v>7.5</v>
      </c>
      <c r="L1059">
        <v>117178</v>
      </c>
      <c r="M1059" t="s">
        <v>989</v>
      </c>
      <c r="N1059" t="str">
        <f>IF(ISNUMBER(SEARCH("Streaming", M1059)), "streaming", "cinema")</f>
        <v>cinema</v>
      </c>
      <c r="O1059" t="str">
        <f>IF(I1059=1, "non-original", "original")</f>
        <v>original</v>
      </c>
      <c r="P1059" t="str">
        <f>IF(J1059 = 1, "franchise", "non-franchise")</f>
        <v>non-franchise</v>
      </c>
      <c r="Q1059" t="str">
        <f>IF(OR(I1059 = 1,J1059 =1), "old", "new")</f>
        <v>new</v>
      </c>
      <c r="R1059">
        <f t="shared" si="32"/>
        <v>0.61916372463429892</v>
      </c>
      <c r="S1059">
        <f>IF(Q1059="new",1.5,1)*(K1059/10)*(1-(MIN(F1059,180)/180))</f>
        <v>0.30000000000000004</v>
      </c>
      <c r="T1059" t="str">
        <f t="shared" si="33"/>
        <v>Scenario 1: Strong Commitment</v>
      </c>
    </row>
    <row r="1060" spans="1:20" x14ac:dyDescent="0.35">
      <c r="A1060" t="s">
        <v>1361</v>
      </c>
      <c r="B1060" s="1">
        <v>45282</v>
      </c>
      <c r="C1060">
        <v>2023</v>
      </c>
      <c r="D1060">
        <v>12</v>
      </c>
      <c r="E1060" t="s">
        <v>14</v>
      </c>
      <c r="F1060">
        <v>103</v>
      </c>
      <c r="G1060" t="s">
        <v>1239</v>
      </c>
      <c r="H1060" t="s">
        <v>24</v>
      </c>
      <c r="I1060">
        <v>1</v>
      </c>
      <c r="J1060">
        <v>0</v>
      </c>
      <c r="K1060">
        <v>6.1</v>
      </c>
      <c r="L1060">
        <v>169236</v>
      </c>
      <c r="M1060" t="s">
        <v>989</v>
      </c>
      <c r="N1060" t="str">
        <f>IF(ISNUMBER(SEARCH("Streaming", M1060)), "streaming", "cinema")</f>
        <v>cinema</v>
      </c>
      <c r="O1060" t="str">
        <f>IF(I1060=1, "non-original", "original")</f>
        <v>non-original</v>
      </c>
      <c r="P1060" t="str">
        <f>IF(J1060 = 1, "franchise", "non-franchise")</f>
        <v>non-franchise</v>
      </c>
      <c r="Q1060" t="str">
        <f>IF(OR(I1060 = 1,J1060 =1), "old", "new")</f>
        <v>old</v>
      </c>
      <c r="R1060">
        <f t="shared" si="32"/>
        <v>0.74752799761372202</v>
      </c>
      <c r="S1060">
        <f>IF(Q1060="new",1.5,1)*(K1060/10)*(1-(MIN(F1060,180)/180))</f>
        <v>0.26094444444444448</v>
      </c>
      <c r="T1060" t="str">
        <f t="shared" si="33"/>
        <v>Scenario 1: Strong Commitment</v>
      </c>
    </row>
    <row r="1061" spans="1:20" x14ac:dyDescent="0.35">
      <c r="A1061" t="s">
        <v>1362</v>
      </c>
      <c r="B1061" s="1">
        <v>45393</v>
      </c>
      <c r="C1061">
        <v>2024</v>
      </c>
      <c r="D1061">
        <v>4</v>
      </c>
      <c r="E1061" t="s">
        <v>38</v>
      </c>
      <c r="F1061">
        <v>109</v>
      </c>
      <c r="G1061" t="s">
        <v>1363</v>
      </c>
      <c r="H1061" t="s">
        <v>24</v>
      </c>
      <c r="I1061">
        <v>1</v>
      </c>
      <c r="J1061">
        <v>0</v>
      </c>
      <c r="K1061">
        <v>7</v>
      </c>
      <c r="L1061">
        <v>264368</v>
      </c>
      <c r="M1061" t="s">
        <v>983</v>
      </c>
      <c r="N1061" t="str">
        <f>IF(ISNUMBER(SEARCH("Streaming", M1061)), "streaming", "cinema")</f>
        <v>cinema</v>
      </c>
      <c r="O1061" t="str">
        <f>IF(I1061=1, "non-original", "original")</f>
        <v>non-original</v>
      </c>
      <c r="P1061" t="str">
        <f>IF(J1061 = 1, "franchise", "non-franchise")</f>
        <v>non-franchise</v>
      </c>
      <c r="Q1061" t="str">
        <f>IF(OR(I1061 = 1,J1061 =1), "old", "new")</f>
        <v>old</v>
      </c>
      <c r="R1061">
        <f t="shared" si="32"/>
        <v>0.82038265647553055</v>
      </c>
      <c r="S1061">
        <f>IF(Q1061="new",1.5,1)*(K1061/10)*(1-(MIN(F1061,180)/180))</f>
        <v>0.27611111111111114</v>
      </c>
      <c r="T1061" t="str">
        <f t="shared" si="33"/>
        <v>Scenario 1: Strong Commitment</v>
      </c>
    </row>
    <row r="1062" spans="1:20" x14ac:dyDescent="0.35">
      <c r="A1062" t="s">
        <v>1364</v>
      </c>
      <c r="B1062" s="1">
        <v>45399</v>
      </c>
      <c r="C1062">
        <v>2024</v>
      </c>
      <c r="D1062">
        <v>4</v>
      </c>
      <c r="E1062" t="s">
        <v>38</v>
      </c>
      <c r="F1062">
        <v>109</v>
      </c>
      <c r="G1062" t="s">
        <v>1312</v>
      </c>
      <c r="H1062" t="s">
        <v>24</v>
      </c>
      <c r="I1062">
        <v>1</v>
      </c>
      <c r="J1062">
        <v>0</v>
      </c>
      <c r="K1062">
        <v>6.5</v>
      </c>
      <c r="L1062">
        <v>115300</v>
      </c>
      <c r="M1062" t="s">
        <v>983</v>
      </c>
      <c r="N1062" t="str">
        <f>IF(ISNUMBER(SEARCH("Streaming", M1062)), "streaming", "cinema")</f>
        <v>cinema</v>
      </c>
      <c r="O1062" t="str">
        <f>IF(I1062=1, "non-original", "original")</f>
        <v>non-original</v>
      </c>
      <c r="P1062" t="str">
        <f>IF(J1062 = 1, "franchise", "non-franchise")</f>
        <v>non-franchise</v>
      </c>
      <c r="Q1062" t="str">
        <f>IF(OR(I1062 = 1,J1062 =1), "old", "new")</f>
        <v>old</v>
      </c>
      <c r="R1062">
        <f t="shared" si="32"/>
        <v>0.76585706331532244</v>
      </c>
      <c r="S1062">
        <f>IF(Q1062="new",1.5,1)*(K1062/10)*(1-(MIN(F1062,180)/180))</f>
        <v>0.25638888888888894</v>
      </c>
      <c r="T1062" t="str">
        <f t="shared" si="33"/>
        <v>Scenario 1: Strong Commitment</v>
      </c>
    </row>
    <row r="1063" spans="1:20" x14ac:dyDescent="0.35">
      <c r="A1063" t="s">
        <v>1365</v>
      </c>
      <c r="B1063" s="1">
        <v>45400</v>
      </c>
      <c r="C1063">
        <v>2024</v>
      </c>
      <c r="D1063">
        <v>4</v>
      </c>
      <c r="E1063" t="s">
        <v>38</v>
      </c>
      <c r="F1063">
        <v>131</v>
      </c>
      <c r="G1063" t="s">
        <v>1016</v>
      </c>
      <c r="H1063" t="s">
        <v>24</v>
      </c>
      <c r="I1063">
        <v>1</v>
      </c>
      <c r="J1063">
        <v>0</v>
      </c>
      <c r="K1063">
        <v>7</v>
      </c>
      <c r="L1063">
        <v>175395</v>
      </c>
      <c r="M1063" t="s">
        <v>983</v>
      </c>
      <c r="N1063" t="str">
        <f>IF(ISNUMBER(SEARCH("Streaming", M1063)), "streaming", "cinema")</f>
        <v>cinema</v>
      </c>
      <c r="O1063" t="str">
        <f>IF(I1063=1, "non-original", "original")</f>
        <v>non-original</v>
      </c>
      <c r="P1063" t="str">
        <f>IF(J1063 = 1, "franchise", "non-franchise")</f>
        <v>non-franchise</v>
      </c>
      <c r="Q1063" t="str">
        <f>IF(OR(I1063 = 1,J1063 =1), "old", "new")</f>
        <v>old</v>
      </c>
      <c r="R1063">
        <f t="shared" si="32"/>
        <v>0.95356243073869051</v>
      </c>
      <c r="S1063">
        <f>IF(Q1063="new",1.5,1)*(K1063/10)*(1-(MIN(F1063,180)/180))</f>
        <v>0.19055555555555556</v>
      </c>
      <c r="T1063" t="str">
        <f t="shared" si="33"/>
        <v>Scenario 1: Strong Commitment</v>
      </c>
    </row>
    <row r="1064" spans="1:20" x14ac:dyDescent="0.35">
      <c r="A1064" t="s">
        <v>1366</v>
      </c>
      <c r="B1064" s="1">
        <v>45427</v>
      </c>
      <c r="C1064">
        <v>2024</v>
      </c>
      <c r="D1064">
        <v>5</v>
      </c>
      <c r="E1064" t="s">
        <v>38</v>
      </c>
      <c r="F1064">
        <v>91</v>
      </c>
      <c r="G1064" t="s">
        <v>92</v>
      </c>
      <c r="H1064" t="s">
        <v>24</v>
      </c>
      <c r="I1064">
        <v>1</v>
      </c>
      <c r="J1064">
        <v>1</v>
      </c>
      <c r="K1064">
        <v>4.7</v>
      </c>
      <c r="L1064">
        <v>28348</v>
      </c>
      <c r="M1064" t="s">
        <v>989</v>
      </c>
      <c r="N1064" t="str">
        <f>IF(ISNUMBER(SEARCH("Streaming", M1064)), "streaming", "cinema")</f>
        <v>cinema</v>
      </c>
      <c r="O1064" t="str">
        <f>IF(I1064=1, "non-original", "original")</f>
        <v>non-original</v>
      </c>
      <c r="P1064" t="str">
        <f>IF(J1064 = 1, "franchise", "non-franchise")</f>
        <v>franchise</v>
      </c>
      <c r="Q1064" t="str">
        <f>IF(OR(I1064 = 1,J1064 =1), "old", "new")</f>
        <v>old</v>
      </c>
      <c r="R1064">
        <f t="shared" si="32"/>
        <v>0.56242062134661142</v>
      </c>
      <c r="S1064">
        <f>IF(Q1064="new",1.5,1)*(K1064/10)*(1-(MIN(F1064,180)/180))</f>
        <v>0.23238888888888892</v>
      </c>
      <c r="T1064" t="str">
        <f t="shared" si="33"/>
        <v>Scenario 1: Strong Commitment</v>
      </c>
    </row>
    <row r="1065" spans="1:20" x14ac:dyDescent="0.35">
      <c r="A1065" t="s">
        <v>1367</v>
      </c>
      <c r="B1065" s="1">
        <v>45434</v>
      </c>
      <c r="C1065">
        <v>2024</v>
      </c>
      <c r="D1065">
        <v>5</v>
      </c>
      <c r="E1065" t="s">
        <v>38</v>
      </c>
      <c r="F1065">
        <v>148</v>
      </c>
      <c r="G1065" t="s">
        <v>1133</v>
      </c>
      <c r="H1065" t="s">
        <v>24</v>
      </c>
      <c r="I1065">
        <v>0</v>
      </c>
      <c r="J1065">
        <v>1</v>
      </c>
      <c r="K1065">
        <v>7.5</v>
      </c>
      <c r="L1065">
        <v>316223</v>
      </c>
      <c r="M1065" t="s">
        <v>983</v>
      </c>
      <c r="N1065" t="str">
        <f>IF(ISNUMBER(SEARCH("Streaming", M1065)), "streaming", "cinema")</f>
        <v>cinema</v>
      </c>
      <c r="O1065" t="str">
        <f>IF(I1065=1, "non-original", "original")</f>
        <v>original</v>
      </c>
      <c r="P1065" t="str">
        <f>IF(J1065 = 1, "franchise", "non-franchise")</f>
        <v>franchise</v>
      </c>
      <c r="Q1065" t="str">
        <f>IF(OR(I1065 = 1,J1065 =1), "old", "new")</f>
        <v>old</v>
      </c>
      <c r="R1065">
        <f t="shared" si="32"/>
        <v>1.1298937756597787</v>
      </c>
      <c r="S1065">
        <f>IF(Q1065="new",1.5,1)*(K1065/10)*(1-(MIN(F1065,180)/180))</f>
        <v>0.13333333333333336</v>
      </c>
      <c r="T1065" t="str">
        <f t="shared" si="33"/>
        <v>Scenario 1: Strong Commitment</v>
      </c>
    </row>
    <row r="1066" spans="1:20" x14ac:dyDescent="0.35">
      <c r="A1066" t="s">
        <v>1368</v>
      </c>
      <c r="B1066" s="1">
        <v>45448</v>
      </c>
      <c r="C1066">
        <v>2024</v>
      </c>
      <c r="D1066">
        <v>6</v>
      </c>
      <c r="E1066" t="s">
        <v>78</v>
      </c>
      <c r="F1066">
        <v>115</v>
      </c>
      <c r="G1066" t="s">
        <v>1043</v>
      </c>
      <c r="H1066" t="s">
        <v>24</v>
      </c>
      <c r="I1066">
        <v>1</v>
      </c>
      <c r="J1066">
        <v>1</v>
      </c>
      <c r="K1066">
        <v>6.5</v>
      </c>
      <c r="L1066">
        <v>111595</v>
      </c>
      <c r="M1066" t="s">
        <v>989</v>
      </c>
      <c r="N1066" t="str">
        <f>IF(ISNUMBER(SEARCH("Streaming", M1066)), "streaming", "cinema")</f>
        <v>cinema</v>
      </c>
      <c r="O1066" t="str">
        <f>IF(I1066=1, "non-original", "original")</f>
        <v>non-original</v>
      </c>
      <c r="P1066" t="str">
        <f>IF(J1066 = 1, "franchise", "non-franchise")</f>
        <v>franchise</v>
      </c>
      <c r="Q1066" t="str">
        <f>IF(OR(I1066 = 1,J1066 =1), "old", "new")</f>
        <v>old</v>
      </c>
      <c r="R1066">
        <f t="shared" si="32"/>
        <v>0.80575006517896508</v>
      </c>
      <c r="S1066">
        <f>IF(Q1066="new",1.5,1)*(K1066/10)*(1-(MIN(F1066,180)/180))</f>
        <v>0.23472222222222225</v>
      </c>
      <c r="T1066" t="str">
        <f t="shared" si="33"/>
        <v>Scenario 1: Strong Commitment</v>
      </c>
    </row>
    <row r="1067" spans="1:20" x14ac:dyDescent="0.35">
      <c r="A1067" t="s">
        <v>1369</v>
      </c>
      <c r="B1067" s="1">
        <v>45497</v>
      </c>
      <c r="C1067">
        <v>2024</v>
      </c>
      <c r="D1067">
        <v>7</v>
      </c>
      <c r="E1067" t="s">
        <v>78</v>
      </c>
      <c r="F1067">
        <v>128</v>
      </c>
      <c r="G1067" t="s">
        <v>1043</v>
      </c>
      <c r="H1067" t="s">
        <v>24</v>
      </c>
      <c r="I1067">
        <v>0</v>
      </c>
      <c r="J1067">
        <v>1</v>
      </c>
      <c r="K1067">
        <v>7.5</v>
      </c>
      <c r="L1067">
        <v>558023</v>
      </c>
      <c r="M1067" t="s">
        <v>989</v>
      </c>
      <c r="N1067" t="str">
        <f>IF(ISNUMBER(SEARCH("Streaming", M1067)), "streaming", "cinema")</f>
        <v>cinema</v>
      </c>
      <c r="O1067" t="str">
        <f>IF(I1067=1, "non-original", "original")</f>
        <v>original</v>
      </c>
      <c r="P1067" t="str">
        <f>IF(J1067 = 1, "franchise", "non-franchise")</f>
        <v>franchise</v>
      </c>
      <c r="Q1067" t="str">
        <f>IF(OR(I1067 = 1,J1067 =1), "old", "new")</f>
        <v>old</v>
      </c>
      <c r="R1067">
        <f t="shared" si="32"/>
        <v>1.0210302373452373</v>
      </c>
      <c r="S1067">
        <f>IF(Q1067="new",1.5,1)*(K1067/10)*(1-(MIN(F1067,180)/180))</f>
        <v>0.21666666666666665</v>
      </c>
      <c r="T1067" t="str">
        <f t="shared" si="33"/>
        <v>Scenario 1: Strong Commitment</v>
      </c>
    </row>
    <row r="1068" spans="1:20" x14ac:dyDescent="0.35">
      <c r="A1068" t="s">
        <v>1370</v>
      </c>
      <c r="B1068" s="1">
        <v>45511</v>
      </c>
      <c r="C1068">
        <v>2024</v>
      </c>
      <c r="D1068">
        <v>8</v>
      </c>
      <c r="E1068" t="s">
        <v>78</v>
      </c>
      <c r="F1068">
        <v>110</v>
      </c>
      <c r="G1068" t="s">
        <v>1371</v>
      </c>
      <c r="H1068" t="s">
        <v>24</v>
      </c>
      <c r="I1068">
        <v>0</v>
      </c>
      <c r="J1068">
        <v>0</v>
      </c>
      <c r="K1068">
        <v>6.8</v>
      </c>
      <c r="L1068">
        <v>129899</v>
      </c>
      <c r="M1068" t="s">
        <v>989</v>
      </c>
      <c r="N1068" t="str">
        <f>IF(ISNUMBER(SEARCH("Streaming", M1068)), "streaming", "cinema")</f>
        <v>cinema</v>
      </c>
      <c r="O1068" t="str">
        <f>IF(I1068=1, "non-original", "original")</f>
        <v>original</v>
      </c>
      <c r="P1068" t="str">
        <f>IF(J1068 = 1, "franchise", "non-franchise")</f>
        <v>non-franchise</v>
      </c>
      <c r="Q1068" t="str">
        <f>IF(OR(I1068 = 1,J1068 =1), "old", "new")</f>
        <v>new</v>
      </c>
      <c r="R1068">
        <f t="shared" si="32"/>
        <v>0.52052596842572263</v>
      </c>
      <c r="S1068">
        <f>IF(Q1068="new",1.5,1)*(K1068/10)*(1-(MIN(F1068,180)/180))</f>
        <v>0.39666666666666661</v>
      </c>
      <c r="T1068" t="str">
        <f t="shared" si="33"/>
        <v>Scenario 4: Hybrid Logic</v>
      </c>
    </row>
    <row r="1069" spans="1:20" x14ac:dyDescent="0.35">
      <c r="A1069" t="s">
        <v>1372</v>
      </c>
      <c r="B1069" s="1">
        <v>45518</v>
      </c>
      <c r="C1069">
        <v>2024</v>
      </c>
      <c r="D1069">
        <v>8</v>
      </c>
      <c r="E1069" t="s">
        <v>78</v>
      </c>
      <c r="F1069">
        <v>119</v>
      </c>
      <c r="G1069" t="s">
        <v>1188</v>
      </c>
      <c r="H1069" t="s">
        <v>24</v>
      </c>
      <c r="I1069">
        <v>1</v>
      </c>
      <c r="J1069">
        <v>1</v>
      </c>
      <c r="K1069">
        <v>7.1</v>
      </c>
      <c r="L1069">
        <v>282362</v>
      </c>
      <c r="M1069" t="s">
        <v>989</v>
      </c>
      <c r="N1069" t="str">
        <f>IF(ISNUMBER(SEARCH("Streaming", M1069)), "streaming", "cinema")</f>
        <v>cinema</v>
      </c>
      <c r="O1069" t="str">
        <f>IF(I1069=1, "non-original", "original")</f>
        <v>non-original</v>
      </c>
      <c r="P1069" t="str">
        <f>IF(J1069 = 1, "franchise", "non-franchise")</f>
        <v>franchise</v>
      </c>
      <c r="Q1069" t="str">
        <f>IF(OR(I1069 = 1,J1069 =1), "old", "new")</f>
        <v>old</v>
      </c>
      <c r="R1069">
        <f t="shared" si="32"/>
        <v>0.90037086804470656</v>
      </c>
      <c r="S1069">
        <f>IF(Q1069="new",1.5,1)*(K1069/10)*(1-(MIN(F1069,180)/180))</f>
        <v>0.24061111111111111</v>
      </c>
      <c r="T1069" t="str">
        <f t="shared" si="33"/>
        <v>Scenario 1: Strong Commitment</v>
      </c>
    </row>
    <row r="1070" spans="1:20" x14ac:dyDescent="0.35">
      <c r="A1070" t="s">
        <v>1373</v>
      </c>
      <c r="B1070" s="1">
        <v>45525</v>
      </c>
      <c r="C1070">
        <v>2024</v>
      </c>
      <c r="D1070">
        <v>8</v>
      </c>
      <c r="E1070" t="s">
        <v>78</v>
      </c>
      <c r="F1070">
        <v>111</v>
      </c>
      <c r="G1070" t="s">
        <v>1374</v>
      </c>
      <c r="H1070" t="s">
        <v>24</v>
      </c>
      <c r="I1070">
        <v>0</v>
      </c>
      <c r="J1070">
        <v>0</v>
      </c>
      <c r="K1070">
        <v>4.7</v>
      </c>
      <c r="L1070">
        <v>40735</v>
      </c>
      <c r="M1070" t="s">
        <v>983</v>
      </c>
      <c r="N1070" t="str">
        <f>IF(ISNUMBER(SEARCH("Streaming", M1070)), "streaming", "cinema")</f>
        <v>cinema</v>
      </c>
      <c r="O1070" t="str">
        <f>IF(I1070=1, "non-original", "original")</f>
        <v>original</v>
      </c>
      <c r="P1070" t="str">
        <f>IF(J1070 = 1, "franchise", "non-franchise")</f>
        <v>non-franchise</v>
      </c>
      <c r="Q1070" t="str">
        <f>IF(OR(I1070 = 1,J1070 =1), "old", "new")</f>
        <v>new</v>
      </c>
      <c r="R1070">
        <f t="shared" si="32"/>
        <v>0.47352545749796576</v>
      </c>
      <c r="S1070">
        <f>IF(Q1070="new",1.5,1)*(K1070/10)*(1-(MIN(F1070,180)/180))</f>
        <v>0.27024999999999999</v>
      </c>
      <c r="T1070" t="str">
        <f t="shared" si="33"/>
        <v>Scenario 2: Weak Commitment/Convenience</v>
      </c>
    </row>
    <row r="1071" spans="1:20" x14ac:dyDescent="0.35">
      <c r="A1071" t="s">
        <v>1375</v>
      </c>
      <c r="B1071" s="1">
        <v>45533</v>
      </c>
      <c r="C1071">
        <v>2024</v>
      </c>
      <c r="D1071">
        <v>8</v>
      </c>
      <c r="E1071" t="s">
        <v>78</v>
      </c>
      <c r="F1071">
        <v>127</v>
      </c>
      <c r="G1071" t="s">
        <v>1099</v>
      </c>
      <c r="H1071" t="s">
        <v>24</v>
      </c>
      <c r="I1071">
        <v>0</v>
      </c>
      <c r="J1071">
        <v>1</v>
      </c>
      <c r="K1071">
        <v>5.5</v>
      </c>
      <c r="L1071">
        <v>78960</v>
      </c>
      <c r="M1071" t="s">
        <v>983</v>
      </c>
      <c r="N1071" t="str">
        <f>IF(ISNUMBER(SEARCH("Streaming", M1071)), "streaming", "cinema")</f>
        <v>cinema</v>
      </c>
      <c r="O1071" t="str">
        <f>IF(I1071=1, "non-original", "original")</f>
        <v>original</v>
      </c>
      <c r="P1071" t="str">
        <f>IF(J1071 = 1, "franchise", "non-franchise")</f>
        <v>franchise</v>
      </c>
      <c r="Q1071" t="str">
        <f>IF(OR(I1071 = 1,J1071 =1), "old", "new")</f>
        <v>old</v>
      </c>
      <c r="R1071">
        <f t="shared" si="32"/>
        <v>0.86334357068277379</v>
      </c>
      <c r="S1071">
        <f>IF(Q1071="new",1.5,1)*(K1071/10)*(1-(MIN(F1071,180)/180))</f>
        <v>0.16194444444444442</v>
      </c>
      <c r="T1071" t="str">
        <f t="shared" si="33"/>
        <v>Scenario 1: Strong Commitment</v>
      </c>
    </row>
    <row r="1072" spans="1:20" x14ac:dyDescent="0.35">
      <c r="A1072" t="s">
        <v>1376</v>
      </c>
      <c r="B1072" s="1">
        <v>45553</v>
      </c>
      <c r="C1072">
        <v>2024</v>
      </c>
      <c r="D1072">
        <v>9</v>
      </c>
      <c r="E1072" t="s">
        <v>125</v>
      </c>
      <c r="F1072">
        <v>101</v>
      </c>
      <c r="G1072" t="s">
        <v>1209</v>
      </c>
      <c r="H1072" t="s">
        <v>24</v>
      </c>
      <c r="I1072">
        <v>1</v>
      </c>
      <c r="J1072">
        <v>0</v>
      </c>
      <c r="K1072">
        <v>5.4</v>
      </c>
      <c r="L1072">
        <v>18606</v>
      </c>
      <c r="M1072" t="s">
        <v>983</v>
      </c>
      <c r="N1072" t="str">
        <f>IF(ISNUMBER(SEARCH("Streaming", M1072)), "streaming", "cinema")</f>
        <v>cinema</v>
      </c>
      <c r="O1072" t="str">
        <f>IF(I1072=1, "non-original", "original")</f>
        <v>non-original</v>
      </c>
      <c r="P1072" t="str">
        <f>IF(J1072 = 1, "franchise", "non-franchise")</f>
        <v>non-franchise</v>
      </c>
      <c r="Q1072" t="str">
        <f>IF(OR(I1072 = 1,J1072 =1), "old", "new")</f>
        <v>old</v>
      </c>
      <c r="R1072">
        <f t="shared" si="32"/>
        <v>0.59858755652453033</v>
      </c>
      <c r="S1072">
        <f>IF(Q1072="new",1.5,1)*(K1072/10)*(1-(MIN(F1072,180)/180))</f>
        <v>0.23700000000000002</v>
      </c>
      <c r="T1072" t="str">
        <f t="shared" si="33"/>
        <v>Scenario 1: Strong Commitment</v>
      </c>
    </row>
    <row r="1073" spans="1:20" x14ac:dyDescent="0.35">
      <c r="A1073" t="s">
        <v>1377</v>
      </c>
      <c r="B1073" s="1">
        <v>45566</v>
      </c>
      <c r="C1073">
        <v>2024</v>
      </c>
      <c r="D1073">
        <v>10</v>
      </c>
      <c r="E1073" t="s">
        <v>125</v>
      </c>
      <c r="F1073">
        <v>138</v>
      </c>
      <c r="G1073" t="s">
        <v>1378</v>
      </c>
      <c r="H1073" t="s">
        <v>24</v>
      </c>
      <c r="I1073">
        <v>0</v>
      </c>
      <c r="J1073">
        <v>1</v>
      </c>
      <c r="K1073">
        <v>5.2</v>
      </c>
      <c r="L1073">
        <v>179813</v>
      </c>
      <c r="M1073" t="s">
        <v>983</v>
      </c>
      <c r="N1073" t="str">
        <f>IF(ISNUMBER(SEARCH("Streaming", M1073)), "streaming", "cinema")</f>
        <v>cinema</v>
      </c>
      <c r="O1073" t="str">
        <f>IF(I1073=1, "non-original", "original")</f>
        <v>original</v>
      </c>
      <c r="P1073" t="str">
        <f>IF(J1073 = 1, "franchise", "non-franchise")</f>
        <v>franchise</v>
      </c>
      <c r="Q1073" t="str">
        <f>IF(OR(I1073 = 1,J1073 =1), "old", "new")</f>
        <v>old</v>
      </c>
      <c r="R1073">
        <f t="shared" si="32"/>
        <v>1.0065856820559176</v>
      </c>
      <c r="S1073">
        <f>IF(Q1073="new",1.5,1)*(K1073/10)*(1-(MIN(F1073,180)/180))</f>
        <v>0.12133333333333331</v>
      </c>
      <c r="T1073" t="str">
        <f t="shared" si="33"/>
        <v>Scenario 1: Strong Commitment</v>
      </c>
    </row>
    <row r="1074" spans="1:20" x14ac:dyDescent="0.35">
      <c r="A1074" t="s">
        <v>1379</v>
      </c>
      <c r="B1074" s="1">
        <v>45574</v>
      </c>
      <c r="C1074">
        <v>2024</v>
      </c>
      <c r="D1074">
        <v>10</v>
      </c>
      <c r="E1074" t="s">
        <v>125</v>
      </c>
      <c r="F1074">
        <v>122</v>
      </c>
      <c r="G1074" t="s">
        <v>1000</v>
      </c>
      <c r="H1074" t="s">
        <v>24</v>
      </c>
      <c r="I1074">
        <v>0</v>
      </c>
      <c r="J1074">
        <v>0</v>
      </c>
      <c r="K1074">
        <v>7.1</v>
      </c>
      <c r="L1074">
        <v>71777</v>
      </c>
      <c r="M1074" t="s">
        <v>983</v>
      </c>
      <c r="N1074" t="str">
        <f>IF(ISNUMBER(SEARCH("Streaming", M1074)), "streaming", "cinema")</f>
        <v>cinema</v>
      </c>
      <c r="O1074" t="str">
        <f>IF(I1074=1, "non-original", "original")</f>
        <v>original</v>
      </c>
      <c r="P1074" t="str">
        <f>IF(J1074 = 1, "franchise", "non-franchise")</f>
        <v>non-franchise</v>
      </c>
      <c r="Q1074" t="str">
        <f>IF(OR(I1074 = 1,J1074 =1), "old", "new")</f>
        <v>new</v>
      </c>
      <c r="R1074">
        <f t="shared" si="32"/>
        <v>0.5482260441691269</v>
      </c>
      <c r="S1074">
        <f>IF(Q1074="new",1.5,1)*(K1074/10)*(1-(MIN(F1074,180)/180))</f>
        <v>0.34316666666666662</v>
      </c>
      <c r="T1074" t="str">
        <f t="shared" si="33"/>
        <v>Scenario 4: Hybrid Logic</v>
      </c>
    </row>
    <row r="1075" spans="1:20" x14ac:dyDescent="0.35">
      <c r="A1075" t="s">
        <v>1380</v>
      </c>
      <c r="B1075" s="1">
        <v>45609</v>
      </c>
      <c r="C1075">
        <v>2024</v>
      </c>
      <c r="D1075">
        <v>11</v>
      </c>
      <c r="E1075" t="s">
        <v>125</v>
      </c>
      <c r="F1075">
        <v>148</v>
      </c>
      <c r="G1075" t="s">
        <v>1006</v>
      </c>
      <c r="H1075" t="s">
        <v>24</v>
      </c>
      <c r="I1075">
        <v>1</v>
      </c>
      <c r="J1075">
        <v>1</v>
      </c>
      <c r="K1075">
        <v>6.5</v>
      </c>
      <c r="L1075">
        <v>290486</v>
      </c>
      <c r="M1075" t="s">
        <v>983</v>
      </c>
      <c r="N1075" t="str">
        <f>IF(ISNUMBER(SEARCH("Streaming", M1075)), "streaming", "cinema")</f>
        <v>cinema</v>
      </c>
      <c r="O1075" t="str">
        <f>IF(I1075=1, "non-original", "original")</f>
        <v>non-original</v>
      </c>
      <c r="P1075" t="str">
        <f>IF(J1075 = 1, "franchise", "non-franchise")</f>
        <v>franchise</v>
      </c>
      <c r="Q1075" t="str">
        <f>IF(OR(I1075 = 1,J1075 =1), "old", "new")</f>
        <v>old</v>
      </c>
      <c r="R1075">
        <f t="shared" si="32"/>
        <v>1.1223197295407243</v>
      </c>
      <c r="S1075">
        <f>IF(Q1075="new",1.5,1)*(K1075/10)*(1-(MIN(F1075,180)/180))</f>
        <v>0.11555555555555558</v>
      </c>
      <c r="T1075" t="str">
        <f t="shared" si="33"/>
        <v>Scenario 1: Strong Commitment</v>
      </c>
    </row>
    <row r="1076" spans="1:20" x14ac:dyDescent="0.35">
      <c r="A1076" t="s">
        <v>1381</v>
      </c>
      <c r="B1076" s="1">
        <v>45666</v>
      </c>
      <c r="C1076">
        <v>2025</v>
      </c>
      <c r="D1076">
        <v>1</v>
      </c>
      <c r="E1076" t="s">
        <v>14</v>
      </c>
      <c r="F1076">
        <v>109</v>
      </c>
      <c r="G1076" t="s">
        <v>1207</v>
      </c>
      <c r="H1076" t="s">
        <v>24</v>
      </c>
      <c r="I1076">
        <v>0</v>
      </c>
      <c r="J1076">
        <v>0</v>
      </c>
      <c r="K1076">
        <v>3.1</v>
      </c>
      <c r="L1076">
        <v>2059</v>
      </c>
      <c r="M1076" t="s">
        <v>983</v>
      </c>
      <c r="N1076" t="str">
        <f>IF(ISNUMBER(SEARCH("Streaming", M1076)), "streaming", "cinema")</f>
        <v>cinema</v>
      </c>
      <c r="O1076" t="str">
        <f>IF(I1076=1, "non-original", "original")</f>
        <v>original</v>
      </c>
      <c r="P1076" t="str">
        <f>IF(J1076 = 1, "franchise", "non-franchise")</f>
        <v>non-franchise</v>
      </c>
      <c r="Q1076" t="str">
        <f>IF(OR(I1076 = 1,J1076 =1), "old", "new")</f>
        <v>new</v>
      </c>
      <c r="R1076">
        <f t="shared" si="32"/>
        <v>0.33423846919002342</v>
      </c>
      <c r="S1076">
        <f>IF(Q1076="new",1.5,1)*(K1076/10)*(1-(MIN(F1076,180)/180))</f>
        <v>0.18341666666666667</v>
      </c>
      <c r="T1076" t="str">
        <f t="shared" si="33"/>
        <v>Scenario 2: Weak Commitment/Convenience</v>
      </c>
    </row>
    <row r="1077" spans="1:20" x14ac:dyDescent="0.35">
      <c r="A1077" t="s">
        <v>1382</v>
      </c>
      <c r="B1077" s="1">
        <v>45674</v>
      </c>
      <c r="C1077">
        <v>2025</v>
      </c>
      <c r="D1077">
        <v>1</v>
      </c>
      <c r="E1077" t="s">
        <v>14</v>
      </c>
      <c r="F1077">
        <v>97</v>
      </c>
      <c r="G1077" t="s">
        <v>21</v>
      </c>
      <c r="H1077" t="s">
        <v>24</v>
      </c>
      <c r="I1077">
        <v>1</v>
      </c>
      <c r="J1077">
        <v>0</v>
      </c>
      <c r="K1077">
        <v>6.5</v>
      </c>
      <c r="L1077">
        <v>18903</v>
      </c>
      <c r="M1077" t="s">
        <v>983</v>
      </c>
      <c r="N1077" t="str">
        <f>IF(ISNUMBER(SEARCH("Streaming", M1077)), "streaming", "cinema")</f>
        <v>cinema</v>
      </c>
      <c r="O1077" t="str">
        <f>IF(I1077=1, "non-original", "original")</f>
        <v>non-original</v>
      </c>
      <c r="P1077" t="str">
        <f>IF(J1077 = 1, "franchise", "non-franchise")</f>
        <v>non-franchise</v>
      </c>
      <c r="Q1077" t="str">
        <f>IF(OR(I1077 = 1,J1077 =1), "old", "new")</f>
        <v>old</v>
      </c>
      <c r="R1077">
        <f t="shared" si="32"/>
        <v>0.57580715877669442</v>
      </c>
      <c r="S1077">
        <f>IF(Q1077="new",1.5,1)*(K1077/10)*(1-(MIN(F1077,180)/180))</f>
        <v>0.29972222222222222</v>
      </c>
      <c r="T1077" t="str">
        <f t="shared" si="33"/>
        <v>Scenario 1: Strong Commitment</v>
      </c>
    </row>
    <row r="1078" spans="1:20" x14ac:dyDescent="0.35">
      <c r="A1078" t="s">
        <v>1383</v>
      </c>
      <c r="B1078" s="1">
        <v>45679</v>
      </c>
      <c r="C1078">
        <v>2025</v>
      </c>
      <c r="D1078">
        <v>1</v>
      </c>
      <c r="E1078" t="s">
        <v>14</v>
      </c>
      <c r="F1078">
        <v>91</v>
      </c>
      <c r="G1078" t="s">
        <v>982</v>
      </c>
      <c r="H1078" t="s">
        <v>24</v>
      </c>
      <c r="I1078">
        <v>1</v>
      </c>
      <c r="J1078">
        <v>0</v>
      </c>
      <c r="K1078">
        <v>5.2</v>
      </c>
      <c r="L1078">
        <v>43138</v>
      </c>
      <c r="M1078" t="s">
        <v>983</v>
      </c>
      <c r="N1078" t="str">
        <f>IF(ISNUMBER(SEARCH("Streaming", M1078)), "streaming", "cinema")</f>
        <v>cinema</v>
      </c>
      <c r="O1078" t="str">
        <f>IF(I1078=1, "non-original", "original")</f>
        <v>non-original</v>
      </c>
      <c r="P1078" t="str">
        <f>IF(J1078 = 1, "franchise", "non-franchise")</f>
        <v>non-franchise</v>
      </c>
      <c r="Q1078" t="str">
        <f>IF(OR(I1078 = 1,J1078 =1), "old", "new")</f>
        <v>old</v>
      </c>
      <c r="R1078">
        <f t="shared" si="32"/>
        <v>0.58545260331255988</v>
      </c>
      <c r="S1078">
        <f>IF(Q1078="new",1.5,1)*(K1078/10)*(1-(MIN(F1078,180)/180))</f>
        <v>0.25711111111111112</v>
      </c>
      <c r="T1078" t="str">
        <f t="shared" si="33"/>
        <v>Scenario 1: Strong Commitment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9FB-2BC6-4DCF-B44D-D8B121F3CC6C}">
  <dimension ref="A1:D7"/>
  <sheetViews>
    <sheetView workbookViewId="0">
      <selection activeCell="C11" sqref="C11"/>
    </sheetView>
  </sheetViews>
  <sheetFormatPr defaultRowHeight="14.5" x14ac:dyDescent="0.35"/>
  <cols>
    <col min="1" max="1" width="13.36328125" bestFit="1" customWidth="1"/>
  </cols>
  <sheetData>
    <row r="1" spans="1:4" x14ac:dyDescent="0.35">
      <c r="A1" t="s">
        <v>1397</v>
      </c>
      <c r="B1" t="s">
        <v>1398</v>
      </c>
    </row>
    <row r="2" spans="1:4" x14ac:dyDescent="0.35">
      <c r="A2" t="s">
        <v>1391</v>
      </c>
      <c r="B2" t="s">
        <v>1399</v>
      </c>
      <c r="D2">
        <f>(IF(B3="old", 1.5, 1) * IF(OR(ISNUMBER(SEARCH("Action", B7)), ISNUMBER(SEARCH("Sci-Fi", B7))), 1.2, 1) * (B6 / 1491508) * (B4 / 162))</f>
        <v>8.3435318110559542E-2</v>
      </c>
    </row>
    <row r="3" spans="1:4" x14ac:dyDescent="0.35">
      <c r="A3" t="s">
        <v>1387</v>
      </c>
      <c r="B3" t="s">
        <v>1396</v>
      </c>
      <c r="D3">
        <f>(IF(B3="new", 1.5, 1) * IF(OR(ISNUMBER(SEARCH("Comedy", B7)), ISNUMBER(SEARCH("Romance", B7))), 1.2, 1) * (B5 / 10) * (1 - (B4 / 162)))</f>
        <v>0.24074074074074078</v>
      </c>
    </row>
    <row r="4" spans="1:4" x14ac:dyDescent="0.35">
      <c r="A4" t="s">
        <v>1394</v>
      </c>
      <c r="B4">
        <v>112</v>
      </c>
      <c r="D4" t="str">
        <f>IF(AND(D2&gt;=0.03, D3&gt;=0.5), "Scenario 4: Hybrid Logic",
 IF(AND(D2&gt;=0.03, D3&lt;0.5), "Scenario 1: Strong Commitment",
  IF(AND(D2&lt;0.03, D3&gt;=0.5), "Scenario 3: Strong Convenience",
   "Scenario 2: Weak Commitment/Convenience")))</f>
        <v>Scenario 1: Strong Commitment</v>
      </c>
    </row>
    <row r="5" spans="1:4" x14ac:dyDescent="0.35">
      <c r="A5" t="s">
        <v>1392</v>
      </c>
      <c r="B5">
        <v>7.8</v>
      </c>
    </row>
    <row r="6" spans="1:4" x14ac:dyDescent="0.35">
      <c r="A6" t="s">
        <v>1393</v>
      </c>
      <c r="B6">
        <v>120000</v>
      </c>
    </row>
    <row r="7" spans="1:4" x14ac:dyDescent="0.35">
      <c r="A7" t="s">
        <v>1395</v>
      </c>
    </row>
  </sheetData>
  <dataValidations count="1">
    <dataValidation type="list" allowBlank="1" showInputMessage="1" showErrorMessage="1" sqref="B3" xr:uid="{5E2B1AD3-4AF5-4D4D-880B-762531C9C849}">
      <formula1>"old, new"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Strategic Predictor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 (2405613)</dc:creator>
  <cp:lastModifiedBy>AYA UCHIV (2405613)</cp:lastModifiedBy>
  <dcterms:created xsi:type="dcterms:W3CDTF">2026-03-30T13:39:44Z</dcterms:created>
  <dcterms:modified xsi:type="dcterms:W3CDTF">2026-04-16T17:23:02Z</dcterms:modified>
</cp:coreProperties>
</file>