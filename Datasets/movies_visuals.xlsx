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yon\Documents\CMM500 - MSC PROJECT\data\"/>
    </mc:Choice>
  </mc:AlternateContent>
  <xr:revisionPtr revIDLastSave="0" documentId="13_ncr:1_{81CE5E75-5E2B-4FCC-ACC6-8FBAAAC3B81F}" xr6:coauthVersionLast="47" xr6:coauthVersionMax="47" xr10:uidLastSave="{00000000-0000-0000-0000-000000000000}"/>
  <bookViews>
    <workbookView xWindow="-110" yWindow="-110" windowWidth="19420" windowHeight="10300" xr2:uid="{3E13FB7B-C19A-4808-B351-F8BDB04C7479}"/>
  </bookViews>
  <sheets>
    <sheet name="Sheet1" sheetId="1" r:id="rId1"/>
  </sheets>
  <definedNames>
    <definedName name="_xlnm._FilterDatabase" localSheetId="0" hidden="1">Sheet1!$A$1:$T$1089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74" i="1" l="1"/>
  <c r="N1066" i="1"/>
  <c r="N1058" i="1"/>
  <c r="N1050" i="1"/>
  <c r="N1042" i="1"/>
  <c r="N1034" i="1"/>
  <c r="N1026" i="1"/>
  <c r="N1010" i="1"/>
  <c r="N1002" i="1"/>
  <c r="N994" i="1"/>
  <c r="N978" i="1"/>
  <c r="N970" i="1"/>
  <c r="N962" i="1"/>
  <c r="N946" i="1"/>
  <c r="N938" i="1"/>
  <c r="N930" i="1"/>
  <c r="N914" i="1"/>
  <c r="N906" i="1"/>
  <c r="N898" i="1"/>
  <c r="N882" i="1"/>
  <c r="N874" i="1"/>
  <c r="N866" i="1"/>
  <c r="N850" i="1"/>
  <c r="N842" i="1"/>
  <c r="N834" i="1"/>
  <c r="N818" i="1"/>
  <c r="N810" i="1"/>
  <c r="N802" i="1"/>
  <c r="N786" i="1"/>
  <c r="N1083" i="1"/>
  <c r="N1082" i="1"/>
  <c r="N1075" i="1"/>
  <c r="N1067" i="1"/>
  <c r="N1059" i="1"/>
  <c r="N1051" i="1"/>
  <c r="N1043" i="1"/>
  <c r="N1035" i="1"/>
  <c r="N1027" i="1"/>
  <c r="N1019" i="1"/>
  <c r="N1018" i="1"/>
  <c r="N1011" i="1"/>
  <c r="N1003" i="1"/>
  <c r="N995" i="1"/>
  <c r="N987" i="1"/>
  <c r="N986" i="1"/>
  <c r="N979" i="1"/>
  <c r="N971" i="1"/>
  <c r="N963" i="1"/>
  <c r="N955" i="1"/>
  <c r="N954" i="1"/>
  <c r="N947" i="1"/>
  <c r="N939" i="1"/>
  <c r="N931" i="1"/>
  <c r="N923" i="1"/>
  <c r="N922" i="1"/>
  <c r="N915" i="1"/>
  <c r="N907" i="1"/>
  <c r="N899" i="1"/>
  <c r="N891" i="1"/>
  <c r="N890" i="1"/>
  <c r="N883" i="1"/>
  <c r="N875" i="1"/>
  <c r="N867" i="1"/>
  <c r="N859" i="1"/>
  <c r="N858" i="1"/>
  <c r="N851" i="1"/>
  <c r="N843" i="1"/>
  <c r="N835" i="1"/>
  <c r="N827" i="1"/>
  <c r="N826" i="1"/>
  <c r="N819" i="1"/>
  <c r="N811" i="1"/>
  <c r="N803" i="1"/>
  <c r="N795" i="1"/>
  <c r="N794" i="1"/>
  <c r="N787" i="1"/>
  <c r="N779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2" i="1"/>
  <c r="O3" i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  <c r="O74" i="1"/>
  <c r="P74" i="1"/>
  <c r="O75" i="1"/>
  <c r="P75" i="1"/>
  <c r="O76" i="1"/>
  <c r="P76" i="1"/>
  <c r="O77" i="1"/>
  <c r="P77" i="1"/>
  <c r="O78" i="1"/>
  <c r="P78" i="1"/>
  <c r="O79" i="1"/>
  <c r="P79" i="1"/>
  <c r="O80" i="1"/>
  <c r="P80" i="1"/>
  <c r="O81" i="1"/>
  <c r="P81" i="1"/>
  <c r="O82" i="1"/>
  <c r="P82" i="1"/>
  <c r="O83" i="1"/>
  <c r="P83" i="1"/>
  <c r="O84" i="1"/>
  <c r="P84" i="1"/>
  <c r="O85" i="1"/>
  <c r="P85" i="1"/>
  <c r="O86" i="1"/>
  <c r="P86" i="1"/>
  <c r="O87" i="1"/>
  <c r="P87" i="1"/>
  <c r="O88" i="1"/>
  <c r="P88" i="1"/>
  <c r="O89" i="1"/>
  <c r="P89" i="1"/>
  <c r="O90" i="1"/>
  <c r="P90" i="1"/>
  <c r="O91" i="1"/>
  <c r="P91" i="1"/>
  <c r="O92" i="1"/>
  <c r="P92" i="1"/>
  <c r="O93" i="1"/>
  <c r="P93" i="1"/>
  <c r="O94" i="1"/>
  <c r="P94" i="1"/>
  <c r="O95" i="1"/>
  <c r="P95" i="1"/>
  <c r="O96" i="1"/>
  <c r="P96" i="1"/>
  <c r="O97" i="1"/>
  <c r="P97" i="1"/>
  <c r="O98" i="1"/>
  <c r="P98" i="1"/>
  <c r="O99" i="1"/>
  <c r="P99" i="1"/>
  <c r="O100" i="1"/>
  <c r="P100" i="1"/>
  <c r="O101" i="1"/>
  <c r="P101" i="1"/>
  <c r="O102" i="1"/>
  <c r="P102" i="1"/>
  <c r="O103" i="1"/>
  <c r="P103" i="1"/>
  <c r="O104" i="1"/>
  <c r="P104" i="1"/>
  <c r="O105" i="1"/>
  <c r="P105" i="1"/>
  <c r="O106" i="1"/>
  <c r="P106" i="1"/>
  <c r="O107" i="1"/>
  <c r="P107" i="1"/>
  <c r="O108" i="1"/>
  <c r="P108" i="1"/>
  <c r="O109" i="1"/>
  <c r="P109" i="1"/>
  <c r="O110" i="1"/>
  <c r="P110" i="1"/>
  <c r="O111" i="1"/>
  <c r="P111" i="1"/>
  <c r="O112" i="1"/>
  <c r="P112" i="1"/>
  <c r="O113" i="1"/>
  <c r="P113" i="1"/>
  <c r="O114" i="1"/>
  <c r="P114" i="1"/>
  <c r="O115" i="1"/>
  <c r="P115" i="1"/>
  <c r="O116" i="1"/>
  <c r="P116" i="1"/>
  <c r="O117" i="1"/>
  <c r="P117" i="1"/>
  <c r="O118" i="1"/>
  <c r="P118" i="1"/>
  <c r="O119" i="1"/>
  <c r="P119" i="1"/>
  <c r="O120" i="1"/>
  <c r="P120" i="1"/>
  <c r="O121" i="1"/>
  <c r="P121" i="1"/>
  <c r="O122" i="1"/>
  <c r="P122" i="1"/>
  <c r="O123" i="1"/>
  <c r="P123" i="1"/>
  <c r="O124" i="1"/>
  <c r="P124" i="1"/>
  <c r="O125" i="1"/>
  <c r="P125" i="1"/>
  <c r="O126" i="1"/>
  <c r="P126" i="1"/>
  <c r="O127" i="1"/>
  <c r="P127" i="1"/>
  <c r="O128" i="1"/>
  <c r="P128" i="1"/>
  <c r="O129" i="1"/>
  <c r="P129" i="1"/>
  <c r="O130" i="1"/>
  <c r="P130" i="1"/>
  <c r="O131" i="1"/>
  <c r="P131" i="1"/>
  <c r="O132" i="1"/>
  <c r="P132" i="1"/>
  <c r="O133" i="1"/>
  <c r="P133" i="1"/>
  <c r="O134" i="1"/>
  <c r="P134" i="1"/>
  <c r="O135" i="1"/>
  <c r="P135" i="1"/>
  <c r="O136" i="1"/>
  <c r="P136" i="1"/>
  <c r="O137" i="1"/>
  <c r="P137" i="1"/>
  <c r="O138" i="1"/>
  <c r="P138" i="1"/>
  <c r="O139" i="1"/>
  <c r="P139" i="1"/>
  <c r="O140" i="1"/>
  <c r="P140" i="1"/>
  <c r="O141" i="1"/>
  <c r="P141" i="1"/>
  <c r="O142" i="1"/>
  <c r="P142" i="1"/>
  <c r="O143" i="1"/>
  <c r="P143" i="1"/>
  <c r="O144" i="1"/>
  <c r="P144" i="1"/>
  <c r="O145" i="1"/>
  <c r="P145" i="1"/>
  <c r="O146" i="1"/>
  <c r="P146" i="1"/>
  <c r="O147" i="1"/>
  <c r="P147" i="1"/>
  <c r="O148" i="1"/>
  <c r="P148" i="1"/>
  <c r="O149" i="1"/>
  <c r="P149" i="1"/>
  <c r="O150" i="1"/>
  <c r="P150" i="1"/>
  <c r="O151" i="1"/>
  <c r="P151" i="1"/>
  <c r="O152" i="1"/>
  <c r="P152" i="1"/>
  <c r="O153" i="1"/>
  <c r="P153" i="1"/>
  <c r="O154" i="1"/>
  <c r="P154" i="1"/>
  <c r="O155" i="1"/>
  <c r="P155" i="1"/>
  <c r="O156" i="1"/>
  <c r="P156" i="1"/>
  <c r="O157" i="1"/>
  <c r="P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P164" i="1"/>
  <c r="O165" i="1"/>
  <c r="P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3" i="1"/>
  <c r="P173" i="1"/>
  <c r="O174" i="1"/>
  <c r="P174" i="1"/>
  <c r="O175" i="1"/>
  <c r="P175" i="1"/>
  <c r="O176" i="1"/>
  <c r="P176" i="1"/>
  <c r="O177" i="1"/>
  <c r="P177" i="1"/>
  <c r="O178" i="1"/>
  <c r="P178" i="1"/>
  <c r="O179" i="1"/>
  <c r="P179" i="1"/>
  <c r="O180" i="1"/>
  <c r="P180" i="1"/>
  <c r="O181" i="1"/>
  <c r="P181" i="1"/>
  <c r="O182" i="1"/>
  <c r="P182" i="1"/>
  <c r="O183" i="1"/>
  <c r="P183" i="1"/>
  <c r="O184" i="1"/>
  <c r="P184" i="1"/>
  <c r="O185" i="1"/>
  <c r="P185" i="1"/>
  <c r="O186" i="1"/>
  <c r="P186" i="1"/>
  <c r="O187" i="1"/>
  <c r="P187" i="1"/>
  <c r="O188" i="1"/>
  <c r="P188" i="1"/>
  <c r="O189" i="1"/>
  <c r="P189" i="1"/>
  <c r="O190" i="1"/>
  <c r="P190" i="1"/>
  <c r="O191" i="1"/>
  <c r="P191" i="1"/>
  <c r="O192" i="1"/>
  <c r="P192" i="1"/>
  <c r="O193" i="1"/>
  <c r="P193" i="1"/>
  <c r="O194" i="1"/>
  <c r="P194" i="1"/>
  <c r="O195" i="1"/>
  <c r="P195" i="1"/>
  <c r="O196" i="1"/>
  <c r="P196" i="1"/>
  <c r="O197" i="1"/>
  <c r="P197" i="1"/>
  <c r="O198" i="1"/>
  <c r="P198" i="1"/>
  <c r="O199" i="1"/>
  <c r="P199" i="1"/>
  <c r="O200" i="1"/>
  <c r="P200" i="1"/>
  <c r="O201" i="1"/>
  <c r="P201" i="1"/>
  <c r="O202" i="1"/>
  <c r="P202" i="1"/>
  <c r="O203" i="1"/>
  <c r="P203" i="1"/>
  <c r="O204" i="1"/>
  <c r="P204" i="1"/>
  <c r="O205" i="1"/>
  <c r="P205" i="1"/>
  <c r="O206" i="1"/>
  <c r="P206" i="1"/>
  <c r="O207" i="1"/>
  <c r="P207" i="1"/>
  <c r="O208" i="1"/>
  <c r="P208" i="1"/>
  <c r="O209" i="1"/>
  <c r="P209" i="1"/>
  <c r="O210" i="1"/>
  <c r="P210" i="1"/>
  <c r="O211" i="1"/>
  <c r="P211" i="1"/>
  <c r="O212" i="1"/>
  <c r="P212" i="1"/>
  <c r="O213" i="1"/>
  <c r="P213" i="1"/>
  <c r="O214" i="1"/>
  <c r="P214" i="1"/>
  <c r="O215" i="1"/>
  <c r="P215" i="1"/>
  <c r="O216" i="1"/>
  <c r="P216" i="1"/>
  <c r="O217" i="1"/>
  <c r="P217" i="1"/>
  <c r="O218" i="1"/>
  <c r="P218" i="1"/>
  <c r="O219" i="1"/>
  <c r="P219" i="1"/>
  <c r="O220" i="1"/>
  <c r="P220" i="1"/>
  <c r="O221" i="1"/>
  <c r="P221" i="1"/>
  <c r="O222" i="1"/>
  <c r="P222" i="1"/>
  <c r="O223" i="1"/>
  <c r="P223" i="1"/>
  <c r="O224" i="1"/>
  <c r="P224" i="1"/>
  <c r="O225" i="1"/>
  <c r="P225" i="1"/>
  <c r="O226" i="1"/>
  <c r="P226" i="1"/>
  <c r="O227" i="1"/>
  <c r="P227" i="1"/>
  <c r="O228" i="1"/>
  <c r="P228" i="1"/>
  <c r="O229" i="1"/>
  <c r="P229" i="1"/>
  <c r="O230" i="1"/>
  <c r="P230" i="1"/>
  <c r="O231" i="1"/>
  <c r="P231" i="1"/>
  <c r="O232" i="1"/>
  <c r="P232" i="1"/>
  <c r="O233" i="1"/>
  <c r="P233" i="1"/>
  <c r="O234" i="1"/>
  <c r="P234" i="1"/>
  <c r="O235" i="1"/>
  <c r="P235" i="1"/>
  <c r="O236" i="1"/>
  <c r="P236" i="1"/>
  <c r="O237" i="1"/>
  <c r="P237" i="1"/>
  <c r="O238" i="1"/>
  <c r="P238" i="1"/>
  <c r="O239" i="1"/>
  <c r="P239" i="1"/>
  <c r="O240" i="1"/>
  <c r="P240" i="1"/>
  <c r="O241" i="1"/>
  <c r="P241" i="1"/>
  <c r="O242" i="1"/>
  <c r="P242" i="1"/>
  <c r="O243" i="1"/>
  <c r="P243" i="1"/>
  <c r="O244" i="1"/>
  <c r="P244" i="1"/>
  <c r="O245" i="1"/>
  <c r="P245" i="1"/>
  <c r="O246" i="1"/>
  <c r="P246" i="1"/>
  <c r="O247" i="1"/>
  <c r="P247" i="1"/>
  <c r="O248" i="1"/>
  <c r="P248" i="1"/>
  <c r="O249" i="1"/>
  <c r="P249" i="1"/>
  <c r="O250" i="1"/>
  <c r="P250" i="1"/>
  <c r="O251" i="1"/>
  <c r="P251" i="1"/>
  <c r="O252" i="1"/>
  <c r="P252" i="1"/>
  <c r="O253" i="1"/>
  <c r="P253" i="1"/>
  <c r="O254" i="1"/>
  <c r="P254" i="1"/>
  <c r="O255" i="1"/>
  <c r="P255" i="1"/>
  <c r="O256" i="1"/>
  <c r="P256" i="1"/>
  <c r="O257" i="1"/>
  <c r="P257" i="1"/>
  <c r="O258" i="1"/>
  <c r="P258" i="1"/>
  <c r="O259" i="1"/>
  <c r="P259" i="1"/>
  <c r="O260" i="1"/>
  <c r="P260" i="1"/>
  <c r="O261" i="1"/>
  <c r="P261" i="1"/>
  <c r="O262" i="1"/>
  <c r="P262" i="1"/>
  <c r="O263" i="1"/>
  <c r="P263" i="1"/>
  <c r="O264" i="1"/>
  <c r="P264" i="1"/>
  <c r="O265" i="1"/>
  <c r="P265" i="1"/>
  <c r="O266" i="1"/>
  <c r="P266" i="1"/>
  <c r="O267" i="1"/>
  <c r="P267" i="1"/>
  <c r="O268" i="1"/>
  <c r="P268" i="1"/>
  <c r="O269" i="1"/>
  <c r="P269" i="1"/>
  <c r="O270" i="1"/>
  <c r="P270" i="1"/>
  <c r="O271" i="1"/>
  <c r="P271" i="1"/>
  <c r="O272" i="1"/>
  <c r="P272" i="1"/>
  <c r="O273" i="1"/>
  <c r="P273" i="1"/>
  <c r="O274" i="1"/>
  <c r="P274" i="1"/>
  <c r="O275" i="1"/>
  <c r="P275" i="1"/>
  <c r="O276" i="1"/>
  <c r="P276" i="1"/>
  <c r="O277" i="1"/>
  <c r="P277" i="1"/>
  <c r="O278" i="1"/>
  <c r="P278" i="1"/>
  <c r="O279" i="1"/>
  <c r="P279" i="1"/>
  <c r="O280" i="1"/>
  <c r="P280" i="1"/>
  <c r="O281" i="1"/>
  <c r="P281" i="1"/>
  <c r="O282" i="1"/>
  <c r="P282" i="1"/>
  <c r="O283" i="1"/>
  <c r="P283" i="1"/>
  <c r="O284" i="1"/>
  <c r="P284" i="1"/>
  <c r="O285" i="1"/>
  <c r="P285" i="1"/>
  <c r="O286" i="1"/>
  <c r="P286" i="1"/>
  <c r="O287" i="1"/>
  <c r="P287" i="1"/>
  <c r="O288" i="1"/>
  <c r="P288" i="1"/>
  <c r="O289" i="1"/>
  <c r="P289" i="1"/>
  <c r="O290" i="1"/>
  <c r="P290" i="1"/>
  <c r="O291" i="1"/>
  <c r="P291" i="1"/>
  <c r="O292" i="1"/>
  <c r="P292" i="1"/>
  <c r="O293" i="1"/>
  <c r="P293" i="1"/>
  <c r="O294" i="1"/>
  <c r="P294" i="1"/>
  <c r="O295" i="1"/>
  <c r="P295" i="1"/>
  <c r="O296" i="1"/>
  <c r="P296" i="1"/>
  <c r="O297" i="1"/>
  <c r="P297" i="1"/>
  <c r="O298" i="1"/>
  <c r="P298" i="1"/>
  <c r="O299" i="1"/>
  <c r="P299" i="1"/>
  <c r="O300" i="1"/>
  <c r="P300" i="1"/>
  <c r="O301" i="1"/>
  <c r="P301" i="1"/>
  <c r="O302" i="1"/>
  <c r="P302" i="1"/>
  <c r="O303" i="1"/>
  <c r="P303" i="1"/>
  <c r="O304" i="1"/>
  <c r="P304" i="1"/>
  <c r="O305" i="1"/>
  <c r="P305" i="1"/>
  <c r="O306" i="1"/>
  <c r="P306" i="1"/>
  <c r="O307" i="1"/>
  <c r="P307" i="1"/>
  <c r="O308" i="1"/>
  <c r="P308" i="1"/>
  <c r="O309" i="1"/>
  <c r="P309" i="1"/>
  <c r="O310" i="1"/>
  <c r="P310" i="1"/>
  <c r="O311" i="1"/>
  <c r="P311" i="1"/>
  <c r="O312" i="1"/>
  <c r="P312" i="1"/>
  <c r="O313" i="1"/>
  <c r="P313" i="1"/>
  <c r="O314" i="1"/>
  <c r="P314" i="1"/>
  <c r="O315" i="1"/>
  <c r="P315" i="1"/>
  <c r="O316" i="1"/>
  <c r="P316" i="1"/>
  <c r="O317" i="1"/>
  <c r="P317" i="1"/>
  <c r="O318" i="1"/>
  <c r="P318" i="1"/>
  <c r="O319" i="1"/>
  <c r="P319" i="1"/>
  <c r="O320" i="1"/>
  <c r="P320" i="1"/>
  <c r="O321" i="1"/>
  <c r="P321" i="1"/>
  <c r="O322" i="1"/>
  <c r="P322" i="1"/>
  <c r="O323" i="1"/>
  <c r="P323" i="1"/>
  <c r="O324" i="1"/>
  <c r="P324" i="1"/>
  <c r="O325" i="1"/>
  <c r="P325" i="1"/>
  <c r="O326" i="1"/>
  <c r="P326" i="1"/>
  <c r="O327" i="1"/>
  <c r="P327" i="1"/>
  <c r="O328" i="1"/>
  <c r="P328" i="1"/>
  <c r="O329" i="1"/>
  <c r="P329" i="1"/>
  <c r="O330" i="1"/>
  <c r="P330" i="1"/>
  <c r="O331" i="1"/>
  <c r="P331" i="1"/>
  <c r="O332" i="1"/>
  <c r="P332" i="1"/>
  <c r="O333" i="1"/>
  <c r="P333" i="1"/>
  <c r="O334" i="1"/>
  <c r="P334" i="1"/>
  <c r="O335" i="1"/>
  <c r="P335" i="1"/>
  <c r="O336" i="1"/>
  <c r="P336" i="1"/>
  <c r="O337" i="1"/>
  <c r="P337" i="1"/>
  <c r="O338" i="1"/>
  <c r="P338" i="1"/>
  <c r="O339" i="1"/>
  <c r="P339" i="1"/>
  <c r="O340" i="1"/>
  <c r="P340" i="1"/>
  <c r="O341" i="1"/>
  <c r="P341" i="1"/>
  <c r="O342" i="1"/>
  <c r="P342" i="1"/>
  <c r="O343" i="1"/>
  <c r="P343" i="1"/>
  <c r="O344" i="1"/>
  <c r="P344" i="1"/>
  <c r="O345" i="1"/>
  <c r="P345" i="1"/>
  <c r="O346" i="1"/>
  <c r="P346" i="1"/>
  <c r="O347" i="1"/>
  <c r="P347" i="1"/>
  <c r="O348" i="1"/>
  <c r="P348" i="1"/>
  <c r="O349" i="1"/>
  <c r="P349" i="1"/>
  <c r="O350" i="1"/>
  <c r="P350" i="1"/>
  <c r="O351" i="1"/>
  <c r="P351" i="1"/>
  <c r="O352" i="1"/>
  <c r="P352" i="1"/>
  <c r="O353" i="1"/>
  <c r="P353" i="1"/>
  <c r="O354" i="1"/>
  <c r="P354" i="1"/>
  <c r="O355" i="1"/>
  <c r="P355" i="1"/>
  <c r="O356" i="1"/>
  <c r="P356" i="1"/>
  <c r="O357" i="1"/>
  <c r="P357" i="1"/>
  <c r="O358" i="1"/>
  <c r="P358" i="1"/>
  <c r="O359" i="1"/>
  <c r="P359" i="1"/>
  <c r="O360" i="1"/>
  <c r="P360" i="1"/>
  <c r="O361" i="1"/>
  <c r="P361" i="1"/>
  <c r="O362" i="1"/>
  <c r="P362" i="1"/>
  <c r="O363" i="1"/>
  <c r="P363" i="1"/>
  <c r="O364" i="1"/>
  <c r="P364" i="1"/>
  <c r="O365" i="1"/>
  <c r="P365" i="1"/>
  <c r="O366" i="1"/>
  <c r="P366" i="1"/>
  <c r="O367" i="1"/>
  <c r="P367" i="1"/>
  <c r="O368" i="1"/>
  <c r="P368" i="1"/>
  <c r="O369" i="1"/>
  <c r="P369" i="1"/>
  <c r="O370" i="1"/>
  <c r="P370" i="1"/>
  <c r="O371" i="1"/>
  <c r="P371" i="1"/>
  <c r="O372" i="1"/>
  <c r="P372" i="1"/>
  <c r="O373" i="1"/>
  <c r="P373" i="1"/>
  <c r="O374" i="1"/>
  <c r="P374" i="1"/>
  <c r="O375" i="1"/>
  <c r="P375" i="1"/>
  <c r="O376" i="1"/>
  <c r="P376" i="1"/>
  <c r="O377" i="1"/>
  <c r="P377" i="1"/>
  <c r="O378" i="1"/>
  <c r="P378" i="1"/>
  <c r="O379" i="1"/>
  <c r="P379" i="1"/>
  <c r="O380" i="1"/>
  <c r="P380" i="1"/>
  <c r="O381" i="1"/>
  <c r="P381" i="1"/>
  <c r="O382" i="1"/>
  <c r="P382" i="1"/>
  <c r="O383" i="1"/>
  <c r="P383" i="1"/>
  <c r="O384" i="1"/>
  <c r="P384" i="1"/>
  <c r="O385" i="1"/>
  <c r="P385" i="1"/>
  <c r="O386" i="1"/>
  <c r="P386" i="1"/>
  <c r="O387" i="1"/>
  <c r="P387" i="1"/>
  <c r="O388" i="1"/>
  <c r="P388" i="1"/>
  <c r="O389" i="1"/>
  <c r="P389" i="1"/>
  <c r="O390" i="1"/>
  <c r="P390" i="1"/>
  <c r="O391" i="1"/>
  <c r="P391" i="1"/>
  <c r="O392" i="1"/>
  <c r="P392" i="1"/>
  <c r="O393" i="1"/>
  <c r="P393" i="1"/>
  <c r="O394" i="1"/>
  <c r="P394" i="1"/>
  <c r="O395" i="1"/>
  <c r="P395" i="1"/>
  <c r="O396" i="1"/>
  <c r="P396" i="1"/>
  <c r="O397" i="1"/>
  <c r="P397" i="1"/>
  <c r="O398" i="1"/>
  <c r="P398" i="1"/>
  <c r="O399" i="1"/>
  <c r="P399" i="1"/>
  <c r="O400" i="1"/>
  <c r="P400" i="1"/>
  <c r="O401" i="1"/>
  <c r="P401" i="1"/>
  <c r="O402" i="1"/>
  <c r="P402" i="1"/>
  <c r="O403" i="1"/>
  <c r="P403" i="1"/>
  <c r="O404" i="1"/>
  <c r="P404" i="1"/>
  <c r="O405" i="1"/>
  <c r="P405" i="1"/>
  <c r="O406" i="1"/>
  <c r="P406" i="1"/>
  <c r="O407" i="1"/>
  <c r="P407" i="1"/>
  <c r="O408" i="1"/>
  <c r="P408" i="1"/>
  <c r="O409" i="1"/>
  <c r="P409" i="1"/>
  <c r="O410" i="1"/>
  <c r="P410" i="1"/>
  <c r="O411" i="1"/>
  <c r="P411" i="1"/>
  <c r="O412" i="1"/>
  <c r="P412" i="1"/>
  <c r="O413" i="1"/>
  <c r="P413" i="1"/>
  <c r="O414" i="1"/>
  <c r="P414" i="1"/>
  <c r="O415" i="1"/>
  <c r="P415" i="1"/>
  <c r="O416" i="1"/>
  <c r="P416" i="1"/>
  <c r="O417" i="1"/>
  <c r="P417" i="1"/>
  <c r="O418" i="1"/>
  <c r="P418" i="1"/>
  <c r="O419" i="1"/>
  <c r="P419" i="1"/>
  <c r="O420" i="1"/>
  <c r="P420" i="1"/>
  <c r="O421" i="1"/>
  <c r="P421" i="1"/>
  <c r="O422" i="1"/>
  <c r="P422" i="1"/>
  <c r="O423" i="1"/>
  <c r="P423" i="1"/>
  <c r="O424" i="1"/>
  <c r="P424" i="1"/>
  <c r="O425" i="1"/>
  <c r="P425" i="1"/>
  <c r="O426" i="1"/>
  <c r="P426" i="1"/>
  <c r="O427" i="1"/>
  <c r="P427" i="1"/>
  <c r="O428" i="1"/>
  <c r="P428" i="1"/>
  <c r="O429" i="1"/>
  <c r="P429" i="1"/>
  <c r="O430" i="1"/>
  <c r="P430" i="1"/>
  <c r="O431" i="1"/>
  <c r="P431" i="1"/>
  <c r="O432" i="1"/>
  <c r="P432" i="1"/>
  <c r="O433" i="1"/>
  <c r="P433" i="1"/>
  <c r="O434" i="1"/>
  <c r="P434" i="1"/>
  <c r="O435" i="1"/>
  <c r="P435" i="1"/>
  <c r="O436" i="1"/>
  <c r="P436" i="1"/>
  <c r="O437" i="1"/>
  <c r="P437" i="1"/>
  <c r="O438" i="1"/>
  <c r="P438" i="1"/>
  <c r="O439" i="1"/>
  <c r="P439" i="1"/>
  <c r="O440" i="1"/>
  <c r="P440" i="1"/>
  <c r="O441" i="1"/>
  <c r="P441" i="1"/>
  <c r="O442" i="1"/>
  <c r="P442" i="1"/>
  <c r="O443" i="1"/>
  <c r="P443" i="1"/>
  <c r="O444" i="1"/>
  <c r="P444" i="1"/>
  <c r="O445" i="1"/>
  <c r="P445" i="1"/>
  <c r="O446" i="1"/>
  <c r="P446" i="1"/>
  <c r="O447" i="1"/>
  <c r="P447" i="1"/>
  <c r="O448" i="1"/>
  <c r="P448" i="1"/>
  <c r="O449" i="1"/>
  <c r="P449" i="1"/>
  <c r="O450" i="1"/>
  <c r="P450" i="1"/>
  <c r="O451" i="1"/>
  <c r="P451" i="1"/>
  <c r="O452" i="1"/>
  <c r="P452" i="1"/>
  <c r="O453" i="1"/>
  <c r="P453" i="1"/>
  <c r="O454" i="1"/>
  <c r="P454" i="1"/>
  <c r="O455" i="1"/>
  <c r="P455" i="1"/>
  <c r="O456" i="1"/>
  <c r="P456" i="1"/>
  <c r="O457" i="1"/>
  <c r="P457" i="1"/>
  <c r="O458" i="1"/>
  <c r="P458" i="1"/>
  <c r="O459" i="1"/>
  <c r="P459" i="1"/>
  <c r="O460" i="1"/>
  <c r="P460" i="1"/>
  <c r="O461" i="1"/>
  <c r="P461" i="1"/>
  <c r="O462" i="1"/>
  <c r="P462" i="1"/>
  <c r="O463" i="1"/>
  <c r="P463" i="1"/>
  <c r="O464" i="1"/>
  <c r="P464" i="1"/>
  <c r="O465" i="1"/>
  <c r="P465" i="1"/>
  <c r="O466" i="1"/>
  <c r="P466" i="1"/>
  <c r="O467" i="1"/>
  <c r="P467" i="1"/>
  <c r="O468" i="1"/>
  <c r="P468" i="1"/>
  <c r="O469" i="1"/>
  <c r="P469" i="1"/>
  <c r="O470" i="1"/>
  <c r="P470" i="1"/>
  <c r="O471" i="1"/>
  <c r="P471" i="1"/>
  <c r="O472" i="1"/>
  <c r="P472" i="1"/>
  <c r="O473" i="1"/>
  <c r="P473" i="1"/>
  <c r="O474" i="1"/>
  <c r="P474" i="1"/>
  <c r="O475" i="1"/>
  <c r="P475" i="1"/>
  <c r="O476" i="1"/>
  <c r="P476" i="1"/>
  <c r="O477" i="1"/>
  <c r="P477" i="1"/>
  <c r="O478" i="1"/>
  <c r="P478" i="1"/>
  <c r="O479" i="1"/>
  <c r="P479" i="1"/>
  <c r="O480" i="1"/>
  <c r="P480" i="1"/>
  <c r="O481" i="1"/>
  <c r="P481" i="1"/>
  <c r="O482" i="1"/>
  <c r="P482" i="1"/>
  <c r="O483" i="1"/>
  <c r="P483" i="1"/>
  <c r="O484" i="1"/>
  <c r="P484" i="1"/>
  <c r="O485" i="1"/>
  <c r="P485" i="1"/>
  <c r="O486" i="1"/>
  <c r="P486" i="1"/>
  <c r="O487" i="1"/>
  <c r="P487" i="1"/>
  <c r="O488" i="1"/>
  <c r="P488" i="1"/>
  <c r="O489" i="1"/>
  <c r="P489" i="1"/>
  <c r="O490" i="1"/>
  <c r="P490" i="1"/>
  <c r="O491" i="1"/>
  <c r="P491" i="1"/>
  <c r="O492" i="1"/>
  <c r="P492" i="1"/>
  <c r="O493" i="1"/>
  <c r="P493" i="1"/>
  <c r="O494" i="1"/>
  <c r="P494" i="1"/>
  <c r="O495" i="1"/>
  <c r="P495" i="1"/>
  <c r="O496" i="1"/>
  <c r="P496" i="1"/>
  <c r="O497" i="1"/>
  <c r="P497" i="1"/>
  <c r="O498" i="1"/>
  <c r="P498" i="1"/>
  <c r="O499" i="1"/>
  <c r="P499" i="1"/>
  <c r="O500" i="1"/>
  <c r="P500" i="1"/>
  <c r="O501" i="1"/>
  <c r="P501" i="1"/>
  <c r="O502" i="1"/>
  <c r="P502" i="1"/>
  <c r="O503" i="1"/>
  <c r="P503" i="1"/>
  <c r="O504" i="1"/>
  <c r="P504" i="1"/>
  <c r="O505" i="1"/>
  <c r="P505" i="1"/>
  <c r="O506" i="1"/>
  <c r="P506" i="1"/>
  <c r="O507" i="1"/>
  <c r="P507" i="1"/>
  <c r="O508" i="1"/>
  <c r="P508" i="1"/>
  <c r="O509" i="1"/>
  <c r="P509" i="1"/>
  <c r="O510" i="1"/>
  <c r="P510" i="1"/>
  <c r="O511" i="1"/>
  <c r="P511" i="1"/>
  <c r="O512" i="1"/>
  <c r="P512" i="1"/>
  <c r="O513" i="1"/>
  <c r="P513" i="1"/>
  <c r="O514" i="1"/>
  <c r="P514" i="1"/>
  <c r="O515" i="1"/>
  <c r="P515" i="1"/>
  <c r="O516" i="1"/>
  <c r="P516" i="1"/>
  <c r="O517" i="1"/>
  <c r="P517" i="1"/>
  <c r="O518" i="1"/>
  <c r="P518" i="1"/>
  <c r="O519" i="1"/>
  <c r="P519" i="1"/>
  <c r="O520" i="1"/>
  <c r="P520" i="1"/>
  <c r="O521" i="1"/>
  <c r="P521" i="1"/>
  <c r="O522" i="1"/>
  <c r="P522" i="1"/>
  <c r="O523" i="1"/>
  <c r="P523" i="1"/>
  <c r="O524" i="1"/>
  <c r="P524" i="1"/>
  <c r="O525" i="1"/>
  <c r="P525" i="1"/>
  <c r="O526" i="1"/>
  <c r="P526" i="1"/>
  <c r="O527" i="1"/>
  <c r="P527" i="1"/>
  <c r="O528" i="1"/>
  <c r="P528" i="1"/>
  <c r="O529" i="1"/>
  <c r="P529" i="1"/>
  <c r="O530" i="1"/>
  <c r="P530" i="1"/>
  <c r="O531" i="1"/>
  <c r="P531" i="1"/>
  <c r="O532" i="1"/>
  <c r="P532" i="1"/>
  <c r="O533" i="1"/>
  <c r="P533" i="1"/>
  <c r="O534" i="1"/>
  <c r="P534" i="1"/>
  <c r="O535" i="1"/>
  <c r="P535" i="1"/>
  <c r="O536" i="1"/>
  <c r="P536" i="1"/>
  <c r="O537" i="1"/>
  <c r="P537" i="1"/>
  <c r="O538" i="1"/>
  <c r="P538" i="1"/>
  <c r="O539" i="1"/>
  <c r="P539" i="1"/>
  <c r="O540" i="1"/>
  <c r="P540" i="1"/>
  <c r="O541" i="1"/>
  <c r="P541" i="1"/>
  <c r="O542" i="1"/>
  <c r="P542" i="1"/>
  <c r="O543" i="1"/>
  <c r="P543" i="1"/>
  <c r="O544" i="1"/>
  <c r="P544" i="1"/>
  <c r="O545" i="1"/>
  <c r="P545" i="1"/>
  <c r="O546" i="1"/>
  <c r="P546" i="1"/>
  <c r="O547" i="1"/>
  <c r="P547" i="1"/>
  <c r="O548" i="1"/>
  <c r="P548" i="1"/>
  <c r="O549" i="1"/>
  <c r="P549" i="1"/>
  <c r="O550" i="1"/>
  <c r="P550" i="1"/>
  <c r="O551" i="1"/>
  <c r="P551" i="1"/>
  <c r="O552" i="1"/>
  <c r="P552" i="1"/>
  <c r="O553" i="1"/>
  <c r="P553" i="1"/>
  <c r="O554" i="1"/>
  <c r="P554" i="1"/>
  <c r="O555" i="1"/>
  <c r="P555" i="1"/>
  <c r="O556" i="1"/>
  <c r="P556" i="1"/>
  <c r="O557" i="1"/>
  <c r="P557" i="1"/>
  <c r="O558" i="1"/>
  <c r="P558" i="1"/>
  <c r="O559" i="1"/>
  <c r="P559" i="1"/>
  <c r="O560" i="1"/>
  <c r="P560" i="1"/>
  <c r="O561" i="1"/>
  <c r="P561" i="1"/>
  <c r="O562" i="1"/>
  <c r="P562" i="1"/>
  <c r="O563" i="1"/>
  <c r="P563" i="1"/>
  <c r="O564" i="1"/>
  <c r="P564" i="1"/>
  <c r="O565" i="1"/>
  <c r="P565" i="1"/>
  <c r="O566" i="1"/>
  <c r="P566" i="1"/>
  <c r="O567" i="1"/>
  <c r="P567" i="1"/>
  <c r="O568" i="1"/>
  <c r="P568" i="1"/>
  <c r="O569" i="1"/>
  <c r="P569" i="1"/>
  <c r="O570" i="1"/>
  <c r="P570" i="1"/>
  <c r="O571" i="1"/>
  <c r="P571" i="1"/>
  <c r="O572" i="1"/>
  <c r="P572" i="1"/>
  <c r="O573" i="1"/>
  <c r="P573" i="1"/>
  <c r="O574" i="1"/>
  <c r="P574" i="1"/>
  <c r="O575" i="1"/>
  <c r="P575" i="1"/>
  <c r="O576" i="1"/>
  <c r="P576" i="1"/>
  <c r="O577" i="1"/>
  <c r="P577" i="1"/>
  <c r="O578" i="1"/>
  <c r="P578" i="1"/>
  <c r="O579" i="1"/>
  <c r="P579" i="1"/>
  <c r="O580" i="1"/>
  <c r="P580" i="1"/>
  <c r="O581" i="1"/>
  <c r="P581" i="1"/>
  <c r="O582" i="1"/>
  <c r="P582" i="1"/>
  <c r="O583" i="1"/>
  <c r="P583" i="1"/>
  <c r="O584" i="1"/>
  <c r="P584" i="1"/>
  <c r="O585" i="1"/>
  <c r="P585" i="1"/>
  <c r="O586" i="1"/>
  <c r="P586" i="1"/>
  <c r="O587" i="1"/>
  <c r="P587" i="1"/>
  <c r="O588" i="1"/>
  <c r="P588" i="1"/>
  <c r="O589" i="1"/>
  <c r="P589" i="1"/>
  <c r="O590" i="1"/>
  <c r="P590" i="1"/>
  <c r="O591" i="1"/>
  <c r="P591" i="1"/>
  <c r="O592" i="1"/>
  <c r="P592" i="1"/>
  <c r="O593" i="1"/>
  <c r="P593" i="1"/>
  <c r="O594" i="1"/>
  <c r="P594" i="1"/>
  <c r="O595" i="1"/>
  <c r="P595" i="1"/>
  <c r="O596" i="1"/>
  <c r="P596" i="1"/>
  <c r="O597" i="1"/>
  <c r="P597" i="1"/>
  <c r="O598" i="1"/>
  <c r="P598" i="1"/>
  <c r="O599" i="1"/>
  <c r="P599" i="1"/>
  <c r="O600" i="1"/>
  <c r="P600" i="1"/>
  <c r="O601" i="1"/>
  <c r="P601" i="1"/>
  <c r="O602" i="1"/>
  <c r="P602" i="1"/>
  <c r="O603" i="1"/>
  <c r="P603" i="1"/>
  <c r="O604" i="1"/>
  <c r="P604" i="1"/>
  <c r="O605" i="1"/>
  <c r="P605" i="1"/>
  <c r="O606" i="1"/>
  <c r="P606" i="1"/>
  <c r="O607" i="1"/>
  <c r="P607" i="1"/>
  <c r="O608" i="1"/>
  <c r="P608" i="1"/>
  <c r="O609" i="1"/>
  <c r="P609" i="1"/>
  <c r="O610" i="1"/>
  <c r="P610" i="1"/>
  <c r="O611" i="1"/>
  <c r="P611" i="1"/>
  <c r="O612" i="1"/>
  <c r="P612" i="1"/>
  <c r="O613" i="1"/>
  <c r="P613" i="1"/>
  <c r="O614" i="1"/>
  <c r="P614" i="1"/>
  <c r="O615" i="1"/>
  <c r="P615" i="1"/>
  <c r="O616" i="1"/>
  <c r="P616" i="1"/>
  <c r="O617" i="1"/>
  <c r="P617" i="1"/>
  <c r="O618" i="1"/>
  <c r="P618" i="1"/>
  <c r="O619" i="1"/>
  <c r="P619" i="1"/>
  <c r="O620" i="1"/>
  <c r="P620" i="1"/>
  <c r="O621" i="1"/>
  <c r="P621" i="1"/>
  <c r="O622" i="1"/>
  <c r="P622" i="1"/>
  <c r="O623" i="1"/>
  <c r="P623" i="1"/>
  <c r="O624" i="1"/>
  <c r="P624" i="1"/>
  <c r="O625" i="1"/>
  <c r="P625" i="1"/>
  <c r="O626" i="1"/>
  <c r="P626" i="1"/>
  <c r="O627" i="1"/>
  <c r="P627" i="1"/>
  <c r="O628" i="1"/>
  <c r="P628" i="1"/>
  <c r="O629" i="1"/>
  <c r="P629" i="1"/>
  <c r="O630" i="1"/>
  <c r="P630" i="1"/>
  <c r="O631" i="1"/>
  <c r="P631" i="1"/>
  <c r="O632" i="1"/>
  <c r="P632" i="1"/>
  <c r="O633" i="1"/>
  <c r="P633" i="1"/>
  <c r="O634" i="1"/>
  <c r="P634" i="1"/>
  <c r="O635" i="1"/>
  <c r="P635" i="1"/>
  <c r="O636" i="1"/>
  <c r="P636" i="1"/>
  <c r="O637" i="1"/>
  <c r="P637" i="1"/>
  <c r="O638" i="1"/>
  <c r="P638" i="1"/>
  <c r="O639" i="1"/>
  <c r="P639" i="1"/>
  <c r="O640" i="1"/>
  <c r="P640" i="1"/>
  <c r="O641" i="1"/>
  <c r="P641" i="1"/>
  <c r="O642" i="1"/>
  <c r="P642" i="1"/>
  <c r="O643" i="1"/>
  <c r="P643" i="1"/>
  <c r="O644" i="1"/>
  <c r="P644" i="1"/>
  <c r="O645" i="1"/>
  <c r="P645" i="1"/>
  <c r="O646" i="1"/>
  <c r="P646" i="1"/>
  <c r="O647" i="1"/>
  <c r="P647" i="1"/>
  <c r="O648" i="1"/>
  <c r="P648" i="1"/>
  <c r="O649" i="1"/>
  <c r="P649" i="1"/>
  <c r="O650" i="1"/>
  <c r="P650" i="1"/>
  <c r="O651" i="1"/>
  <c r="P651" i="1"/>
  <c r="O652" i="1"/>
  <c r="P652" i="1"/>
  <c r="O653" i="1"/>
  <c r="P653" i="1"/>
  <c r="O654" i="1"/>
  <c r="P654" i="1"/>
  <c r="O655" i="1"/>
  <c r="P655" i="1"/>
  <c r="O656" i="1"/>
  <c r="P656" i="1"/>
  <c r="O657" i="1"/>
  <c r="P657" i="1"/>
  <c r="O658" i="1"/>
  <c r="P658" i="1"/>
  <c r="O659" i="1"/>
  <c r="P659" i="1"/>
  <c r="O660" i="1"/>
  <c r="P660" i="1"/>
  <c r="O661" i="1"/>
  <c r="P661" i="1"/>
  <c r="O662" i="1"/>
  <c r="P662" i="1"/>
  <c r="O663" i="1"/>
  <c r="P663" i="1"/>
  <c r="O664" i="1"/>
  <c r="P664" i="1"/>
  <c r="O665" i="1"/>
  <c r="P665" i="1"/>
  <c r="O666" i="1"/>
  <c r="P666" i="1"/>
  <c r="O667" i="1"/>
  <c r="P667" i="1"/>
  <c r="O668" i="1"/>
  <c r="P668" i="1"/>
  <c r="O669" i="1"/>
  <c r="P669" i="1"/>
  <c r="O670" i="1"/>
  <c r="P670" i="1"/>
  <c r="O671" i="1"/>
  <c r="P671" i="1"/>
  <c r="O672" i="1"/>
  <c r="P672" i="1"/>
  <c r="O673" i="1"/>
  <c r="P673" i="1"/>
  <c r="O674" i="1"/>
  <c r="P674" i="1"/>
  <c r="O675" i="1"/>
  <c r="P675" i="1"/>
  <c r="O676" i="1"/>
  <c r="P676" i="1"/>
  <c r="O677" i="1"/>
  <c r="P677" i="1"/>
  <c r="O678" i="1"/>
  <c r="P678" i="1"/>
  <c r="O679" i="1"/>
  <c r="P679" i="1"/>
  <c r="O680" i="1"/>
  <c r="P680" i="1"/>
  <c r="O681" i="1"/>
  <c r="P681" i="1"/>
  <c r="O682" i="1"/>
  <c r="P682" i="1"/>
  <c r="O683" i="1"/>
  <c r="P683" i="1"/>
  <c r="O684" i="1"/>
  <c r="P684" i="1"/>
  <c r="O685" i="1"/>
  <c r="P685" i="1"/>
  <c r="O686" i="1"/>
  <c r="P686" i="1"/>
  <c r="O687" i="1"/>
  <c r="P687" i="1"/>
  <c r="O688" i="1"/>
  <c r="P688" i="1"/>
  <c r="O689" i="1"/>
  <c r="P689" i="1"/>
  <c r="O690" i="1"/>
  <c r="P690" i="1"/>
  <c r="O691" i="1"/>
  <c r="P691" i="1"/>
  <c r="O692" i="1"/>
  <c r="P692" i="1"/>
  <c r="O693" i="1"/>
  <c r="P693" i="1"/>
  <c r="O694" i="1"/>
  <c r="P694" i="1"/>
  <c r="O695" i="1"/>
  <c r="P695" i="1"/>
  <c r="O696" i="1"/>
  <c r="P696" i="1"/>
  <c r="O697" i="1"/>
  <c r="P697" i="1"/>
  <c r="O698" i="1"/>
  <c r="P698" i="1"/>
  <c r="O699" i="1"/>
  <c r="P699" i="1"/>
  <c r="O700" i="1"/>
  <c r="P700" i="1"/>
  <c r="O701" i="1"/>
  <c r="P701" i="1"/>
  <c r="O702" i="1"/>
  <c r="P702" i="1"/>
  <c r="O703" i="1"/>
  <c r="P703" i="1"/>
  <c r="O704" i="1"/>
  <c r="P704" i="1"/>
  <c r="O705" i="1"/>
  <c r="P705" i="1"/>
  <c r="O706" i="1"/>
  <c r="P706" i="1"/>
  <c r="O707" i="1"/>
  <c r="P707" i="1"/>
  <c r="O708" i="1"/>
  <c r="P708" i="1"/>
  <c r="O709" i="1"/>
  <c r="P709" i="1"/>
  <c r="O710" i="1"/>
  <c r="P710" i="1"/>
  <c r="O711" i="1"/>
  <c r="P711" i="1"/>
  <c r="O712" i="1"/>
  <c r="P712" i="1"/>
  <c r="O713" i="1"/>
  <c r="P713" i="1"/>
  <c r="O714" i="1"/>
  <c r="P714" i="1"/>
  <c r="O715" i="1"/>
  <c r="P715" i="1"/>
  <c r="O716" i="1"/>
  <c r="P716" i="1"/>
  <c r="O717" i="1"/>
  <c r="P717" i="1"/>
  <c r="O718" i="1"/>
  <c r="P718" i="1"/>
  <c r="O719" i="1"/>
  <c r="P719" i="1"/>
  <c r="O720" i="1"/>
  <c r="P720" i="1"/>
  <c r="O721" i="1"/>
  <c r="P721" i="1"/>
  <c r="O722" i="1"/>
  <c r="P722" i="1"/>
  <c r="O723" i="1"/>
  <c r="P723" i="1"/>
  <c r="O724" i="1"/>
  <c r="P724" i="1"/>
  <c r="O725" i="1"/>
  <c r="P725" i="1"/>
  <c r="O726" i="1"/>
  <c r="P726" i="1"/>
  <c r="O727" i="1"/>
  <c r="P727" i="1"/>
  <c r="O728" i="1"/>
  <c r="P728" i="1"/>
  <c r="O729" i="1"/>
  <c r="P729" i="1"/>
  <c r="O730" i="1"/>
  <c r="P730" i="1"/>
  <c r="O731" i="1"/>
  <c r="P731" i="1"/>
  <c r="O732" i="1"/>
  <c r="P732" i="1"/>
  <c r="O733" i="1"/>
  <c r="P733" i="1"/>
  <c r="O734" i="1"/>
  <c r="P734" i="1"/>
  <c r="O735" i="1"/>
  <c r="P735" i="1"/>
  <c r="O736" i="1"/>
  <c r="P736" i="1"/>
  <c r="O737" i="1"/>
  <c r="P737" i="1"/>
  <c r="O738" i="1"/>
  <c r="P738" i="1"/>
  <c r="O739" i="1"/>
  <c r="P739" i="1"/>
  <c r="O740" i="1"/>
  <c r="P740" i="1"/>
  <c r="O741" i="1"/>
  <c r="P741" i="1"/>
  <c r="O742" i="1"/>
  <c r="P742" i="1"/>
  <c r="O743" i="1"/>
  <c r="P743" i="1"/>
  <c r="O744" i="1"/>
  <c r="P744" i="1"/>
  <c r="O745" i="1"/>
  <c r="P745" i="1"/>
  <c r="O746" i="1"/>
  <c r="P746" i="1"/>
  <c r="O747" i="1"/>
  <c r="P747" i="1"/>
  <c r="O748" i="1"/>
  <c r="P748" i="1"/>
  <c r="O749" i="1"/>
  <c r="P749" i="1"/>
  <c r="O750" i="1"/>
  <c r="P750" i="1"/>
  <c r="O751" i="1"/>
  <c r="P751" i="1"/>
  <c r="O752" i="1"/>
  <c r="P752" i="1"/>
  <c r="O753" i="1"/>
  <c r="P753" i="1"/>
  <c r="O754" i="1"/>
  <c r="P754" i="1"/>
  <c r="O755" i="1"/>
  <c r="P755" i="1"/>
  <c r="O756" i="1"/>
  <c r="P756" i="1"/>
  <c r="O757" i="1"/>
  <c r="P757" i="1"/>
  <c r="O758" i="1"/>
  <c r="P758" i="1"/>
  <c r="O759" i="1"/>
  <c r="P759" i="1"/>
  <c r="O760" i="1"/>
  <c r="P760" i="1"/>
  <c r="O761" i="1"/>
  <c r="P761" i="1"/>
  <c r="O762" i="1"/>
  <c r="P762" i="1"/>
  <c r="O763" i="1"/>
  <c r="P763" i="1"/>
  <c r="O764" i="1"/>
  <c r="P764" i="1"/>
  <c r="O765" i="1"/>
  <c r="P765" i="1"/>
  <c r="O766" i="1"/>
  <c r="P766" i="1"/>
  <c r="O767" i="1"/>
  <c r="P767" i="1"/>
  <c r="O768" i="1"/>
  <c r="P768" i="1"/>
  <c r="O769" i="1"/>
  <c r="P769" i="1"/>
  <c r="O770" i="1"/>
  <c r="P770" i="1"/>
  <c r="O771" i="1"/>
  <c r="P771" i="1"/>
  <c r="O772" i="1"/>
  <c r="P772" i="1"/>
  <c r="O773" i="1"/>
  <c r="P773" i="1"/>
  <c r="O774" i="1"/>
  <c r="P774" i="1"/>
  <c r="O775" i="1"/>
  <c r="P775" i="1"/>
  <c r="O776" i="1"/>
  <c r="P776" i="1"/>
  <c r="O777" i="1"/>
  <c r="P777" i="1"/>
  <c r="O778" i="1"/>
  <c r="P778" i="1"/>
  <c r="O779" i="1"/>
  <c r="P779" i="1"/>
  <c r="O780" i="1"/>
  <c r="P780" i="1"/>
  <c r="O781" i="1"/>
  <c r="P781" i="1"/>
  <c r="O782" i="1"/>
  <c r="P782" i="1"/>
  <c r="O783" i="1"/>
  <c r="P783" i="1"/>
  <c r="O784" i="1"/>
  <c r="P784" i="1"/>
  <c r="O785" i="1"/>
  <c r="P785" i="1"/>
  <c r="O786" i="1"/>
  <c r="P786" i="1"/>
  <c r="O787" i="1"/>
  <c r="P787" i="1"/>
  <c r="O788" i="1"/>
  <c r="P788" i="1"/>
  <c r="O789" i="1"/>
  <c r="P789" i="1"/>
  <c r="O790" i="1"/>
  <c r="P790" i="1"/>
  <c r="O791" i="1"/>
  <c r="P791" i="1"/>
  <c r="O792" i="1"/>
  <c r="P792" i="1"/>
  <c r="O793" i="1"/>
  <c r="P793" i="1"/>
  <c r="O794" i="1"/>
  <c r="P794" i="1"/>
  <c r="O795" i="1"/>
  <c r="P795" i="1"/>
  <c r="O796" i="1"/>
  <c r="P796" i="1"/>
  <c r="O797" i="1"/>
  <c r="P797" i="1"/>
  <c r="O798" i="1"/>
  <c r="P798" i="1"/>
  <c r="O799" i="1"/>
  <c r="P799" i="1"/>
  <c r="O800" i="1"/>
  <c r="P800" i="1"/>
  <c r="O801" i="1"/>
  <c r="P801" i="1"/>
  <c r="O802" i="1"/>
  <c r="P802" i="1"/>
  <c r="O803" i="1"/>
  <c r="P803" i="1"/>
  <c r="O804" i="1"/>
  <c r="P804" i="1"/>
  <c r="O805" i="1"/>
  <c r="P805" i="1"/>
  <c r="O806" i="1"/>
  <c r="P806" i="1"/>
  <c r="O807" i="1"/>
  <c r="P807" i="1"/>
  <c r="O808" i="1"/>
  <c r="P808" i="1"/>
  <c r="O809" i="1"/>
  <c r="P809" i="1"/>
  <c r="O810" i="1"/>
  <c r="P810" i="1"/>
  <c r="O811" i="1"/>
  <c r="P811" i="1"/>
  <c r="O812" i="1"/>
  <c r="P812" i="1"/>
  <c r="O813" i="1"/>
  <c r="P813" i="1"/>
  <c r="O814" i="1"/>
  <c r="P814" i="1"/>
  <c r="O815" i="1"/>
  <c r="P815" i="1"/>
  <c r="O816" i="1"/>
  <c r="P816" i="1"/>
  <c r="O817" i="1"/>
  <c r="P817" i="1"/>
  <c r="O818" i="1"/>
  <c r="P818" i="1"/>
  <c r="O819" i="1"/>
  <c r="P819" i="1"/>
  <c r="O820" i="1"/>
  <c r="P820" i="1"/>
  <c r="O821" i="1"/>
  <c r="P821" i="1"/>
  <c r="O822" i="1"/>
  <c r="P822" i="1"/>
  <c r="O823" i="1"/>
  <c r="P823" i="1"/>
  <c r="O824" i="1"/>
  <c r="P824" i="1"/>
  <c r="O825" i="1"/>
  <c r="P825" i="1"/>
  <c r="O826" i="1"/>
  <c r="P826" i="1"/>
  <c r="O827" i="1"/>
  <c r="P827" i="1"/>
  <c r="O828" i="1"/>
  <c r="P828" i="1"/>
  <c r="O829" i="1"/>
  <c r="P829" i="1"/>
  <c r="O830" i="1"/>
  <c r="P830" i="1"/>
  <c r="O831" i="1"/>
  <c r="P831" i="1"/>
  <c r="O832" i="1"/>
  <c r="P832" i="1"/>
  <c r="O833" i="1"/>
  <c r="P833" i="1"/>
  <c r="O834" i="1"/>
  <c r="P834" i="1"/>
  <c r="O835" i="1"/>
  <c r="P835" i="1"/>
  <c r="O836" i="1"/>
  <c r="P836" i="1"/>
  <c r="O837" i="1"/>
  <c r="P837" i="1"/>
  <c r="O838" i="1"/>
  <c r="P838" i="1"/>
  <c r="O839" i="1"/>
  <c r="P839" i="1"/>
  <c r="O840" i="1"/>
  <c r="P840" i="1"/>
  <c r="O841" i="1"/>
  <c r="P841" i="1"/>
  <c r="O842" i="1"/>
  <c r="P842" i="1"/>
  <c r="O843" i="1"/>
  <c r="P843" i="1"/>
  <c r="O844" i="1"/>
  <c r="P844" i="1"/>
  <c r="O845" i="1"/>
  <c r="P845" i="1"/>
  <c r="O846" i="1"/>
  <c r="P846" i="1"/>
  <c r="O847" i="1"/>
  <c r="P847" i="1"/>
  <c r="O848" i="1"/>
  <c r="P848" i="1"/>
  <c r="O849" i="1"/>
  <c r="P849" i="1"/>
  <c r="O850" i="1"/>
  <c r="P850" i="1"/>
  <c r="O851" i="1"/>
  <c r="P851" i="1"/>
  <c r="O852" i="1"/>
  <c r="P852" i="1"/>
  <c r="O853" i="1"/>
  <c r="P853" i="1"/>
  <c r="O854" i="1"/>
  <c r="P854" i="1"/>
  <c r="O855" i="1"/>
  <c r="P855" i="1"/>
  <c r="O856" i="1"/>
  <c r="P856" i="1"/>
  <c r="O857" i="1"/>
  <c r="P857" i="1"/>
  <c r="O858" i="1"/>
  <c r="P858" i="1"/>
  <c r="O859" i="1"/>
  <c r="P859" i="1"/>
  <c r="O860" i="1"/>
  <c r="P860" i="1"/>
  <c r="O861" i="1"/>
  <c r="P861" i="1"/>
  <c r="O862" i="1"/>
  <c r="P862" i="1"/>
  <c r="O863" i="1"/>
  <c r="P863" i="1"/>
  <c r="O864" i="1"/>
  <c r="P864" i="1"/>
  <c r="O865" i="1"/>
  <c r="P865" i="1"/>
  <c r="O866" i="1"/>
  <c r="P866" i="1"/>
  <c r="O867" i="1"/>
  <c r="P867" i="1"/>
  <c r="O868" i="1"/>
  <c r="P868" i="1"/>
  <c r="O869" i="1"/>
  <c r="P869" i="1"/>
  <c r="O870" i="1"/>
  <c r="P870" i="1"/>
  <c r="O871" i="1"/>
  <c r="P871" i="1"/>
  <c r="O872" i="1"/>
  <c r="P872" i="1"/>
  <c r="O873" i="1"/>
  <c r="P873" i="1"/>
  <c r="O874" i="1"/>
  <c r="P874" i="1"/>
  <c r="O875" i="1"/>
  <c r="P875" i="1"/>
  <c r="O876" i="1"/>
  <c r="P876" i="1"/>
  <c r="O877" i="1"/>
  <c r="P877" i="1"/>
  <c r="O878" i="1"/>
  <c r="P878" i="1"/>
  <c r="O879" i="1"/>
  <c r="P879" i="1"/>
  <c r="O880" i="1"/>
  <c r="P880" i="1"/>
  <c r="O881" i="1"/>
  <c r="P881" i="1"/>
  <c r="O882" i="1"/>
  <c r="P882" i="1"/>
  <c r="O883" i="1"/>
  <c r="P883" i="1"/>
  <c r="O884" i="1"/>
  <c r="P884" i="1"/>
  <c r="O885" i="1"/>
  <c r="P885" i="1"/>
  <c r="O886" i="1"/>
  <c r="P886" i="1"/>
  <c r="O887" i="1"/>
  <c r="P887" i="1"/>
  <c r="O888" i="1"/>
  <c r="P888" i="1"/>
  <c r="O889" i="1"/>
  <c r="P889" i="1"/>
  <c r="O890" i="1"/>
  <c r="P890" i="1"/>
  <c r="O891" i="1"/>
  <c r="P891" i="1"/>
  <c r="O892" i="1"/>
  <c r="P892" i="1"/>
  <c r="O893" i="1"/>
  <c r="P893" i="1"/>
  <c r="O894" i="1"/>
  <c r="P894" i="1"/>
  <c r="O895" i="1"/>
  <c r="P895" i="1"/>
  <c r="O896" i="1"/>
  <c r="P896" i="1"/>
  <c r="O897" i="1"/>
  <c r="P897" i="1"/>
  <c r="O898" i="1"/>
  <c r="P898" i="1"/>
  <c r="O899" i="1"/>
  <c r="P899" i="1"/>
  <c r="O900" i="1"/>
  <c r="P900" i="1"/>
  <c r="O901" i="1"/>
  <c r="P901" i="1"/>
  <c r="O902" i="1"/>
  <c r="P902" i="1"/>
  <c r="O903" i="1"/>
  <c r="P903" i="1"/>
  <c r="O904" i="1"/>
  <c r="P904" i="1"/>
  <c r="O905" i="1"/>
  <c r="P905" i="1"/>
  <c r="O906" i="1"/>
  <c r="P906" i="1"/>
  <c r="O907" i="1"/>
  <c r="P907" i="1"/>
  <c r="O908" i="1"/>
  <c r="P908" i="1"/>
  <c r="O909" i="1"/>
  <c r="P909" i="1"/>
  <c r="O910" i="1"/>
  <c r="P910" i="1"/>
  <c r="O911" i="1"/>
  <c r="P911" i="1"/>
  <c r="O912" i="1"/>
  <c r="P912" i="1"/>
  <c r="O913" i="1"/>
  <c r="P913" i="1"/>
  <c r="O914" i="1"/>
  <c r="P914" i="1"/>
  <c r="O915" i="1"/>
  <c r="P915" i="1"/>
  <c r="O916" i="1"/>
  <c r="P916" i="1"/>
  <c r="O917" i="1"/>
  <c r="P917" i="1"/>
  <c r="O918" i="1"/>
  <c r="P918" i="1"/>
  <c r="O919" i="1"/>
  <c r="P919" i="1"/>
  <c r="O920" i="1"/>
  <c r="P920" i="1"/>
  <c r="O921" i="1"/>
  <c r="P921" i="1"/>
  <c r="O922" i="1"/>
  <c r="P922" i="1"/>
  <c r="O923" i="1"/>
  <c r="P923" i="1"/>
  <c r="O924" i="1"/>
  <c r="P924" i="1"/>
  <c r="O925" i="1"/>
  <c r="P925" i="1"/>
  <c r="O926" i="1"/>
  <c r="P926" i="1"/>
  <c r="O927" i="1"/>
  <c r="P927" i="1"/>
  <c r="O928" i="1"/>
  <c r="P928" i="1"/>
  <c r="O929" i="1"/>
  <c r="P929" i="1"/>
  <c r="O930" i="1"/>
  <c r="P930" i="1"/>
  <c r="O931" i="1"/>
  <c r="P931" i="1"/>
  <c r="O932" i="1"/>
  <c r="P932" i="1"/>
  <c r="O933" i="1"/>
  <c r="P933" i="1"/>
  <c r="O934" i="1"/>
  <c r="P934" i="1"/>
  <c r="O935" i="1"/>
  <c r="P935" i="1"/>
  <c r="O936" i="1"/>
  <c r="P936" i="1"/>
  <c r="O937" i="1"/>
  <c r="P937" i="1"/>
  <c r="O938" i="1"/>
  <c r="P938" i="1"/>
  <c r="O939" i="1"/>
  <c r="P939" i="1"/>
  <c r="O940" i="1"/>
  <c r="P940" i="1"/>
  <c r="O941" i="1"/>
  <c r="P941" i="1"/>
  <c r="O942" i="1"/>
  <c r="P942" i="1"/>
  <c r="O943" i="1"/>
  <c r="P943" i="1"/>
  <c r="O944" i="1"/>
  <c r="P944" i="1"/>
  <c r="O945" i="1"/>
  <c r="P945" i="1"/>
  <c r="O946" i="1"/>
  <c r="P946" i="1"/>
  <c r="O947" i="1"/>
  <c r="P947" i="1"/>
  <c r="O948" i="1"/>
  <c r="P948" i="1"/>
  <c r="O949" i="1"/>
  <c r="P949" i="1"/>
  <c r="O950" i="1"/>
  <c r="P950" i="1"/>
  <c r="O951" i="1"/>
  <c r="P951" i="1"/>
  <c r="O952" i="1"/>
  <c r="P952" i="1"/>
  <c r="O953" i="1"/>
  <c r="P953" i="1"/>
  <c r="O954" i="1"/>
  <c r="P954" i="1"/>
  <c r="O955" i="1"/>
  <c r="P955" i="1"/>
  <c r="O956" i="1"/>
  <c r="P956" i="1"/>
  <c r="O957" i="1"/>
  <c r="P957" i="1"/>
  <c r="O958" i="1"/>
  <c r="P958" i="1"/>
  <c r="O959" i="1"/>
  <c r="P959" i="1"/>
  <c r="O960" i="1"/>
  <c r="P960" i="1"/>
  <c r="O961" i="1"/>
  <c r="P961" i="1"/>
  <c r="O962" i="1"/>
  <c r="P962" i="1"/>
  <c r="O963" i="1"/>
  <c r="P963" i="1"/>
  <c r="O964" i="1"/>
  <c r="P964" i="1"/>
  <c r="O965" i="1"/>
  <c r="P965" i="1"/>
  <c r="O966" i="1"/>
  <c r="P966" i="1"/>
  <c r="O967" i="1"/>
  <c r="P967" i="1"/>
  <c r="O968" i="1"/>
  <c r="P968" i="1"/>
  <c r="O969" i="1"/>
  <c r="P969" i="1"/>
  <c r="O970" i="1"/>
  <c r="P970" i="1"/>
  <c r="O971" i="1"/>
  <c r="P971" i="1"/>
  <c r="O972" i="1"/>
  <c r="P972" i="1"/>
  <c r="O973" i="1"/>
  <c r="P973" i="1"/>
  <c r="O974" i="1"/>
  <c r="P974" i="1"/>
  <c r="O975" i="1"/>
  <c r="P975" i="1"/>
  <c r="O976" i="1"/>
  <c r="P976" i="1"/>
  <c r="O977" i="1"/>
  <c r="P977" i="1"/>
  <c r="O978" i="1"/>
  <c r="P978" i="1"/>
  <c r="O979" i="1"/>
  <c r="P979" i="1"/>
  <c r="O980" i="1"/>
  <c r="P980" i="1"/>
  <c r="O981" i="1"/>
  <c r="P981" i="1"/>
  <c r="O982" i="1"/>
  <c r="P982" i="1"/>
  <c r="O983" i="1"/>
  <c r="P983" i="1"/>
  <c r="O984" i="1"/>
  <c r="P984" i="1"/>
  <c r="O985" i="1"/>
  <c r="P985" i="1"/>
  <c r="O986" i="1"/>
  <c r="P986" i="1"/>
  <c r="O987" i="1"/>
  <c r="P987" i="1"/>
  <c r="O988" i="1"/>
  <c r="P988" i="1"/>
  <c r="O989" i="1"/>
  <c r="P989" i="1"/>
  <c r="O990" i="1"/>
  <c r="P990" i="1"/>
  <c r="O991" i="1"/>
  <c r="P991" i="1"/>
  <c r="O992" i="1"/>
  <c r="P992" i="1"/>
  <c r="O993" i="1"/>
  <c r="P993" i="1"/>
  <c r="O994" i="1"/>
  <c r="P994" i="1"/>
  <c r="O995" i="1"/>
  <c r="P995" i="1"/>
  <c r="O996" i="1"/>
  <c r="P996" i="1"/>
  <c r="O997" i="1"/>
  <c r="P997" i="1"/>
  <c r="O998" i="1"/>
  <c r="P998" i="1"/>
  <c r="O999" i="1"/>
  <c r="P999" i="1"/>
  <c r="O1000" i="1"/>
  <c r="P1000" i="1"/>
  <c r="O1001" i="1"/>
  <c r="P1001" i="1"/>
  <c r="O1002" i="1"/>
  <c r="P1002" i="1"/>
  <c r="O1003" i="1"/>
  <c r="P1003" i="1"/>
  <c r="O1004" i="1"/>
  <c r="P1004" i="1"/>
  <c r="O1005" i="1"/>
  <c r="P1005" i="1"/>
  <c r="O1006" i="1"/>
  <c r="P1006" i="1"/>
  <c r="O1007" i="1"/>
  <c r="P1007" i="1"/>
  <c r="O1008" i="1"/>
  <c r="P1008" i="1"/>
  <c r="O1009" i="1"/>
  <c r="P1009" i="1"/>
  <c r="O1010" i="1"/>
  <c r="P1010" i="1"/>
  <c r="O1011" i="1"/>
  <c r="P1011" i="1"/>
  <c r="O1012" i="1"/>
  <c r="P1012" i="1"/>
  <c r="O1013" i="1"/>
  <c r="P1013" i="1"/>
  <c r="O1014" i="1"/>
  <c r="P1014" i="1"/>
  <c r="O1015" i="1"/>
  <c r="P1015" i="1"/>
  <c r="O1016" i="1"/>
  <c r="P1016" i="1"/>
  <c r="O1017" i="1"/>
  <c r="P1017" i="1"/>
  <c r="O1018" i="1"/>
  <c r="P1018" i="1"/>
  <c r="O1019" i="1"/>
  <c r="P1019" i="1"/>
  <c r="O1020" i="1"/>
  <c r="P1020" i="1"/>
  <c r="O1021" i="1"/>
  <c r="P1021" i="1"/>
  <c r="O1022" i="1"/>
  <c r="P1022" i="1"/>
  <c r="O1023" i="1"/>
  <c r="P1023" i="1"/>
  <c r="O1024" i="1"/>
  <c r="P1024" i="1"/>
  <c r="O1025" i="1"/>
  <c r="P1025" i="1"/>
  <c r="O1026" i="1"/>
  <c r="P1026" i="1"/>
  <c r="O1027" i="1"/>
  <c r="P1027" i="1"/>
  <c r="O1028" i="1"/>
  <c r="P1028" i="1"/>
  <c r="O1029" i="1"/>
  <c r="P1029" i="1"/>
  <c r="O1030" i="1"/>
  <c r="P1030" i="1"/>
  <c r="O1031" i="1"/>
  <c r="P1031" i="1"/>
  <c r="O1032" i="1"/>
  <c r="P1032" i="1"/>
  <c r="O1033" i="1"/>
  <c r="P1033" i="1"/>
  <c r="O1034" i="1"/>
  <c r="P1034" i="1"/>
  <c r="O1035" i="1"/>
  <c r="P1035" i="1"/>
  <c r="O1036" i="1"/>
  <c r="P1036" i="1"/>
  <c r="O1037" i="1"/>
  <c r="P1037" i="1"/>
  <c r="O1038" i="1"/>
  <c r="P1038" i="1"/>
  <c r="O1039" i="1"/>
  <c r="P1039" i="1"/>
  <c r="O1040" i="1"/>
  <c r="P1040" i="1"/>
  <c r="O1041" i="1"/>
  <c r="P1041" i="1"/>
  <c r="O1042" i="1"/>
  <c r="P1042" i="1"/>
  <c r="O1043" i="1"/>
  <c r="P1043" i="1"/>
  <c r="O1044" i="1"/>
  <c r="P1044" i="1"/>
  <c r="O1045" i="1"/>
  <c r="P1045" i="1"/>
  <c r="O1046" i="1"/>
  <c r="P1046" i="1"/>
  <c r="O1047" i="1"/>
  <c r="P1047" i="1"/>
  <c r="O1048" i="1"/>
  <c r="P1048" i="1"/>
  <c r="O1049" i="1"/>
  <c r="P1049" i="1"/>
  <c r="O1050" i="1"/>
  <c r="P1050" i="1"/>
  <c r="O1051" i="1"/>
  <c r="P1051" i="1"/>
  <c r="O1052" i="1"/>
  <c r="P1052" i="1"/>
  <c r="O1053" i="1"/>
  <c r="P1053" i="1"/>
  <c r="O1054" i="1"/>
  <c r="P1054" i="1"/>
  <c r="O1055" i="1"/>
  <c r="P1055" i="1"/>
  <c r="O1056" i="1"/>
  <c r="P1056" i="1"/>
  <c r="O1057" i="1"/>
  <c r="P1057" i="1"/>
  <c r="O1058" i="1"/>
  <c r="P1058" i="1"/>
  <c r="O1059" i="1"/>
  <c r="P1059" i="1"/>
  <c r="O1060" i="1"/>
  <c r="P1060" i="1"/>
  <c r="O1061" i="1"/>
  <c r="P1061" i="1"/>
  <c r="O1062" i="1"/>
  <c r="P1062" i="1"/>
  <c r="O1063" i="1"/>
  <c r="P1063" i="1"/>
  <c r="O1064" i="1"/>
  <c r="P1064" i="1"/>
  <c r="O1065" i="1"/>
  <c r="P1065" i="1"/>
  <c r="O1066" i="1"/>
  <c r="P1066" i="1"/>
  <c r="O1067" i="1"/>
  <c r="P1067" i="1"/>
  <c r="O1068" i="1"/>
  <c r="P1068" i="1"/>
  <c r="O1069" i="1"/>
  <c r="P1069" i="1"/>
  <c r="O1070" i="1"/>
  <c r="P1070" i="1"/>
  <c r="O1071" i="1"/>
  <c r="P1071" i="1"/>
  <c r="O1072" i="1"/>
  <c r="P1072" i="1"/>
  <c r="O1073" i="1"/>
  <c r="P1073" i="1"/>
  <c r="O1074" i="1"/>
  <c r="P1074" i="1"/>
  <c r="O1075" i="1"/>
  <c r="P1075" i="1"/>
  <c r="O1076" i="1"/>
  <c r="P1076" i="1"/>
  <c r="O1077" i="1"/>
  <c r="P1077" i="1"/>
  <c r="O1078" i="1"/>
  <c r="P1078" i="1"/>
  <c r="O1079" i="1"/>
  <c r="P1079" i="1"/>
  <c r="O1080" i="1"/>
  <c r="P1080" i="1"/>
  <c r="O1081" i="1"/>
  <c r="P1081" i="1"/>
  <c r="O1082" i="1"/>
  <c r="P1082" i="1"/>
  <c r="O1083" i="1"/>
  <c r="P1083" i="1"/>
  <c r="O1084" i="1"/>
  <c r="P1084" i="1"/>
  <c r="O1085" i="1"/>
  <c r="P1085" i="1"/>
  <c r="O1086" i="1"/>
  <c r="P1086" i="1"/>
  <c r="O1087" i="1"/>
  <c r="P1087" i="1"/>
  <c r="O1088" i="1"/>
  <c r="P1088" i="1"/>
  <c r="O1089" i="1"/>
  <c r="P1089" i="1"/>
  <c r="P2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80" i="1"/>
  <c r="N781" i="1"/>
  <c r="N782" i="1"/>
  <c r="N783" i="1"/>
  <c r="N784" i="1"/>
  <c r="N785" i="1"/>
  <c r="N788" i="1"/>
  <c r="N789" i="1"/>
  <c r="N790" i="1"/>
  <c r="N791" i="1"/>
  <c r="N792" i="1"/>
  <c r="N793" i="1"/>
  <c r="N796" i="1"/>
  <c r="N797" i="1"/>
  <c r="N798" i="1"/>
  <c r="N799" i="1"/>
  <c r="N800" i="1"/>
  <c r="N801" i="1"/>
  <c r="N804" i="1"/>
  <c r="N805" i="1"/>
  <c r="N806" i="1"/>
  <c r="N807" i="1"/>
  <c r="N808" i="1"/>
  <c r="N809" i="1"/>
  <c r="N812" i="1"/>
  <c r="N813" i="1"/>
  <c r="N814" i="1"/>
  <c r="N815" i="1"/>
  <c r="N816" i="1"/>
  <c r="N817" i="1"/>
  <c r="N820" i="1"/>
  <c r="N821" i="1"/>
  <c r="N822" i="1"/>
  <c r="N823" i="1"/>
  <c r="N824" i="1"/>
  <c r="N825" i="1"/>
  <c r="N828" i="1"/>
  <c r="N829" i="1"/>
  <c r="N830" i="1"/>
  <c r="N831" i="1"/>
  <c r="N832" i="1"/>
  <c r="N833" i="1"/>
  <c r="N836" i="1"/>
  <c r="N837" i="1"/>
  <c r="N838" i="1"/>
  <c r="N839" i="1"/>
  <c r="N840" i="1"/>
  <c r="N841" i="1"/>
  <c r="N844" i="1"/>
  <c r="N845" i="1"/>
  <c r="N846" i="1"/>
  <c r="N847" i="1"/>
  <c r="N848" i="1"/>
  <c r="N849" i="1"/>
  <c r="N852" i="1"/>
  <c r="N853" i="1"/>
  <c r="N854" i="1"/>
  <c r="N855" i="1"/>
  <c r="N856" i="1"/>
  <c r="N857" i="1"/>
  <c r="N860" i="1"/>
  <c r="N861" i="1"/>
  <c r="N862" i="1"/>
  <c r="N863" i="1"/>
  <c r="N864" i="1"/>
  <c r="N865" i="1"/>
  <c r="N868" i="1"/>
  <c r="N869" i="1"/>
  <c r="N870" i="1"/>
  <c r="N871" i="1"/>
  <c r="N872" i="1"/>
  <c r="N873" i="1"/>
  <c r="N876" i="1"/>
  <c r="N877" i="1"/>
  <c r="N878" i="1"/>
  <c r="N879" i="1"/>
  <c r="N880" i="1"/>
  <c r="N881" i="1"/>
  <c r="N884" i="1"/>
  <c r="N885" i="1"/>
  <c r="N886" i="1"/>
  <c r="N887" i="1"/>
  <c r="N888" i="1"/>
  <c r="N889" i="1"/>
  <c r="N892" i="1"/>
  <c r="N893" i="1"/>
  <c r="N894" i="1"/>
  <c r="N895" i="1"/>
  <c r="N896" i="1"/>
  <c r="N897" i="1"/>
  <c r="N900" i="1"/>
  <c r="N901" i="1"/>
  <c r="N902" i="1"/>
  <c r="N903" i="1"/>
  <c r="N904" i="1"/>
  <c r="N905" i="1"/>
  <c r="N908" i="1"/>
  <c r="N909" i="1"/>
  <c r="N910" i="1"/>
  <c r="N911" i="1"/>
  <c r="N912" i="1"/>
  <c r="N913" i="1"/>
  <c r="N916" i="1"/>
  <c r="N917" i="1"/>
  <c r="N918" i="1"/>
  <c r="N919" i="1"/>
  <c r="N920" i="1"/>
  <c r="N921" i="1"/>
  <c r="N924" i="1"/>
  <c r="N925" i="1"/>
  <c r="N926" i="1"/>
  <c r="N927" i="1"/>
  <c r="N928" i="1"/>
  <c r="N929" i="1"/>
  <c r="N932" i="1"/>
  <c r="N933" i="1"/>
  <c r="N934" i="1"/>
  <c r="N935" i="1"/>
  <c r="N936" i="1"/>
  <c r="N937" i="1"/>
  <c r="N940" i="1"/>
  <c r="N941" i="1"/>
  <c r="N942" i="1"/>
  <c r="N943" i="1"/>
  <c r="N944" i="1"/>
  <c r="N945" i="1"/>
  <c r="N948" i="1"/>
  <c r="N949" i="1"/>
  <c r="N950" i="1"/>
  <c r="N951" i="1"/>
  <c r="N952" i="1"/>
  <c r="N953" i="1"/>
  <c r="N956" i="1"/>
  <c r="N957" i="1"/>
  <c r="N958" i="1"/>
  <c r="N959" i="1"/>
  <c r="N960" i="1"/>
  <c r="N961" i="1"/>
  <c r="N964" i="1"/>
  <c r="N965" i="1"/>
  <c r="N966" i="1"/>
  <c r="N967" i="1"/>
  <c r="N968" i="1"/>
  <c r="N969" i="1"/>
  <c r="N972" i="1"/>
  <c r="N973" i="1"/>
  <c r="N974" i="1"/>
  <c r="N975" i="1"/>
  <c r="N976" i="1"/>
  <c r="N977" i="1"/>
  <c r="N980" i="1"/>
  <c r="N981" i="1"/>
  <c r="N982" i="1"/>
  <c r="N983" i="1"/>
  <c r="N984" i="1"/>
  <c r="N985" i="1"/>
  <c r="N988" i="1"/>
  <c r="N989" i="1"/>
  <c r="N990" i="1"/>
  <c r="N991" i="1"/>
  <c r="N992" i="1"/>
  <c r="N993" i="1"/>
  <c r="N996" i="1"/>
  <c r="N997" i="1"/>
  <c r="N998" i="1"/>
  <c r="N999" i="1"/>
  <c r="N1000" i="1"/>
  <c r="N1001" i="1"/>
  <c r="N1004" i="1"/>
  <c r="N1005" i="1"/>
  <c r="N1006" i="1"/>
  <c r="N1007" i="1"/>
  <c r="N1008" i="1"/>
  <c r="N1009" i="1"/>
  <c r="N1012" i="1"/>
  <c r="N1013" i="1"/>
  <c r="N1014" i="1"/>
  <c r="N1015" i="1"/>
  <c r="N1016" i="1"/>
  <c r="N1017" i="1"/>
  <c r="N1020" i="1"/>
  <c r="N1021" i="1"/>
  <c r="N1022" i="1"/>
  <c r="N1023" i="1"/>
  <c r="N1024" i="1"/>
  <c r="N1025" i="1"/>
  <c r="N1028" i="1"/>
  <c r="N1029" i="1"/>
  <c r="N1030" i="1"/>
  <c r="N1031" i="1"/>
  <c r="N1032" i="1"/>
  <c r="N1033" i="1"/>
  <c r="N1036" i="1"/>
  <c r="N1037" i="1"/>
  <c r="N1038" i="1"/>
  <c r="N1039" i="1"/>
  <c r="N1040" i="1"/>
  <c r="N1041" i="1"/>
  <c r="N1044" i="1"/>
  <c r="N1045" i="1"/>
  <c r="N1046" i="1"/>
  <c r="N1047" i="1"/>
  <c r="N1048" i="1"/>
  <c r="N1049" i="1"/>
  <c r="N1052" i="1"/>
  <c r="N1053" i="1"/>
  <c r="N1054" i="1"/>
  <c r="N1055" i="1"/>
  <c r="N1056" i="1"/>
  <c r="N1057" i="1"/>
  <c r="N1060" i="1"/>
  <c r="N1061" i="1"/>
  <c r="N1062" i="1"/>
  <c r="N1063" i="1"/>
  <c r="N1064" i="1"/>
  <c r="N1065" i="1"/>
  <c r="N1068" i="1"/>
  <c r="N1069" i="1"/>
  <c r="N1070" i="1"/>
  <c r="N1071" i="1"/>
  <c r="N1072" i="1"/>
  <c r="N1073" i="1"/>
  <c r="N1076" i="1"/>
  <c r="N1077" i="1"/>
  <c r="N1078" i="1"/>
  <c r="N1079" i="1"/>
  <c r="N1080" i="1"/>
  <c r="N1081" i="1"/>
  <c r="N1084" i="1"/>
  <c r="N1085" i="1"/>
  <c r="N1086" i="1"/>
  <c r="N1087" i="1"/>
  <c r="N1088" i="1"/>
  <c r="N1089" i="1"/>
  <c r="N2" i="1"/>
  <c r="T1037" i="1" l="1"/>
  <c r="T621" i="1"/>
  <c r="T517" i="1"/>
  <c r="T1056" i="1"/>
  <c r="T645" i="1"/>
  <c r="T909" i="1"/>
  <c r="T525" i="1"/>
  <c r="T781" i="1"/>
  <c r="T287" i="1"/>
  <c r="T880" i="1"/>
  <c r="T773" i="1"/>
  <c r="T192" i="1"/>
  <c r="T749" i="1"/>
  <c r="T183" i="1"/>
  <c r="T1072" i="1"/>
  <c r="T653" i="1"/>
  <c r="T129" i="1"/>
  <c r="T864" i="1"/>
  <c r="T490" i="1"/>
  <c r="T234" i="1"/>
  <c r="T177" i="1"/>
  <c r="T74" i="1"/>
  <c r="T1008" i="1"/>
  <c r="T861" i="1"/>
  <c r="T741" i="1"/>
  <c r="T613" i="1"/>
  <c r="T479" i="1"/>
  <c r="T223" i="1"/>
  <c r="T167" i="1"/>
  <c r="T72" i="1"/>
  <c r="T872" i="1"/>
  <c r="T106" i="1"/>
  <c r="T992" i="1"/>
  <c r="T845" i="1"/>
  <c r="T717" i="1"/>
  <c r="T589" i="1"/>
  <c r="T440" i="1"/>
  <c r="T215" i="1"/>
  <c r="T161" i="1"/>
  <c r="T42" i="1"/>
  <c r="T973" i="1"/>
  <c r="T837" i="1"/>
  <c r="T709" i="1"/>
  <c r="T581" i="1"/>
  <c r="T426" i="1"/>
  <c r="T209" i="1"/>
  <c r="T151" i="1"/>
  <c r="T40" i="1"/>
  <c r="T434" i="1"/>
  <c r="T1002" i="1"/>
  <c r="T944" i="1"/>
  <c r="T813" i="1"/>
  <c r="T685" i="1"/>
  <c r="T557" i="1"/>
  <c r="T376" i="1"/>
  <c r="T199" i="1"/>
  <c r="T145" i="1"/>
  <c r="T18" i="1"/>
  <c r="T347" i="1"/>
  <c r="T273" i="1"/>
  <c r="T928" i="1"/>
  <c r="T805" i="1"/>
  <c r="T677" i="1"/>
  <c r="T549" i="1"/>
  <c r="T337" i="1"/>
  <c r="T193" i="1"/>
  <c r="T135" i="1"/>
  <c r="T10" i="1"/>
  <c r="T191" i="1"/>
  <c r="T1077" i="1"/>
  <c r="T1054" i="1"/>
  <c r="T1032" i="1"/>
  <c r="T1013" i="1"/>
  <c r="T990" i="1"/>
  <c r="T968" i="1"/>
  <c r="T949" i="1"/>
  <c r="T926" i="1"/>
  <c r="T904" i="1"/>
  <c r="T885" i="1"/>
  <c r="T862" i="1"/>
  <c r="T838" i="1"/>
  <c r="T806" i="1"/>
  <c r="T774" i="1"/>
  <c r="T742" i="1"/>
  <c r="T710" i="1"/>
  <c r="T678" i="1"/>
  <c r="T646" i="1"/>
  <c r="T614" i="1"/>
  <c r="T582" i="1"/>
  <c r="T550" i="1"/>
  <c r="T518" i="1"/>
  <c r="T480" i="1"/>
  <c r="T430" i="1"/>
  <c r="T377" i="1"/>
  <c r="T327" i="1"/>
  <c r="T274" i="1"/>
  <c r="T224" i="1"/>
  <c r="T144" i="1"/>
  <c r="T86" i="1"/>
  <c r="T1060" i="1"/>
  <c r="T820" i="1"/>
  <c r="T1014" i="1"/>
  <c r="T1053" i="1"/>
  <c r="T989" i="1"/>
  <c r="T326" i="1"/>
  <c r="T579" i="1"/>
  <c r="T1070" i="1"/>
  <c r="T1048" i="1"/>
  <c r="T1029" i="1"/>
  <c r="T1006" i="1"/>
  <c r="T984" i="1"/>
  <c r="T965" i="1"/>
  <c r="T942" i="1"/>
  <c r="T920" i="1"/>
  <c r="T901" i="1"/>
  <c r="T878" i="1"/>
  <c r="T856" i="1"/>
  <c r="T830" i="1"/>
  <c r="T798" i="1"/>
  <c r="T766" i="1"/>
  <c r="T734" i="1"/>
  <c r="T702" i="1"/>
  <c r="T670" i="1"/>
  <c r="T638" i="1"/>
  <c r="T606" i="1"/>
  <c r="T574" i="1"/>
  <c r="T542" i="1"/>
  <c r="T510" i="1"/>
  <c r="T466" i="1"/>
  <c r="T416" i="1"/>
  <c r="T366" i="1"/>
  <c r="T313" i="1"/>
  <c r="T263" i="1"/>
  <c r="T176" i="1"/>
  <c r="T1000" i="1"/>
  <c r="T870" i="1"/>
  <c r="T341" i="1"/>
  <c r="T390" i="1"/>
  <c r="T1030" i="1"/>
  <c r="T966" i="1"/>
  <c r="T1034" i="1"/>
  <c r="T978" i="1"/>
  <c r="T962" i="1"/>
  <c r="T906" i="1"/>
  <c r="T866" i="1"/>
  <c r="T826" i="1"/>
  <c r="T794" i="1"/>
  <c r="T762" i="1"/>
  <c r="T730" i="1"/>
  <c r="T682" i="1"/>
  <c r="T626" i="1"/>
  <c r="T1088" i="1"/>
  <c r="T1069" i="1"/>
  <c r="T1046" i="1"/>
  <c r="T1024" i="1"/>
  <c r="T1005" i="1"/>
  <c r="T982" i="1"/>
  <c r="T960" i="1"/>
  <c r="T941" i="1"/>
  <c r="T918" i="1"/>
  <c r="T896" i="1"/>
  <c r="T877" i="1"/>
  <c r="T854" i="1"/>
  <c r="T829" i="1"/>
  <c r="T797" i="1"/>
  <c r="T765" i="1"/>
  <c r="T733" i="1"/>
  <c r="T701" i="1"/>
  <c r="T669" i="1"/>
  <c r="T637" i="1"/>
  <c r="T605" i="1"/>
  <c r="T573" i="1"/>
  <c r="T541" i="1"/>
  <c r="T509" i="1"/>
  <c r="T465" i="1"/>
  <c r="T415" i="1"/>
  <c r="T362" i="1"/>
  <c r="T312" i="1"/>
  <c r="T262" i="1"/>
  <c r="T128" i="1"/>
  <c r="T970" i="1"/>
  <c r="T834" i="1"/>
  <c r="T925" i="1"/>
  <c r="T902" i="1"/>
  <c r="T737" i="1"/>
  <c r="T553" i="1"/>
  <c r="T1086" i="1"/>
  <c r="T1064" i="1"/>
  <c r="T1045" i="1"/>
  <c r="T1022" i="1"/>
  <c r="T981" i="1"/>
  <c r="T958" i="1"/>
  <c r="T936" i="1"/>
  <c r="T917" i="1"/>
  <c r="T894" i="1"/>
  <c r="T853" i="1"/>
  <c r="T822" i="1"/>
  <c r="T790" i="1"/>
  <c r="T758" i="1"/>
  <c r="T726" i="1"/>
  <c r="T694" i="1"/>
  <c r="T662" i="1"/>
  <c r="T630" i="1"/>
  <c r="T598" i="1"/>
  <c r="T566" i="1"/>
  <c r="T534" i="1"/>
  <c r="T502" i="1"/>
  <c r="T455" i="1"/>
  <c r="T402" i="1"/>
  <c r="T352" i="1"/>
  <c r="T302" i="1"/>
  <c r="T249" i="1"/>
  <c r="T208" i="1"/>
  <c r="T8" i="1"/>
  <c r="T601" i="1"/>
  <c r="T160" i="1"/>
  <c r="T1078" i="1"/>
  <c r="T886" i="1"/>
  <c r="T832" i="1"/>
  <c r="T760" i="1"/>
  <c r="T728" i="1"/>
  <c r="T696" i="1"/>
  <c r="T664" i="1"/>
  <c r="T632" i="1"/>
  <c r="T600" i="1"/>
  <c r="T568" i="1"/>
  <c r="T536" i="1"/>
  <c r="T504" i="1"/>
  <c r="T464" i="1"/>
  <c r="T424" i="1"/>
  <c r="T384" i="1"/>
  <c r="T336" i="1"/>
  <c r="T296" i="1"/>
  <c r="T256" i="1"/>
  <c r="T200" i="1"/>
  <c r="T136" i="1"/>
  <c r="T88" i="1"/>
  <c r="T48" i="1"/>
  <c r="T1085" i="1"/>
  <c r="T1062" i="1"/>
  <c r="T1040" i="1"/>
  <c r="T1021" i="1"/>
  <c r="T998" i="1"/>
  <c r="T976" i="1"/>
  <c r="T957" i="1"/>
  <c r="T934" i="1"/>
  <c r="T912" i="1"/>
  <c r="T893" i="1"/>
  <c r="T848" i="1"/>
  <c r="T821" i="1"/>
  <c r="T789" i="1"/>
  <c r="T757" i="1"/>
  <c r="T725" i="1"/>
  <c r="T693" i="1"/>
  <c r="T661" i="1"/>
  <c r="T629" i="1"/>
  <c r="T597" i="1"/>
  <c r="T565" i="1"/>
  <c r="T533" i="1"/>
  <c r="T501" i="1"/>
  <c r="T454" i="1"/>
  <c r="T401" i="1"/>
  <c r="T351" i="1"/>
  <c r="T298" i="1"/>
  <c r="T248" i="1"/>
  <c r="T104" i="1"/>
  <c r="T1066" i="1"/>
  <c r="T938" i="1"/>
  <c r="T792" i="1"/>
  <c r="T521" i="1"/>
  <c r="T422" i="1"/>
  <c r="T950" i="1"/>
  <c r="T687" i="1"/>
  <c r="T671" i="1"/>
  <c r="T639" i="1"/>
  <c r="T607" i="1"/>
  <c r="T575" i="1"/>
  <c r="T543" i="1"/>
  <c r="T511" i="1"/>
  <c r="T471" i="1"/>
  <c r="T431" i="1"/>
  <c r="T383" i="1"/>
  <c r="T343" i="1"/>
  <c r="T303" i="1"/>
  <c r="T255" i="1"/>
  <c r="T1080" i="1"/>
  <c r="T1061" i="1"/>
  <c r="T1038" i="1"/>
  <c r="T1016" i="1"/>
  <c r="T997" i="1"/>
  <c r="T974" i="1"/>
  <c r="T952" i="1"/>
  <c r="T933" i="1"/>
  <c r="T910" i="1"/>
  <c r="T888" i="1"/>
  <c r="T869" i="1"/>
  <c r="T846" i="1"/>
  <c r="T814" i="1"/>
  <c r="T782" i="1"/>
  <c r="T750" i="1"/>
  <c r="T718" i="1"/>
  <c r="T686" i="1"/>
  <c r="T654" i="1"/>
  <c r="T622" i="1"/>
  <c r="T590" i="1"/>
  <c r="T558" i="1"/>
  <c r="T526" i="1"/>
  <c r="T494" i="1"/>
  <c r="T441" i="1"/>
  <c r="T391" i="1"/>
  <c r="T338" i="1"/>
  <c r="T288" i="1"/>
  <c r="T238" i="1"/>
  <c r="T514" i="1"/>
  <c r="T114" i="1"/>
  <c r="T82" i="1"/>
  <c r="T50" i="1"/>
  <c r="T87" i="1"/>
  <c r="T55" i="1"/>
  <c r="T23" i="1"/>
  <c r="T239" i="1"/>
  <c r="T225" i="1"/>
  <c r="T492" i="1"/>
  <c r="T460" i="1"/>
  <c r="T428" i="1"/>
  <c r="T396" i="1"/>
  <c r="T364" i="1"/>
  <c r="T340" i="1"/>
  <c r="T308" i="1"/>
  <c r="T588" i="1"/>
  <c r="T580" i="1"/>
  <c r="T572" i="1"/>
  <c r="T564" i="1"/>
  <c r="T556" i="1"/>
  <c r="T548" i="1"/>
  <c r="T540" i="1"/>
  <c r="T532" i="1"/>
  <c r="T524" i="1"/>
  <c r="T516" i="1"/>
  <c r="T508" i="1"/>
  <c r="T500" i="1"/>
  <c r="T247" i="1"/>
  <c r="T207" i="1"/>
  <c r="T175" i="1"/>
  <c r="T159" i="1"/>
  <c r="T143" i="1"/>
  <c r="T127" i="1"/>
  <c r="T98" i="1"/>
  <c r="T66" i="1"/>
  <c r="T34" i="1"/>
  <c r="T115" i="1"/>
  <c r="T83" i="1"/>
  <c r="T51" i="1"/>
  <c r="T19" i="1"/>
  <c r="T571" i="1"/>
  <c r="T563" i="1"/>
  <c r="T555" i="1"/>
  <c r="T547" i="1"/>
  <c r="T539" i="1"/>
  <c r="T531" i="1"/>
  <c r="T523" i="1"/>
  <c r="T515" i="1"/>
  <c r="T507" i="1"/>
  <c r="T499" i="1"/>
  <c r="T122" i="1"/>
  <c r="T231" i="1"/>
  <c r="T217" i="1"/>
  <c r="T201" i="1"/>
  <c r="T185" i="1"/>
  <c r="T169" i="1"/>
  <c r="T153" i="1"/>
  <c r="T137" i="1"/>
  <c r="T90" i="1"/>
  <c r="T58" i="1"/>
  <c r="T26" i="1"/>
  <c r="T119" i="1"/>
  <c r="T284" i="1"/>
  <c r="T27" i="1" l="1"/>
  <c r="T59" i="1"/>
  <c r="T91" i="1"/>
  <c r="T123" i="1"/>
  <c r="T155" i="1"/>
  <c r="T187" i="1"/>
  <c r="T219" i="1"/>
  <c r="T251" i="1"/>
  <c r="T283" i="1"/>
  <c r="T315" i="1"/>
  <c r="T28" i="1"/>
  <c r="T60" i="1"/>
  <c r="T92" i="1"/>
  <c r="T124" i="1"/>
  <c r="T156" i="1"/>
  <c r="T188" i="1"/>
  <c r="T220" i="1"/>
  <c r="T946" i="1"/>
  <c r="T703" i="1"/>
  <c r="T33" i="1"/>
  <c r="T65" i="1"/>
  <c r="T97" i="1"/>
  <c r="T371" i="1"/>
  <c r="T403" i="1"/>
  <c r="T435" i="1"/>
  <c r="T467" i="1"/>
  <c r="T772" i="1"/>
  <c r="T54" i="1"/>
  <c r="T166" i="1"/>
  <c r="T270" i="1"/>
  <c r="T334" i="1"/>
  <c r="T714" i="1"/>
  <c r="T746" i="1"/>
  <c r="T810" i="1"/>
  <c r="T611" i="1"/>
  <c r="T643" i="1"/>
  <c r="T675" i="1"/>
  <c r="T707" i="1"/>
  <c r="T739" i="1"/>
  <c r="T771" i="1"/>
  <c r="T803" i="1"/>
  <c r="T206" i="1"/>
  <c r="T397" i="1"/>
  <c r="T429" i="1"/>
  <c r="T348" i="1"/>
  <c r="T380" i="1"/>
  <c r="T412" i="1"/>
  <c r="T444" i="1"/>
  <c r="T476" i="1"/>
  <c r="T7" i="1"/>
  <c r="T39" i="1"/>
  <c r="T71" i="1"/>
  <c r="T103" i="1"/>
  <c r="T279" i="1"/>
  <c r="T367" i="1"/>
  <c r="T407" i="1"/>
  <c r="T447" i="1"/>
  <c r="T495" i="1"/>
  <c r="T527" i="1"/>
  <c r="T559" i="1"/>
  <c r="T591" i="1"/>
  <c r="T623" i="1"/>
  <c r="T655" i="1"/>
  <c r="T150" i="1"/>
  <c r="T24" i="1"/>
  <c r="T64" i="1"/>
  <c r="T112" i="1"/>
  <c r="T168" i="1"/>
  <c r="T232" i="1"/>
  <c r="T272" i="1"/>
  <c r="T320" i="1"/>
  <c r="T360" i="1"/>
  <c r="T400" i="1"/>
  <c r="T448" i="1"/>
  <c r="T488" i="1"/>
  <c r="T520" i="1"/>
  <c r="T552" i="1"/>
  <c r="T584" i="1"/>
  <c r="T616" i="1"/>
  <c r="T648" i="1"/>
  <c r="T680" i="1"/>
  <c r="T712" i="1"/>
  <c r="T744" i="1"/>
  <c r="T776" i="1"/>
  <c r="T816" i="1"/>
  <c r="T241" i="1"/>
  <c r="T289" i="1"/>
  <c r="T329" i="1"/>
  <c r="T417" i="1"/>
  <c r="T457" i="1"/>
  <c r="T497" i="1"/>
  <c r="T356" i="1"/>
  <c r="T649" i="1"/>
  <c r="T596" i="1"/>
  <c r="T628" i="1"/>
  <c r="T277" i="1"/>
  <c r="T309" i="1"/>
  <c r="T372" i="1"/>
  <c r="T404" i="1"/>
  <c r="T436" i="1"/>
  <c r="T468" i="1"/>
  <c r="T31" i="1"/>
  <c r="T63" i="1"/>
  <c r="T271" i="1"/>
  <c r="T311" i="1"/>
  <c r="T359" i="1"/>
  <c r="T399" i="1"/>
  <c r="T439" i="1"/>
  <c r="T487" i="1"/>
  <c r="T519" i="1"/>
  <c r="T551" i="1"/>
  <c r="T583" i="1"/>
  <c r="T615" i="1"/>
  <c r="T647" i="1"/>
  <c r="T679" i="1"/>
  <c r="T16" i="1"/>
  <c r="T56" i="1"/>
  <c r="T152" i="1"/>
  <c r="T216" i="1"/>
  <c r="T264" i="1"/>
  <c r="T304" i="1"/>
  <c r="T344" i="1"/>
  <c r="T392" i="1"/>
  <c r="T432" i="1"/>
  <c r="T472" i="1"/>
  <c r="T512" i="1"/>
  <c r="T544" i="1"/>
  <c r="T576" i="1"/>
  <c r="T608" i="1"/>
  <c r="T640" i="1"/>
  <c r="T672" i="1"/>
  <c r="T704" i="1"/>
  <c r="T736" i="1"/>
  <c r="T768" i="1"/>
  <c r="T529" i="1"/>
  <c r="T561" i="1"/>
  <c r="T593" i="1"/>
  <c r="T633" i="1"/>
  <c r="T697" i="1"/>
  <c r="T729" i="1"/>
  <c r="T138" i="1"/>
  <c r="T170" i="1"/>
  <c r="T202" i="1"/>
  <c r="T242" i="1"/>
  <c r="T282" i="1"/>
  <c r="T322" i="1"/>
  <c r="T370" i="1"/>
  <c r="T410" i="1"/>
  <c r="T603" i="1"/>
  <c r="T635" i="1"/>
  <c r="T667" i="1"/>
  <c r="T699" i="1"/>
  <c r="T731" i="1"/>
  <c r="T763" i="1"/>
  <c r="T795" i="1"/>
  <c r="T827" i="1"/>
  <c r="T859" i="1"/>
  <c r="T891" i="1"/>
  <c r="T923" i="1"/>
  <c r="T955" i="1"/>
  <c r="T987" i="1"/>
  <c r="T1019" i="1"/>
  <c r="T1051" i="1"/>
  <c r="T1083" i="1"/>
  <c r="T478" i="1"/>
  <c r="T1028" i="1"/>
  <c r="T62" i="1"/>
  <c r="T174" i="1"/>
  <c r="T29" i="1"/>
  <c r="T61" i="1"/>
  <c r="T93" i="1"/>
  <c r="T125" i="1"/>
  <c r="T157" i="1"/>
  <c r="T189" i="1"/>
  <c r="T221" i="1"/>
  <c r="T285" i="1"/>
  <c r="T317" i="1"/>
  <c r="T357" i="1"/>
  <c r="T389" i="1"/>
  <c r="T421" i="1"/>
  <c r="T453" i="1"/>
  <c r="T485" i="1"/>
  <c r="T25" i="1"/>
  <c r="T57" i="1"/>
  <c r="T89" i="1"/>
  <c r="T121" i="1"/>
  <c r="T363" i="1"/>
  <c r="T395" i="1"/>
  <c r="T427" i="1"/>
  <c r="T459" i="1"/>
  <c r="T491" i="1"/>
  <c r="T840" i="1"/>
  <c r="T30" i="1"/>
  <c r="T134" i="1"/>
  <c r="T246" i="1"/>
  <c r="T318" i="1"/>
  <c r="T358" i="1"/>
  <c r="T761" i="1"/>
  <c r="T793" i="1"/>
  <c r="T825" i="1"/>
  <c r="T857" i="1"/>
  <c r="T889" i="1"/>
  <c r="T921" i="1"/>
  <c r="T953" i="1"/>
  <c r="T985" i="1"/>
  <c r="T1017" i="1"/>
  <c r="T1049" i="1"/>
  <c r="T1081" i="1"/>
  <c r="T788" i="1"/>
  <c r="T836" i="1"/>
  <c r="T868" i="1"/>
  <c r="T932" i="1"/>
  <c r="T1036" i="1"/>
  <c r="T70" i="1"/>
  <c r="T158" i="1"/>
  <c r="T254" i="1"/>
  <c r="T398" i="1"/>
  <c r="T538" i="1"/>
  <c r="T570" i="1"/>
  <c r="T602" i="1"/>
  <c r="T634" i="1"/>
  <c r="T666" i="1"/>
  <c r="T986" i="1"/>
  <c r="T2" i="1"/>
  <c r="T595" i="1"/>
  <c r="T627" i="1"/>
  <c r="T659" i="1"/>
  <c r="T691" i="1"/>
  <c r="T723" i="1"/>
  <c r="T755" i="1"/>
  <c r="T787" i="1"/>
  <c r="T819" i="1"/>
  <c r="T299" i="1"/>
  <c r="T409" i="1"/>
  <c r="T802" i="1"/>
  <c r="T842" i="1"/>
  <c r="T1026" i="1"/>
  <c r="T331" i="1"/>
  <c r="T578" i="1"/>
  <c r="T9" i="1"/>
  <c r="T41" i="1"/>
  <c r="T73" i="1"/>
  <c r="T105" i="1"/>
  <c r="T379" i="1"/>
  <c r="T411" i="1"/>
  <c r="T443" i="1"/>
  <c r="T475" i="1"/>
  <c r="T695" i="1"/>
  <c r="T727" i="1"/>
  <c r="T759" i="1"/>
  <c r="T791" i="1"/>
  <c r="T823" i="1"/>
  <c r="T855" i="1"/>
  <c r="T887" i="1"/>
  <c r="T919" i="1"/>
  <c r="T951" i="1"/>
  <c r="T983" i="1"/>
  <c r="T1015" i="1"/>
  <c r="T1047" i="1"/>
  <c r="T1079" i="1"/>
  <c r="T537" i="1"/>
  <c r="T745" i="1"/>
  <c r="T777" i="1"/>
  <c r="T809" i="1"/>
  <c r="T841" i="1"/>
  <c r="T873" i="1"/>
  <c r="T905" i="1"/>
  <c r="T937" i="1"/>
  <c r="T969" i="1"/>
  <c r="T1001" i="1"/>
  <c r="T1033" i="1"/>
  <c r="T1065" i="1"/>
  <c r="T804" i="1"/>
  <c r="T852" i="1"/>
  <c r="T900" i="1"/>
  <c r="T980" i="1"/>
  <c r="T922" i="1"/>
  <c r="T1074" i="1"/>
  <c r="T835" i="1"/>
  <c r="T867" i="1"/>
  <c r="T899" i="1"/>
  <c r="T931" i="1"/>
  <c r="T963" i="1"/>
  <c r="T461" i="1"/>
  <c r="T493" i="1"/>
  <c r="T252" i="1"/>
  <c r="T545" i="1"/>
  <c r="T577" i="1"/>
  <c r="T690" i="1"/>
  <c r="T722" i="1"/>
  <c r="T754" i="1"/>
  <c r="T786" i="1"/>
  <c r="T818" i="1"/>
  <c r="T1082" i="1"/>
  <c r="T884" i="1"/>
  <c r="T1012" i="1"/>
  <c r="T620" i="1"/>
  <c r="T652" i="1"/>
  <c r="T684" i="1"/>
  <c r="T716" i="1"/>
  <c r="T748" i="1"/>
  <c r="T956" i="1"/>
  <c r="T1084" i="1"/>
  <c r="T14" i="1"/>
  <c r="T102" i="1"/>
  <c r="T214" i="1"/>
  <c r="T310" i="1"/>
  <c r="T350" i="1"/>
  <c r="T785" i="1"/>
  <c r="T817" i="1"/>
  <c r="T849" i="1"/>
  <c r="T913" i="1"/>
  <c r="T945" i="1"/>
  <c r="T977" i="1"/>
  <c r="T1009" i="1"/>
  <c r="T1041" i="1"/>
  <c r="T1073" i="1"/>
  <c r="T764" i="1"/>
  <c r="T828" i="1"/>
  <c r="T860" i="1"/>
  <c r="T916" i="1"/>
  <c r="T1004" i="1"/>
  <c r="T46" i="1"/>
  <c r="T126" i="1"/>
  <c r="T222" i="1"/>
  <c r="T382" i="1"/>
  <c r="T438" i="1"/>
  <c r="T486" i="1"/>
  <c r="T442" i="1"/>
  <c r="T482" i="1"/>
  <c r="T587" i="1"/>
  <c r="T619" i="1"/>
  <c r="T940" i="1"/>
  <c r="T6" i="1"/>
  <c r="T118" i="1"/>
  <c r="T13" i="1"/>
  <c r="T45" i="1"/>
  <c r="T77" i="1"/>
  <c r="T109" i="1"/>
  <c r="T373" i="1"/>
  <c r="T405" i="1"/>
  <c r="T437" i="1"/>
  <c r="T469" i="1"/>
  <c r="T147" i="1"/>
  <c r="T179" i="1"/>
  <c r="T211" i="1"/>
  <c r="T243" i="1"/>
  <c r="T275" i="1"/>
  <c r="T307" i="1"/>
  <c r="T339" i="1"/>
  <c r="T20" i="1"/>
  <c r="T52" i="1"/>
  <c r="T84" i="1"/>
  <c r="T116" i="1"/>
  <c r="T148" i="1"/>
  <c r="T180" i="1"/>
  <c r="T212" i="1"/>
  <c r="T244" i="1"/>
  <c r="T276" i="1"/>
  <c r="T95" i="1"/>
  <c r="T719" i="1"/>
  <c r="T751" i="1"/>
  <c r="T783" i="1"/>
  <c r="T815" i="1"/>
  <c r="T847" i="1"/>
  <c r="T879" i="1"/>
  <c r="T911" i="1"/>
  <c r="T943" i="1"/>
  <c r="T975" i="1"/>
  <c r="T1007" i="1"/>
  <c r="T1039" i="1"/>
  <c r="T1071" i="1"/>
  <c r="T96" i="1"/>
  <c r="T808" i="1"/>
  <c r="T233" i="1"/>
  <c r="T281" i="1"/>
  <c r="T321" i="1"/>
  <c r="T361" i="1"/>
  <c r="T449" i="1"/>
  <c r="T489" i="1"/>
  <c r="T585" i="1"/>
  <c r="T625" i="1"/>
  <c r="T657" i="1"/>
  <c r="T689" i="1"/>
  <c r="T721" i="1"/>
  <c r="T753" i="1"/>
  <c r="T881" i="1"/>
  <c r="T130" i="1"/>
  <c r="T162" i="1"/>
  <c r="T194" i="1"/>
  <c r="T226" i="1"/>
  <c r="T266" i="1"/>
  <c r="T314" i="1"/>
  <c r="T354" i="1"/>
  <c r="T394" i="1"/>
  <c r="T530" i="1"/>
  <c r="T562" i="1"/>
  <c r="T594" i="1"/>
  <c r="T658" i="1"/>
  <c r="T858" i="1"/>
  <c r="T890" i="1"/>
  <c r="T994" i="1"/>
  <c r="T812" i="1"/>
  <c r="T972" i="1"/>
  <c r="T612" i="1"/>
  <c r="T644" i="1"/>
  <c r="T676" i="1"/>
  <c r="T708" i="1"/>
  <c r="T740" i="1"/>
  <c r="T924" i="1"/>
  <c r="T1052" i="1"/>
  <c r="T253" i="1"/>
  <c r="T446" i="1"/>
  <c r="T995" i="1"/>
  <c r="T1027" i="1"/>
  <c r="T1059" i="1"/>
  <c r="T5" i="1"/>
  <c r="T37" i="1"/>
  <c r="T69" i="1"/>
  <c r="T101" i="1"/>
  <c r="T133" i="1"/>
  <c r="T165" i="1"/>
  <c r="T197" i="1"/>
  <c r="T229" i="1"/>
  <c r="T261" i="1"/>
  <c r="T293" i="1"/>
  <c r="T325" i="1"/>
  <c r="T316" i="1"/>
  <c r="T319" i="1"/>
  <c r="T450" i="1"/>
  <c r="T498" i="1"/>
  <c r="T698" i="1"/>
  <c r="T930" i="1"/>
  <c r="T1042" i="1"/>
  <c r="T17" i="1"/>
  <c r="T49" i="1"/>
  <c r="T81" i="1"/>
  <c r="T113" i="1"/>
  <c r="T355" i="1"/>
  <c r="T387" i="1"/>
  <c r="T419" i="1"/>
  <c r="T451" i="1"/>
  <c r="T483" i="1"/>
  <c r="T292" i="1"/>
  <c r="T324" i="1"/>
  <c r="T388" i="1"/>
  <c r="T420" i="1"/>
  <c r="T452" i="1"/>
  <c r="T484" i="1"/>
  <c r="T15" i="1"/>
  <c r="T47" i="1"/>
  <c r="T79" i="1"/>
  <c r="T111" i="1"/>
  <c r="T295" i="1"/>
  <c r="T335" i="1"/>
  <c r="T375" i="1"/>
  <c r="T423" i="1"/>
  <c r="T463" i="1"/>
  <c r="T503" i="1"/>
  <c r="T535" i="1"/>
  <c r="T567" i="1"/>
  <c r="T599" i="1"/>
  <c r="T631" i="1"/>
  <c r="T663" i="1"/>
  <c r="T230" i="1"/>
  <c r="T32" i="1"/>
  <c r="T80" i="1"/>
  <c r="T120" i="1"/>
  <c r="T184" i="1"/>
  <c r="T240" i="1"/>
  <c r="T280" i="1"/>
  <c r="T328" i="1"/>
  <c r="T368" i="1"/>
  <c r="T408" i="1"/>
  <c r="T456" i="1"/>
  <c r="T496" i="1"/>
  <c r="T528" i="1"/>
  <c r="T560" i="1"/>
  <c r="T592" i="1"/>
  <c r="T624" i="1"/>
  <c r="T656" i="1"/>
  <c r="T688" i="1"/>
  <c r="T720" i="1"/>
  <c r="T752" i="1"/>
  <c r="T784" i="1"/>
  <c r="T78" i="1"/>
  <c r="T190" i="1"/>
  <c r="T294" i="1"/>
  <c r="T342" i="1"/>
  <c r="T369" i="1"/>
  <c r="T569" i="1"/>
  <c r="T665" i="1"/>
  <c r="T769" i="1"/>
  <c r="T801" i="1"/>
  <c r="T833" i="1"/>
  <c r="T865" i="1"/>
  <c r="T897" i="1"/>
  <c r="T929" i="1"/>
  <c r="T961" i="1"/>
  <c r="T993" i="1"/>
  <c r="T1025" i="1"/>
  <c r="T1057" i="1"/>
  <c r="T1089" i="1"/>
  <c r="T796" i="1"/>
  <c r="T844" i="1"/>
  <c r="T892" i="1"/>
  <c r="T964" i="1"/>
  <c r="T1076" i="1"/>
  <c r="T94" i="1"/>
  <c r="T182" i="1"/>
  <c r="T278" i="1"/>
  <c r="T406" i="1"/>
  <c r="T462" i="1"/>
  <c r="T458" i="1"/>
  <c r="T506" i="1"/>
  <c r="T706" i="1"/>
  <c r="T738" i="1"/>
  <c r="T770" i="1"/>
  <c r="T898" i="1"/>
  <c r="T1010" i="1"/>
  <c r="T1050" i="1"/>
  <c r="T651" i="1"/>
  <c r="T683" i="1"/>
  <c r="T715" i="1"/>
  <c r="T747" i="1"/>
  <c r="T779" i="1"/>
  <c r="T811" i="1"/>
  <c r="T843" i="1"/>
  <c r="T875" i="1"/>
  <c r="T907" i="1"/>
  <c r="T939" i="1"/>
  <c r="T971" i="1"/>
  <c r="T1003" i="1"/>
  <c r="T1035" i="1"/>
  <c r="T1067" i="1"/>
  <c r="T141" i="1"/>
  <c r="T173" i="1"/>
  <c r="T205" i="1"/>
  <c r="T237" i="1"/>
  <c r="T269" i="1"/>
  <c r="T301" i="1"/>
  <c r="T333" i="1"/>
  <c r="T365" i="1"/>
  <c r="T3" i="1"/>
  <c r="T35" i="1"/>
  <c r="T67" i="1"/>
  <c r="T99" i="1"/>
  <c r="T131" i="1"/>
  <c r="T163" i="1"/>
  <c r="T195" i="1"/>
  <c r="T227" i="1"/>
  <c r="T259" i="1"/>
  <c r="T291" i="1"/>
  <c r="T323" i="1"/>
  <c r="T4" i="1"/>
  <c r="T36" i="1"/>
  <c r="T68" i="1"/>
  <c r="T100" i="1"/>
  <c r="T132" i="1"/>
  <c r="T164" i="1"/>
  <c r="T196" i="1"/>
  <c r="T228" i="1"/>
  <c r="T260" i="1"/>
  <c r="T735" i="1"/>
  <c r="T767" i="1"/>
  <c r="T799" i="1"/>
  <c r="T831" i="1"/>
  <c r="T863" i="1"/>
  <c r="T895" i="1"/>
  <c r="T927" i="1"/>
  <c r="T959" i="1"/>
  <c r="T991" i="1"/>
  <c r="T1023" i="1"/>
  <c r="T1055" i="1"/>
  <c r="T1087" i="1"/>
  <c r="T824" i="1"/>
  <c r="T257" i="1"/>
  <c r="T297" i="1"/>
  <c r="T345" i="1"/>
  <c r="T385" i="1"/>
  <c r="T425" i="1"/>
  <c r="T473" i="1"/>
  <c r="T505" i="1"/>
  <c r="T609" i="1"/>
  <c r="T641" i="1"/>
  <c r="T673" i="1"/>
  <c r="T705" i="1"/>
  <c r="T146" i="1"/>
  <c r="T178" i="1"/>
  <c r="T210" i="1"/>
  <c r="T250" i="1"/>
  <c r="T290" i="1"/>
  <c r="T330" i="1"/>
  <c r="T378" i="1"/>
  <c r="T418" i="1"/>
  <c r="T546" i="1"/>
  <c r="T610" i="1"/>
  <c r="T642" i="1"/>
  <c r="T674" i="1"/>
  <c r="T874" i="1"/>
  <c r="T1018" i="1"/>
  <c r="T908" i="1"/>
  <c r="T1044" i="1"/>
  <c r="T660" i="1"/>
  <c r="T692" i="1"/>
  <c r="T724" i="1"/>
  <c r="T756" i="1"/>
  <c r="T988" i="1"/>
  <c r="T22" i="1"/>
  <c r="T110" i="1"/>
  <c r="T198" i="1"/>
  <c r="T374" i="1"/>
  <c r="T414" i="1"/>
  <c r="T470" i="1"/>
  <c r="T474" i="1"/>
  <c r="T851" i="1"/>
  <c r="T883" i="1"/>
  <c r="T915" i="1"/>
  <c r="T947" i="1"/>
  <c r="T979" i="1"/>
  <c r="T1011" i="1"/>
  <c r="T1043" i="1"/>
  <c r="T1075" i="1"/>
  <c r="T286" i="1"/>
  <c r="T996" i="1"/>
  <c r="T38" i="1"/>
  <c r="T142" i="1"/>
  <c r="T21" i="1"/>
  <c r="T53" i="1"/>
  <c r="T85" i="1"/>
  <c r="T117" i="1"/>
  <c r="T149" i="1"/>
  <c r="T181" i="1"/>
  <c r="T213" i="1"/>
  <c r="T245" i="1"/>
  <c r="T11" i="1"/>
  <c r="T43" i="1"/>
  <c r="T75" i="1"/>
  <c r="T107" i="1"/>
  <c r="T139" i="1"/>
  <c r="T171" i="1"/>
  <c r="T203" i="1"/>
  <c r="T235" i="1"/>
  <c r="T267" i="1"/>
  <c r="T12" i="1"/>
  <c r="T44" i="1"/>
  <c r="T76" i="1"/>
  <c r="T108" i="1"/>
  <c r="T140" i="1"/>
  <c r="T172" i="1"/>
  <c r="T204" i="1"/>
  <c r="T236" i="1"/>
  <c r="T268" i="1"/>
  <c r="T300" i="1"/>
  <c r="T332" i="1"/>
  <c r="T711" i="1"/>
  <c r="T743" i="1"/>
  <c r="T775" i="1"/>
  <c r="T807" i="1"/>
  <c r="T839" i="1"/>
  <c r="T871" i="1"/>
  <c r="T903" i="1"/>
  <c r="T935" i="1"/>
  <c r="T967" i="1"/>
  <c r="T999" i="1"/>
  <c r="T1031" i="1"/>
  <c r="T1063" i="1"/>
  <c r="T780" i="1"/>
  <c r="T800" i="1"/>
  <c r="T265" i="1"/>
  <c r="T305" i="1"/>
  <c r="T353" i="1"/>
  <c r="T393" i="1"/>
  <c r="T433" i="1"/>
  <c r="T481" i="1"/>
  <c r="T513" i="1"/>
  <c r="T617" i="1"/>
  <c r="T681" i="1"/>
  <c r="T713" i="1"/>
  <c r="T154" i="1"/>
  <c r="T186" i="1"/>
  <c r="T218" i="1"/>
  <c r="T258" i="1"/>
  <c r="T306" i="1"/>
  <c r="T346" i="1"/>
  <c r="T386" i="1"/>
  <c r="T522" i="1"/>
  <c r="T554" i="1"/>
  <c r="T586" i="1"/>
  <c r="T618" i="1"/>
  <c r="T650" i="1"/>
  <c r="T778" i="1"/>
  <c r="T850" i="1"/>
  <c r="T882" i="1"/>
  <c r="T914" i="1"/>
  <c r="T954" i="1"/>
  <c r="T1058" i="1"/>
  <c r="T948" i="1"/>
  <c r="T1068" i="1"/>
  <c r="T604" i="1"/>
  <c r="T636" i="1"/>
  <c r="T668" i="1"/>
  <c r="T700" i="1"/>
  <c r="T732" i="1"/>
  <c r="T876" i="1"/>
  <c r="T1020" i="1"/>
  <c r="T349" i="1"/>
  <c r="T381" i="1"/>
  <c r="T413" i="1"/>
  <c r="T445" i="1"/>
  <c r="T477" i="1"/>
</calcChain>
</file>

<file path=xl/sharedStrings.xml><?xml version="1.0" encoding="utf-8"?>
<sst xmlns="http://schemas.openxmlformats.org/spreadsheetml/2006/main" count="5459" uniqueCount="1391">
  <si>
    <t>Title</t>
  </si>
  <si>
    <t>Release date</t>
  </si>
  <si>
    <t>Year</t>
  </si>
  <si>
    <t>Month</t>
  </si>
  <si>
    <t>Season</t>
  </si>
  <si>
    <t>runTime</t>
  </si>
  <si>
    <t>Genre</t>
  </si>
  <si>
    <t>MPAA_Rating</t>
  </si>
  <si>
    <t>is_original</t>
  </si>
  <si>
    <t>is_franchise</t>
  </si>
  <si>
    <t>averageRating</t>
  </si>
  <si>
    <t>numVotes</t>
  </si>
  <si>
    <t>performance</t>
  </si>
  <si>
    <t>Ghost Stories</t>
  </si>
  <si>
    <t>Winter</t>
  </si>
  <si>
    <t>Horror anthology</t>
  </si>
  <si>
    <t>NR</t>
  </si>
  <si>
    <t>Streaming-flop</t>
  </si>
  <si>
    <t>A Fall from Grace</t>
  </si>
  <si>
    <t>Thriller</t>
  </si>
  <si>
    <t>Airplane Mode</t>
  </si>
  <si>
    <t>Comedy</t>
  </si>
  <si>
    <t>Horse Girl</t>
  </si>
  <si>
    <t>Psychological drama</t>
  </si>
  <si>
    <t>R</t>
  </si>
  <si>
    <t>To All the Boys: P.S. I Still Love You</t>
  </si>
  <si>
    <t>Teen romantic comedy</t>
  </si>
  <si>
    <t>PG-13</t>
  </si>
  <si>
    <t>Isi &amp; Ossi</t>
  </si>
  <si>
    <t>Romantic comedy</t>
  </si>
  <si>
    <t>Not Rated</t>
  </si>
  <si>
    <t>The Last Thing He Wanted</t>
  </si>
  <si>
    <t>Political thriller</t>
  </si>
  <si>
    <t>Yeh Ballet</t>
  </si>
  <si>
    <t>Drama</t>
  </si>
  <si>
    <t>All the Bright Places</t>
  </si>
  <si>
    <t>Teen romance</t>
  </si>
  <si>
    <t>Guilty</t>
  </si>
  <si>
    <t>Spring</t>
  </si>
  <si>
    <t>Thriller drama</t>
  </si>
  <si>
    <t>Spenser Confidential</t>
  </si>
  <si>
    <t>Action comedy</t>
  </si>
  <si>
    <t>Lost Girls</t>
  </si>
  <si>
    <t>Crime drama</t>
  </si>
  <si>
    <t>Ultras</t>
  </si>
  <si>
    <t>Sports</t>
  </si>
  <si>
    <t>The Occupant</t>
  </si>
  <si>
    <t>Maska</t>
  </si>
  <si>
    <t>The Decline</t>
  </si>
  <si>
    <t>Action thriller</t>
  </si>
  <si>
    <t>Uncorked</t>
  </si>
  <si>
    <t>Coffee &amp; Kareem</t>
  </si>
  <si>
    <t>The Main Event</t>
  </si>
  <si>
    <t>Sports comedy</t>
  </si>
  <si>
    <t>Love Wedding Repeat</t>
  </si>
  <si>
    <t>Tigertail</t>
  </si>
  <si>
    <t>PG</t>
  </si>
  <si>
    <t>Earth and Blood</t>
  </si>
  <si>
    <t>Action</t>
  </si>
  <si>
    <t>Rising High</t>
  </si>
  <si>
    <t>Satire drama</t>
  </si>
  <si>
    <t>Sergio</t>
  </si>
  <si>
    <t>Biopic</t>
  </si>
  <si>
    <t>The Willoughbys</t>
  </si>
  <si>
    <t>Animated comedy</t>
  </si>
  <si>
    <t>Time to Hunt</t>
  </si>
  <si>
    <t>Extraction</t>
  </si>
  <si>
    <t>Dangerous Lies</t>
  </si>
  <si>
    <t>All Day and a Night</t>
  </si>
  <si>
    <t>Mrs. Serial Killer</t>
  </si>
  <si>
    <t>Crime</t>
  </si>
  <si>
    <t>The Half of It</t>
  </si>
  <si>
    <t>The Wrong Missy</t>
  </si>
  <si>
    <t>Black comedy</t>
  </si>
  <si>
    <t>The Lovebirds</t>
  </si>
  <si>
    <t>Intuition</t>
  </si>
  <si>
    <t>Crime thriller</t>
  </si>
  <si>
    <t>The Last Days of American Crime</t>
  </si>
  <si>
    <t>Summer</t>
  </si>
  <si>
    <t>Heist thriller</t>
  </si>
  <si>
    <t>Da 5 Bloods</t>
  </si>
  <si>
    <t>War drama</t>
  </si>
  <si>
    <t>A Whisker Away</t>
  </si>
  <si>
    <t>Anime fantasy</t>
  </si>
  <si>
    <t>Feel the Beat</t>
  </si>
  <si>
    <t>Family / Comedy drama</t>
  </si>
  <si>
    <t>G</t>
  </si>
  <si>
    <t>Lost Bullet</t>
  </si>
  <si>
    <t>Streaming-hit</t>
  </si>
  <si>
    <t>One-Way to Tomorrow</t>
  </si>
  <si>
    <t>Romantic drama</t>
  </si>
  <si>
    <t>Bulbbul</t>
  </si>
  <si>
    <t>Horror</t>
  </si>
  <si>
    <t>Nobody Knows I'm Here</t>
  </si>
  <si>
    <t>Eurovision Song Contest: The Story of Fire Saga</t>
  </si>
  <si>
    <t>Musical comedy</t>
  </si>
  <si>
    <t>Under the Riccione Sun</t>
  </si>
  <si>
    <t>Romantic teenage drama</t>
  </si>
  <si>
    <t>Desperados</t>
  </si>
  <si>
    <t>The Old Guard</t>
  </si>
  <si>
    <t>Superhero</t>
  </si>
  <si>
    <t>The Players</t>
  </si>
  <si>
    <t>Fatal Affair</t>
  </si>
  <si>
    <t>Psychological thriller</t>
  </si>
  <si>
    <t>Offering to the Storm</t>
  </si>
  <si>
    <t>The Kissing Booth 2</t>
  </si>
  <si>
    <t>Seriously Single</t>
  </si>
  <si>
    <t>Raat Akeli Hai</t>
  </si>
  <si>
    <t>Work It</t>
  </si>
  <si>
    <t>Dance comedy</t>
  </si>
  <si>
    <t>Gunjan Saxena: The Kargil Girl</t>
  </si>
  <si>
    <t>Biographical drama</t>
  </si>
  <si>
    <t>Project Power</t>
  </si>
  <si>
    <t>Fearless</t>
  </si>
  <si>
    <t>Animation / Superhero</t>
  </si>
  <si>
    <t>Crazy Awesome Teachers</t>
  </si>
  <si>
    <t>Comedy drama</t>
  </si>
  <si>
    <t>The Crimes That Bind</t>
  </si>
  <si>
    <t>The Sleepover</t>
  </si>
  <si>
    <t>Class of '83</t>
  </si>
  <si>
    <t>Crime / Drama</t>
  </si>
  <si>
    <t>Dark Forces</t>
  </si>
  <si>
    <t>All Together Now</t>
  </si>
  <si>
    <t>Unknown Origins</t>
  </si>
  <si>
    <t>Love, Guaranteed</t>
  </si>
  <si>
    <t>Fall/Autumn</t>
  </si>
  <si>
    <t>I'm Thinking of Ending Things</t>
  </si>
  <si>
    <t>The Babysitter: Killer Queen</t>
  </si>
  <si>
    <t>Comedy / Horror</t>
  </si>
  <si>
    <t>Dad Wanted</t>
  </si>
  <si>
    <t>Family</t>
  </si>
  <si>
    <t>The Devil All The Time</t>
  </si>
  <si>
    <t>The Paramedic</t>
  </si>
  <si>
    <t>Whipped</t>
  </si>
  <si>
    <t>The Boys in the Band</t>
  </si>
  <si>
    <t>All Because of You</t>
  </si>
  <si>
    <t>Serious Men</t>
  </si>
  <si>
    <t>The Binding</t>
  </si>
  <si>
    <t>Vampires vs. the Bronx</t>
  </si>
  <si>
    <t>Horror comedy</t>
  </si>
  <si>
    <t>You've Got This</t>
  </si>
  <si>
    <t>Hubie Halloween</t>
  </si>
  <si>
    <t>Ginny Weds Sunny</t>
  </si>
  <si>
    <t>The Forty-Year-Old Version</t>
  </si>
  <si>
    <t>A Babysitter's Guide to Monster Hunting</t>
  </si>
  <si>
    <t>Comedy / Fantasy / Family</t>
  </si>
  <si>
    <t>Love Like the Falling Rain</t>
  </si>
  <si>
    <t>Teen romantic drama</t>
  </si>
  <si>
    <t>The Trial of the Chicago 7</t>
  </si>
  <si>
    <t>Historical legal drama</t>
  </si>
  <si>
    <t>Rebecca</t>
  </si>
  <si>
    <t>Romantic thriller</t>
  </si>
  <si>
    <t>Cadaver</t>
  </si>
  <si>
    <t>Over the Moon</t>
  </si>
  <si>
    <t>CGI animation musical fantasy</t>
  </si>
  <si>
    <t>Holidate</t>
  </si>
  <si>
    <t>Christmas romantic comedy</t>
  </si>
  <si>
    <t>Nobody Sleeps in the Woods Tonight</t>
  </si>
  <si>
    <t>His House</t>
  </si>
  <si>
    <t>Kaali Khuhi</t>
  </si>
  <si>
    <t>Rogue City</t>
  </si>
  <si>
    <t>Operation Christmas Drop</t>
  </si>
  <si>
    <t>Citation</t>
  </si>
  <si>
    <t>What We Wanted</t>
  </si>
  <si>
    <t>Ludo</t>
  </si>
  <si>
    <t>Anthology / Dark comedy</t>
  </si>
  <si>
    <t>Jingle Jangle: A Christmas Journey</t>
  </si>
  <si>
    <t>Family / Christmas musical</t>
  </si>
  <si>
    <t>The Life Ahead</t>
  </si>
  <si>
    <t>The Princess Switch: Switched Again</t>
  </si>
  <si>
    <t>Christmas on the Square</t>
  </si>
  <si>
    <t>Christmas musical</t>
  </si>
  <si>
    <t>Hillbilly Elegy</t>
  </si>
  <si>
    <t>Notes for My Son</t>
  </si>
  <si>
    <t>The Christmas Chronicles: Part Two</t>
  </si>
  <si>
    <t>Christmas comedy</t>
  </si>
  <si>
    <t>The Beast</t>
  </si>
  <si>
    <t>The Call</t>
  </si>
  <si>
    <t>Finding Agnes</t>
  </si>
  <si>
    <t>Just Another Christmas</t>
  </si>
  <si>
    <t>Christmas Crossfire</t>
  </si>
  <si>
    <t>Christmas thriller</t>
  </si>
  <si>
    <t>Leyla Everlasting</t>
  </si>
  <si>
    <t>Mank</t>
  </si>
  <si>
    <t>The Claus Family</t>
  </si>
  <si>
    <t>Christmas fantasy</t>
  </si>
  <si>
    <t>Rose Island</t>
  </si>
  <si>
    <t>The Prom</t>
  </si>
  <si>
    <t>Musical</t>
  </si>
  <si>
    <t>A California Christmas</t>
  </si>
  <si>
    <t>Ma Rainey's Black Bottom</t>
  </si>
  <si>
    <t>The Midnight Sky</t>
  </si>
  <si>
    <t>Science fiction</t>
  </si>
  <si>
    <t>AK vs AK</t>
  </si>
  <si>
    <t>Black comedy thriller</t>
  </si>
  <si>
    <t>We Can Be Heroes</t>
  </si>
  <si>
    <t>What Happened to Mr. Cha?</t>
  </si>
  <si>
    <t>Stuck Apart</t>
  </si>
  <si>
    <t>The Heartbreak Club</t>
  </si>
  <si>
    <t>Double Dad</t>
  </si>
  <si>
    <t>Outside the Wire</t>
  </si>
  <si>
    <t>Action / science fiction</t>
  </si>
  <si>
    <t>The White Tiger</t>
  </si>
  <si>
    <t>The Dig</t>
  </si>
  <si>
    <t>Below Zero</t>
  </si>
  <si>
    <t>Malcolm &amp; Marie</t>
  </si>
  <si>
    <t>Space Sweepers</t>
  </si>
  <si>
    <t>The Misadventures of Hedi and Cokeman</t>
  </si>
  <si>
    <t>Red Dot</t>
  </si>
  <si>
    <t>Squared Love</t>
  </si>
  <si>
    <t>To All the Boys: Always and Forever</t>
  </si>
  <si>
    <t>Geez &amp; Ann</t>
  </si>
  <si>
    <t>Crazy About Her</t>
  </si>
  <si>
    <t>The Girl on the Train</t>
  </si>
  <si>
    <t>Moxie</t>
  </si>
  <si>
    <t>Sentinelle</t>
  </si>
  <si>
    <t>Yes Day</t>
  </si>
  <si>
    <t>Paper Lives</t>
  </si>
  <si>
    <t>Get the Goat</t>
  </si>
  <si>
    <t>Caught by a Wave</t>
  </si>
  <si>
    <t>Romantic teen drama</t>
  </si>
  <si>
    <t>A Week Away</t>
  </si>
  <si>
    <t>Christian musical</t>
  </si>
  <si>
    <t>Bad Trip</t>
  </si>
  <si>
    <t>Hidden-camera prank comedy</t>
  </si>
  <si>
    <t>Pagglait</t>
  </si>
  <si>
    <t>Just Say Yes</t>
  </si>
  <si>
    <t>Madame Claude</t>
  </si>
  <si>
    <t>Have You Ever Seen Fireflies?</t>
  </si>
  <si>
    <t>Thunder Force</t>
  </si>
  <si>
    <t>Superhero comedy</t>
  </si>
  <si>
    <t>Prime Time</t>
  </si>
  <si>
    <t>Ride or Die</t>
  </si>
  <si>
    <t>Psychological thriller drama</t>
  </si>
  <si>
    <t>Ajeeb Daastaans</t>
  </si>
  <si>
    <t>Get the Grift</t>
  </si>
  <si>
    <t>Things Heard &amp; Seen</t>
  </si>
  <si>
    <t>Oxygen</t>
  </si>
  <si>
    <t>Science fiction thriller</t>
  </si>
  <si>
    <t>Ferry</t>
  </si>
  <si>
    <t>I Am All Girls</t>
  </si>
  <si>
    <t>The Woman in the Window</t>
  </si>
  <si>
    <t>Sardar Ka Grandson</t>
  </si>
  <si>
    <t>Army of the Dead</t>
  </si>
  <si>
    <t>Zombie/heist</t>
  </si>
  <si>
    <t>Baggio: The Divine Ponytail</t>
  </si>
  <si>
    <t>Ghost Lab</t>
  </si>
  <si>
    <t>Blue Miracle</t>
  </si>
  <si>
    <t>Carnaval</t>
  </si>
  <si>
    <t>Dancing Queens</t>
  </si>
  <si>
    <t>Sweet &amp; Sour</t>
  </si>
  <si>
    <t>Trippin' with the Kandasamys</t>
  </si>
  <si>
    <t>Xtreme</t>
  </si>
  <si>
    <t>Awake</t>
  </si>
  <si>
    <t>Skater Girl</t>
  </si>
  <si>
    <t>Coming-of-age sports drama</t>
  </si>
  <si>
    <t>Jagame Thandhiram</t>
  </si>
  <si>
    <t>Good on Paper</t>
  </si>
  <si>
    <t>America: The Motion Picture</t>
  </si>
  <si>
    <t>Animation / comedy / historical fiction</t>
  </si>
  <si>
    <t>The 8th Night</t>
  </si>
  <si>
    <t>Thriller film</t>
  </si>
  <si>
    <t>Haseen Dillruba</t>
  </si>
  <si>
    <t>Last Summer</t>
  </si>
  <si>
    <t>A Classic Horror Story</t>
  </si>
  <si>
    <t>NC-17</t>
  </si>
  <si>
    <t>A Perfect Fit</t>
  </si>
  <si>
    <t>Romantic comedy / drama</t>
  </si>
  <si>
    <t>My Amanda</t>
  </si>
  <si>
    <t>Romance</t>
  </si>
  <si>
    <t>Deep</t>
  </si>
  <si>
    <t>Blood Red Sky</t>
  </si>
  <si>
    <t>Bankrolled</t>
  </si>
  <si>
    <t>Bartkowiak</t>
  </si>
  <si>
    <t>Resort to Love</t>
  </si>
  <si>
    <t>The Last Mercenary</t>
  </si>
  <si>
    <t>The Kissing Booth 3</t>
  </si>
  <si>
    <t>Beckett</t>
  </si>
  <si>
    <t>Black Island</t>
  </si>
  <si>
    <t>The Secret Diary of an Exchange Student</t>
  </si>
  <si>
    <t>Sweet Girl</t>
  </si>
  <si>
    <t>The Loud House Movie</t>
  </si>
  <si>
    <t>Animation comedy</t>
  </si>
  <si>
    <t>The Witcher: Nightmare of the Wolf</t>
  </si>
  <si>
    <t>Animated dark fantasy</t>
  </si>
  <si>
    <t>He's All That</t>
  </si>
  <si>
    <t>Afterlife of the Party</t>
  </si>
  <si>
    <t>JJ+E</t>
  </si>
  <si>
    <t>Kate</t>
  </si>
  <si>
    <t>Prey</t>
  </si>
  <si>
    <t>Nightbooks</t>
  </si>
  <si>
    <t>Fantasy/horror</t>
  </si>
  <si>
    <t>Ankahi Kahaniya</t>
  </si>
  <si>
    <t>Anthology film</t>
  </si>
  <si>
    <t>Confessions of an Invisible Girl</t>
  </si>
  <si>
    <t>Intrusion</t>
  </si>
  <si>
    <t>The Starling</t>
  </si>
  <si>
    <t>Friendzone</t>
  </si>
  <si>
    <t>No One Gets Out Alive</t>
  </si>
  <si>
    <t>Sounds Like Love</t>
  </si>
  <si>
    <t>Forever Rich</t>
  </si>
  <si>
    <t>Swallow</t>
  </si>
  <si>
    <t>The Guilty</t>
  </si>
  <si>
    <t>There's Someone Inside Your House</t>
  </si>
  <si>
    <t>Slasher</t>
  </si>
  <si>
    <t>Grudge</t>
  </si>
  <si>
    <t>My Brother, My Sister</t>
  </si>
  <si>
    <t>Bright: Samurai Soul</t>
  </si>
  <si>
    <t>Anime/fantasy</t>
  </si>
  <si>
    <t>Fever Dream</t>
  </si>
  <si>
    <t>Operation Hyacinth</t>
  </si>
  <si>
    <t>A World Without</t>
  </si>
  <si>
    <t>Science fiction / teen drama</t>
  </si>
  <si>
    <t>The Four of Us</t>
  </si>
  <si>
    <t>Night Teeth</t>
  </si>
  <si>
    <t>Stuck Together</t>
  </si>
  <si>
    <t>Little Big Mouth</t>
  </si>
  <si>
    <t>Hypnotic</t>
  </si>
  <si>
    <t>Army of Thieves</t>
  </si>
  <si>
    <t>Romantic comedy / heist</t>
  </si>
  <si>
    <t>The Harder They Fall</t>
  </si>
  <si>
    <t>Western</t>
  </si>
  <si>
    <t>Love Hard</t>
  </si>
  <si>
    <t>Meenakshi Sundareshwar</t>
  </si>
  <si>
    <t>We Couldn't Become Adults</t>
  </si>
  <si>
    <t>Yara</t>
  </si>
  <si>
    <t>Father Christmas Is Back</t>
  </si>
  <si>
    <t>Happiness Ever After</t>
  </si>
  <si>
    <t>Passing</t>
  </si>
  <si>
    <t>7 Prisoners</t>
  </si>
  <si>
    <t>Red Notice</t>
  </si>
  <si>
    <t>Just Short of Perfect</t>
  </si>
  <si>
    <t>Dhamaka</t>
  </si>
  <si>
    <t>Love Me Instead</t>
  </si>
  <si>
    <t>Tick, Tick... Boom!</t>
  </si>
  <si>
    <t>A Castle for Christmas</t>
  </si>
  <si>
    <t>The Power of the Dog</t>
  </si>
  <si>
    <t>Single All the Way</t>
  </si>
  <si>
    <t>Holiday romantic comedy</t>
  </si>
  <si>
    <t>The Whole Truth</t>
  </si>
  <si>
    <t>Mixtape</t>
  </si>
  <si>
    <t>Coming-of-age comedy drama</t>
  </si>
  <si>
    <t>David and the Elves</t>
  </si>
  <si>
    <t>Fantasy</t>
  </si>
  <si>
    <t>The Claus Family 2</t>
  </si>
  <si>
    <t>Asakusa Kid</t>
  </si>
  <si>
    <t>Anonymously Yours</t>
  </si>
  <si>
    <t>Back to the Outback</t>
  </si>
  <si>
    <t>CGI animation comedy</t>
  </si>
  <si>
    <t>The Unforgivable</t>
  </si>
  <si>
    <t>The Hand of God</t>
  </si>
  <si>
    <t>A Naija Christmas</t>
  </si>
  <si>
    <t>Grumpy Christmas</t>
  </si>
  <si>
    <t>1000 Miles from Christmas</t>
  </si>
  <si>
    <t>Christmas film</t>
  </si>
  <si>
    <t>Don't Look Up</t>
  </si>
  <si>
    <t>Science fiction comedy</t>
  </si>
  <si>
    <t>Lulli</t>
  </si>
  <si>
    <t>How I Fell in Love with a Gangster</t>
  </si>
  <si>
    <t>Brazen</t>
  </si>
  <si>
    <t>The Royal Treatment</t>
  </si>
  <si>
    <t>Amandla</t>
  </si>
  <si>
    <t>My Father's Violin</t>
  </si>
  <si>
    <t>Home Team</t>
  </si>
  <si>
    <t>Looop Lapeta</t>
  </si>
  <si>
    <t>Through My Window</t>
  </si>
  <si>
    <t>The Privilege</t>
  </si>
  <si>
    <t>Into the Wind</t>
  </si>
  <si>
    <t>Love and Leashes</t>
  </si>
  <si>
    <t>Love Tactics</t>
  </si>
  <si>
    <t>Tall Girl 2</t>
  </si>
  <si>
    <t>Fistful of Vengeance</t>
  </si>
  <si>
    <t>Supernatural martial arts drama</t>
  </si>
  <si>
    <t>Texas Chainsaw Massacre</t>
  </si>
  <si>
    <t>UFO</t>
  </si>
  <si>
    <t>Restless</t>
  </si>
  <si>
    <t>Against the Ice</t>
  </si>
  <si>
    <t>Survival</t>
  </si>
  <si>
    <t>The Weekend Away</t>
  </si>
  <si>
    <t>The Adam Project</t>
  </si>
  <si>
    <t>Rescued by Ruby</t>
  </si>
  <si>
    <t>Black Crab</t>
  </si>
  <si>
    <t>Windfall</t>
  </si>
  <si>
    <t>In Good Hands</t>
  </si>
  <si>
    <t>Love Like the Falling Petals</t>
  </si>
  <si>
    <t>All Hail</t>
  </si>
  <si>
    <t>Battle: Freestyle</t>
  </si>
  <si>
    <t>The Bubble</t>
  </si>
  <si>
    <t>Cobalt Blue</t>
  </si>
  <si>
    <t>Dancing on Glass</t>
  </si>
  <si>
    <t>Metal Lords</t>
  </si>
  <si>
    <t>Musical comedy drama</t>
  </si>
  <si>
    <t>Yaksha: Ruthless Operations</t>
  </si>
  <si>
    <t>Spy</t>
  </si>
  <si>
    <t>Choose or Die</t>
  </si>
  <si>
    <t>Man of God</t>
  </si>
  <si>
    <t>365 Days: This Day</t>
  </si>
  <si>
    <t>Erotic thriller</t>
  </si>
  <si>
    <t>Silverton Siege</t>
  </si>
  <si>
    <t>Bubble</t>
  </si>
  <si>
    <t>Anime</t>
  </si>
  <si>
    <t>Along for the Ride</t>
  </si>
  <si>
    <t>The Takedown</t>
  </si>
  <si>
    <t>Thar</t>
  </si>
  <si>
    <t>Western thriller</t>
  </si>
  <si>
    <t>Senior Year</t>
  </si>
  <si>
    <t>Toscana</t>
  </si>
  <si>
    <t>A Perfect Pairing</t>
  </si>
  <si>
    <t>F*ck Love Too</t>
  </si>
  <si>
    <t>Godspeed</t>
  </si>
  <si>
    <t>Interceptor</t>
  </si>
  <si>
    <t>Action drama</t>
  </si>
  <si>
    <t>Hustle</t>
  </si>
  <si>
    <t>Heart Parade</t>
  </si>
  <si>
    <t>The Wrath of God</t>
  </si>
  <si>
    <t>Spiderhead</t>
  </si>
  <si>
    <t>Science fiction action thriller</t>
  </si>
  <si>
    <t>Doom of Love</t>
  </si>
  <si>
    <t>Love &amp; Gelato</t>
  </si>
  <si>
    <t>Blasted</t>
  </si>
  <si>
    <t>Science fiction / comedy</t>
  </si>
  <si>
    <t>Beauty</t>
  </si>
  <si>
    <t>Dangerous Liaisons</t>
  </si>
  <si>
    <t>Jewel</t>
  </si>
  <si>
    <t>The Sea Beast</t>
  </si>
  <si>
    <t>CGI animation adventure</t>
  </si>
  <si>
    <t>For Jojo</t>
  </si>
  <si>
    <t>Under the Amalfi Sun</t>
  </si>
  <si>
    <t>Jaadugar</t>
  </si>
  <si>
    <t>Persuasion</t>
  </si>
  <si>
    <t>The Gray Man</t>
  </si>
  <si>
    <t>Spy thriller</t>
  </si>
  <si>
    <t>A Cut Above</t>
  </si>
  <si>
    <t>The Entitled</t>
  </si>
  <si>
    <t>Purple Hearts</t>
  </si>
  <si>
    <t>Buba</t>
  </si>
  <si>
    <t>Don't Blame Karma!</t>
  </si>
  <si>
    <t>Wedding Season</t>
  </si>
  <si>
    <t>Carter</t>
  </si>
  <si>
    <t>Darlings</t>
  </si>
  <si>
    <t>Rise of the Teenage Mutant Ninja Turtles: The Movie</t>
  </si>
  <si>
    <t>Animated action-adventure</t>
  </si>
  <si>
    <t>Heartsong</t>
  </si>
  <si>
    <t>13: The Musical</t>
  </si>
  <si>
    <t>Day Shift</t>
  </si>
  <si>
    <t>Fantasy comedy</t>
  </si>
  <si>
    <t>Look Both Ways</t>
  </si>
  <si>
    <t>Royalteen</t>
  </si>
  <si>
    <t>Coming-of-age</t>
  </si>
  <si>
    <t>The Next 365 Days</t>
  </si>
  <si>
    <t>That's Amor</t>
  </si>
  <si>
    <t>Loving Adults</t>
  </si>
  <si>
    <t>Me Time</t>
  </si>
  <si>
    <t>Seoul Vibe</t>
  </si>
  <si>
    <t>I Came By</t>
  </si>
  <si>
    <t>Fenced in</t>
  </si>
  <si>
    <t>Love in the Villa</t>
  </si>
  <si>
    <t>The Festival of Troubadours</t>
  </si>
  <si>
    <t>End of the Road</t>
  </si>
  <si>
    <t>No Limit</t>
  </si>
  <si>
    <t>Broad Peak</t>
  </si>
  <si>
    <t>Do Revenge</t>
  </si>
  <si>
    <t>Drifting Home</t>
  </si>
  <si>
    <t>I Used to Be Famous</t>
  </si>
  <si>
    <t>Musical drama</t>
  </si>
  <si>
    <t>Jogi</t>
  </si>
  <si>
    <t>The Perfumier</t>
  </si>
  <si>
    <t>A Jazzman's Blues</t>
  </si>
  <si>
    <t>Lou</t>
  </si>
  <si>
    <t>Athena</t>
  </si>
  <si>
    <t>Blonde</t>
  </si>
  <si>
    <t>Plan A Plan B</t>
  </si>
  <si>
    <t>Rainbow</t>
  </si>
  <si>
    <t>Fantasy drama</t>
  </si>
  <si>
    <t>Jumping from High Places</t>
  </si>
  <si>
    <t>Mr. Harrigan's Phone</t>
  </si>
  <si>
    <t>Togo</t>
  </si>
  <si>
    <t>Doll House</t>
  </si>
  <si>
    <t>Luckiest Girl Alive</t>
  </si>
  <si>
    <t>Mystery</t>
  </si>
  <si>
    <t>Old People</t>
  </si>
  <si>
    <t>Someone Borrowed</t>
  </si>
  <si>
    <t>The Curse of Bridge Hollow</t>
  </si>
  <si>
    <t>The School for Good and Evil</t>
  </si>
  <si>
    <t>Children's fantasy</t>
  </si>
  <si>
    <t>The Stranger</t>
  </si>
  <si>
    <t>20th Century Girl</t>
  </si>
  <si>
    <t>Romantic</t>
  </si>
  <si>
    <t>Hellhole</t>
  </si>
  <si>
    <t>Robbing Mussolini</t>
  </si>
  <si>
    <t>The Good Nurse</t>
  </si>
  <si>
    <t>Beyond the Universe</t>
  </si>
  <si>
    <t>All Quiet on the Western Front</t>
  </si>
  <si>
    <t>Wendell &amp; Wild</t>
  </si>
  <si>
    <t>Stop motion fantasy horror comedy</t>
  </si>
  <si>
    <t>Wild Is the Wind</t>
  </si>
  <si>
    <t>The Takeover</t>
  </si>
  <si>
    <t>Action / thriller</t>
  </si>
  <si>
    <t>The Soccer Football Movie</t>
  </si>
  <si>
    <t>CGI animation sports comedy</t>
  </si>
  <si>
    <t>Falling for Christmas</t>
  </si>
  <si>
    <t>Lost Bullet 2: Back for More</t>
  </si>
  <si>
    <t>Don't Leave</t>
  </si>
  <si>
    <t>Monica, O My Darling</t>
  </si>
  <si>
    <t>Neo-noir comedy thriller</t>
  </si>
  <si>
    <t>My Father's Dragon</t>
  </si>
  <si>
    <t>Animated fantasy adventure</t>
  </si>
  <si>
    <t>The Lost Lotteries</t>
  </si>
  <si>
    <t>The Wonder</t>
  </si>
  <si>
    <t>Christmas with You</t>
  </si>
  <si>
    <t>Slumberland</t>
  </si>
  <si>
    <t>Fantasy adventure</t>
  </si>
  <si>
    <t>Christmas on Mistletoe Farm</t>
  </si>
  <si>
    <t>Lesson Plan</t>
  </si>
  <si>
    <t>The Swimmers</t>
  </si>
  <si>
    <t>Who's a Good Boy?</t>
  </si>
  <si>
    <t>The Noel Diary</t>
  </si>
  <si>
    <t>A Man of Action</t>
  </si>
  <si>
    <t>Christmas Full of Grace</t>
  </si>
  <si>
    <t>My Name Is Vendetta</t>
  </si>
  <si>
    <t>Qala</t>
  </si>
  <si>
    <t>Troll</t>
  </si>
  <si>
    <t>Monster</t>
  </si>
  <si>
    <t>Lady Chatterley's Lover</t>
  </si>
  <si>
    <t>Scrooge: A Christmas Carol</t>
  </si>
  <si>
    <t>CGI animation musical fantasy comedy drama</t>
  </si>
  <si>
    <t>Delivery by Christmas</t>
  </si>
  <si>
    <t>Burning Patience</t>
  </si>
  <si>
    <t>The Marriage App</t>
  </si>
  <si>
    <t>The Claus Family 3</t>
  </si>
  <si>
    <t>Guillermo del Toro's Pinocchio</t>
  </si>
  <si>
    <t>Stop motion fantasy musical drama</t>
  </si>
  <si>
    <t>I Believe in Santa</t>
  </si>
  <si>
    <t>The Big 4</t>
  </si>
  <si>
    <t>Private Lesson</t>
  </si>
  <si>
    <t>A Not So Merry Christmas</t>
  </si>
  <si>
    <t>A Night at the Kindergarten</t>
  </si>
  <si>
    <t>White Noise</t>
  </si>
  <si>
    <t>Dog Gone</t>
  </si>
  <si>
    <t>Family drama</t>
  </si>
  <si>
    <t>Mission Majnu</t>
  </si>
  <si>
    <t>You People</t>
  </si>
  <si>
    <t>True Spirit</t>
  </si>
  <si>
    <t>Infiesto</t>
  </si>
  <si>
    <t>Dear David</t>
  </si>
  <si>
    <t>Coming-of-age romantic drama</t>
  </si>
  <si>
    <t>Your Place or Mine</t>
  </si>
  <si>
    <t>Squared Love All Over Again</t>
  </si>
  <si>
    <t>All the Places</t>
  </si>
  <si>
    <t>Unlocked</t>
  </si>
  <si>
    <t>The Strays</t>
  </si>
  <si>
    <t>Call Me Chihiro</t>
  </si>
  <si>
    <t>We Have a Ghost</t>
  </si>
  <si>
    <t>Family adventure</t>
  </si>
  <si>
    <t>Tonight You're Sleeping with Me</t>
  </si>
  <si>
    <t>10 Days of a Good Man</t>
  </si>
  <si>
    <t>Faraway</t>
  </si>
  <si>
    <t>Have a Nice Day!</t>
  </si>
  <si>
    <t>Luther: The Fallen Sun</t>
  </si>
  <si>
    <t>In His Shadow</t>
  </si>
  <si>
    <t>Noise</t>
  </si>
  <si>
    <t>The Magician's Elephant</t>
  </si>
  <si>
    <t>CGI animation fantasy adventure</t>
  </si>
  <si>
    <t>Chor Nikal Ke Bhaga</t>
  </si>
  <si>
    <t>Kill Boksoon</t>
  </si>
  <si>
    <t>Murder Mystery 2</t>
  </si>
  <si>
    <t>Mystery comedy</t>
  </si>
  <si>
    <t>Chupa</t>
  </si>
  <si>
    <t>Kings of Mulberry Street: Let Love Reign</t>
  </si>
  <si>
    <t>Oh Belinda</t>
  </si>
  <si>
    <t>Queens on the Run</t>
  </si>
  <si>
    <t>Phenomena</t>
  </si>
  <si>
    <t>A Tourist's Guide to Love</t>
  </si>
  <si>
    <t>Chokehold</t>
  </si>
  <si>
    <t>One More Time</t>
  </si>
  <si>
    <t>The Matchmaker</t>
  </si>
  <si>
    <t>AKA</t>
  </si>
  <si>
    <t>Royalteen: Princess Margrethe</t>
  </si>
  <si>
    <t>The Mother</t>
  </si>
  <si>
    <t>Fanfic</t>
  </si>
  <si>
    <t>Hard Feelings</t>
  </si>
  <si>
    <t>Mother's Day</t>
  </si>
  <si>
    <t>Where the Tracks End</t>
  </si>
  <si>
    <t>Family film</t>
  </si>
  <si>
    <t>A Beautiful Life</t>
  </si>
  <si>
    <t>Missed Connections</t>
  </si>
  <si>
    <t>Rich in Love 2</t>
  </si>
  <si>
    <t>You Do You</t>
  </si>
  <si>
    <t>Black Clover: Sword of the Wizard King</t>
  </si>
  <si>
    <t>iNumber Number: Jozi Gold</t>
  </si>
  <si>
    <t>Make Me Believe</t>
  </si>
  <si>
    <t>The Perfect Find</t>
  </si>
  <si>
    <t>Lust Stories 2</t>
  </si>
  <si>
    <t>Nimona</t>
  </si>
  <si>
    <t>CGI animation science fiction</t>
  </si>
  <si>
    <t>Gold Brick</t>
  </si>
  <si>
    <t>Seasons</t>
  </si>
  <si>
    <t>The Out-Laws</t>
  </si>
  <si>
    <t>Mr. Car and the Knights Templar</t>
  </si>
  <si>
    <t>Love Tactics 2</t>
  </si>
  <si>
    <t>The (Almost) Legends</t>
  </si>
  <si>
    <t>They Cloned Tyrone</t>
  </si>
  <si>
    <t>Sci-fi comedy mystery</t>
  </si>
  <si>
    <t>Happiness for Beginners</t>
  </si>
  <si>
    <t>Paradise</t>
  </si>
  <si>
    <t>Sci-fi action-thriller</t>
  </si>
  <si>
    <t>The Murderer</t>
  </si>
  <si>
    <t>Today We'll Talk About That Day</t>
  </si>
  <si>
    <t>Melodrama</t>
  </si>
  <si>
    <t>Big Nunu's Little Heist</t>
  </si>
  <si>
    <t>Soulcatcher</t>
  </si>
  <si>
    <t>Head to Head</t>
  </si>
  <si>
    <t>Thriller comedy</t>
  </si>
  <si>
    <t>Zom 100: Bucket List of the Dead</t>
  </si>
  <si>
    <t>Zombie apocalypse / comedy</t>
  </si>
  <si>
    <t>Heart of Stone</t>
  </si>
  <si>
    <t>10 Days of a Bad Man</t>
  </si>
  <si>
    <t>The Monkey King</t>
  </si>
  <si>
    <t>CGI animation action comedy</t>
  </si>
  <si>
    <t>Squared Love Everlasting</t>
  </si>
  <si>
    <t>Killer Book Club</t>
  </si>
  <si>
    <t>You Are So Not Invited to My Bat Mitzvah</t>
  </si>
  <si>
    <t>The Great Seduction</t>
  </si>
  <si>
    <t>A Day and a Half</t>
  </si>
  <si>
    <t>Friday Night Plan</t>
  </si>
  <si>
    <t>Happy Ending</t>
  </si>
  <si>
    <t>Freestyle</t>
  </si>
  <si>
    <t>Ehrengard: The Art of Seduction</t>
  </si>
  <si>
    <t>Once Upon a Crime</t>
  </si>
  <si>
    <t>El Conde</t>
  </si>
  <si>
    <t>Love at First Sight</t>
  </si>
  <si>
    <t>The Abyss</t>
  </si>
  <si>
    <t>Disaster</t>
  </si>
  <si>
    <t>Jaane Jaan</t>
  </si>
  <si>
    <t>Spy Kids: Armageddon</t>
  </si>
  <si>
    <t>Action-adventure</t>
  </si>
  <si>
    <t>The Black Book</t>
  </si>
  <si>
    <t>Forgotten Love</t>
  </si>
  <si>
    <t>Overhaul</t>
  </si>
  <si>
    <t>Street Flow 2</t>
  </si>
  <si>
    <t>Love Is in the Air</t>
  </si>
  <si>
    <t>Do Not Disturb</t>
  </si>
  <si>
    <t>Dramedy</t>
  </si>
  <si>
    <t>Nowhere</t>
  </si>
  <si>
    <t>Reptile</t>
  </si>
  <si>
    <t>Keys to the Heart</t>
  </si>
  <si>
    <t>Khufiya</t>
  </si>
  <si>
    <t>Fair Play</t>
  </si>
  <si>
    <t>A Deadly Invitation</t>
  </si>
  <si>
    <t>Ballerina</t>
  </si>
  <si>
    <t>Once Upon a Star</t>
  </si>
  <si>
    <t>The Conference</t>
  </si>
  <si>
    <t>Slasher comedy</t>
  </si>
  <si>
    <t>Crypto Boy</t>
  </si>
  <si>
    <t>Kandasamys: The Baby</t>
  </si>
  <si>
    <t>Old Dads</t>
  </si>
  <si>
    <t>Burning Betrayal</t>
  </si>
  <si>
    <t>Pain Hustlers</t>
  </si>
  <si>
    <t>Sister Death</t>
  </si>
  <si>
    <t>Hurricane Season</t>
  </si>
  <si>
    <t>Locked In</t>
  </si>
  <si>
    <t>Nuovo Olimpo</t>
  </si>
  <si>
    <t>Wingwomen</t>
  </si>
  <si>
    <t>Action  dramedy</t>
  </si>
  <si>
    <t>Nyad</t>
  </si>
  <si>
    <t>The Killer</t>
  </si>
  <si>
    <t>Neo-noir action thriller</t>
  </si>
  <si>
    <t>Best. Christmas. Ever!</t>
  </si>
  <si>
    <t>In Love and Deep Water</t>
  </si>
  <si>
    <t>Romantic mystery comedy</t>
  </si>
  <si>
    <t>Believer 2</t>
  </si>
  <si>
    <t>Crime action</t>
  </si>
  <si>
    <t>Rustin</t>
  </si>
  <si>
    <t>All-Time High</t>
  </si>
  <si>
    <t>The Queenstown Kings</t>
  </si>
  <si>
    <t>Leo</t>
  </si>
  <si>
    <t>CGI animation musical</t>
  </si>
  <si>
    <t>I Don't Expect Anyone to Believe Me</t>
  </si>
  <si>
    <t>Comedy-thriller</t>
  </si>
  <si>
    <t>Doi Boy</t>
  </si>
  <si>
    <t>Elena Knows</t>
  </si>
  <si>
    <t>Last Call for Istanbul</t>
  </si>
  <si>
    <t>Wedding Games</t>
  </si>
  <si>
    <t>Family Switch</t>
  </si>
  <si>
    <t>Christmas as Usual</t>
  </si>
  <si>
    <t>NAGA</t>
  </si>
  <si>
    <t>The Archies</t>
  </si>
  <si>
    <t>Blood Vessel</t>
  </si>
  <si>
    <t>Leave the World Behind</t>
  </si>
  <si>
    <t>Chicken Run: Dawn of the Nugget</t>
  </si>
  <si>
    <t>Stop motion action comedy</t>
  </si>
  <si>
    <t>Familia</t>
  </si>
  <si>
    <t>Maestro</t>
  </si>
  <si>
    <t>The Taming of the Shrewd 2</t>
  </si>
  <si>
    <t>A Vampire in the Family</t>
  </si>
  <si>
    <t>Kho Gaye Hum Kahan</t>
  </si>
  <si>
    <t>Thank You, I'm Sorry</t>
  </si>
  <si>
    <t>Lift</t>
  </si>
  <si>
    <t>Action comedy-thriller</t>
  </si>
  <si>
    <t>From the Ashes</t>
  </si>
  <si>
    <t>Sixty Minutes</t>
  </si>
  <si>
    <t>Badland Hunters</t>
  </si>
  <si>
    <t>Dystopian action</t>
  </si>
  <si>
    <t>Orion and the Dark</t>
  </si>
  <si>
    <t>CGI animated fantasy adventure</t>
  </si>
  <si>
    <t>Ashes</t>
  </si>
  <si>
    <t>Bhakshak</t>
  </si>
  <si>
    <t>Kill Me If You Dare</t>
  </si>
  <si>
    <t>Players</t>
  </si>
  <si>
    <t>The Heartbreak Agency</t>
  </si>
  <si>
    <t>Code 8: Part II</t>
  </si>
  <si>
    <t>The Parades</t>
  </si>
  <si>
    <t>My Name Is Loh Kiwan</t>
  </si>
  <si>
    <t>Spaceman</t>
  </si>
  <si>
    <t>Science fiction drama</t>
  </si>
  <si>
    <t>Damsel</t>
  </si>
  <si>
    <t>Fantasy action</t>
  </si>
  <si>
    <t>Art of Love</t>
  </si>
  <si>
    <t>Irish Wish</t>
  </si>
  <si>
    <t>Murder Mubarak</t>
  </si>
  <si>
    <t>The Wonderful Story of Henry Sugar and Three More</t>
  </si>
  <si>
    <t>Fantasy anthology</t>
  </si>
  <si>
    <t>Shirley</t>
  </si>
  <si>
    <t>The Casagrandes Movie</t>
  </si>
  <si>
    <t>Rest in Peace</t>
  </si>
  <si>
    <t>No Pressure</t>
  </si>
  <si>
    <t>Heart of the Hunter</t>
  </si>
  <si>
    <t>The Beautiful Game</t>
  </si>
  <si>
    <t>The Wages of Fear</t>
  </si>
  <si>
    <t>The Tearsmith</t>
  </si>
  <si>
    <t>Scoop</t>
  </si>
  <si>
    <t>A Journey</t>
  </si>
  <si>
    <t>Amar Singh Chamkila</t>
  </si>
  <si>
    <t>Romantic musical</t>
  </si>
  <si>
    <t>Love, Divided</t>
  </si>
  <si>
    <t>Stolen</t>
  </si>
  <si>
    <t>Woody Woodpecker Goes to Camp</t>
  </si>
  <si>
    <t>Slapstick comedy</t>
  </si>
  <si>
    <t>City Hunter</t>
  </si>
  <si>
    <t>Honeymoonish</t>
  </si>
  <si>
    <t>Down the Rabbit Hole</t>
  </si>
  <si>
    <t>Deadpan comedy</t>
  </si>
  <si>
    <t>Beautiful Rebel</t>
  </si>
  <si>
    <t>Unfrosted</t>
  </si>
  <si>
    <t>Mother of the Bride</t>
  </si>
  <si>
    <t>Thelma the Unicorn</t>
  </si>
  <si>
    <t>CGI animated musical</t>
  </si>
  <si>
    <t>In Good Hands 2</t>
  </si>
  <si>
    <t>Atlas</t>
  </si>
  <si>
    <t>My Oni Girl</t>
  </si>
  <si>
    <t>Bionic</t>
  </si>
  <si>
    <t>Colors of Evil: Red</t>
  </si>
  <si>
    <t>A Part of You</t>
  </si>
  <si>
    <t>Coming-of-age drama</t>
  </si>
  <si>
    <t>The Price of Nonna's Inheritance</t>
  </si>
  <si>
    <t>Under Paris</t>
  </si>
  <si>
    <t>Basma</t>
  </si>
  <si>
    <t>Ultraman: Rising</t>
  </si>
  <si>
    <t>CGI animated superhero</t>
  </si>
  <si>
    <t>Inheritance</t>
  </si>
  <si>
    <t>Maharaj</t>
  </si>
  <si>
    <t>Period drama</t>
  </si>
  <si>
    <t>Trigger Warning</t>
  </si>
  <si>
    <t>Drawing Closer</t>
  </si>
  <si>
    <t>A Family Affair</t>
  </si>
  <si>
    <t>Beverly Hills Cop: Axel F</t>
  </si>
  <si>
    <t>Buddy cop</t>
  </si>
  <si>
    <t>Goyo</t>
  </si>
  <si>
    <t>Wild Wild Punjab</t>
  </si>
  <si>
    <t>Vanished into the Night</t>
  </si>
  <si>
    <t>Blame the Game</t>
  </si>
  <si>
    <t>Lobola Man</t>
  </si>
  <si>
    <t>The Champion</t>
  </si>
  <si>
    <t>Find Me Falling</t>
  </si>
  <si>
    <t>House of Ga'a</t>
  </si>
  <si>
    <t>Non Negotiable</t>
  </si>
  <si>
    <t>Borderless Fog</t>
  </si>
  <si>
    <t>Saving Bikini Bottom: The Sandy Cheeks Movie</t>
  </si>
  <si>
    <t>CGI animated comedy</t>
  </si>
  <si>
    <t>Lolo and the Kid</t>
  </si>
  <si>
    <t>Mission: Cross</t>
  </si>
  <si>
    <t>Crime comedy spy</t>
  </si>
  <si>
    <t>Phir Aayi Hasseen Dillruba</t>
  </si>
  <si>
    <t>The Union</t>
  </si>
  <si>
    <t>Nice Girls</t>
  </si>
  <si>
    <t>Incoming</t>
  </si>
  <si>
    <t>Untamed Royals</t>
  </si>
  <si>
    <t>The Deliverance</t>
  </si>
  <si>
    <t>(Un)lucky Sisters</t>
  </si>
  <si>
    <t>Rebel Ridge</t>
  </si>
  <si>
    <t>Boxer</t>
  </si>
  <si>
    <t>Sports drama</t>
  </si>
  <si>
    <t>Technoboys</t>
  </si>
  <si>
    <t>Officer Black Belt</t>
  </si>
  <si>
    <t>Sector 36</t>
  </si>
  <si>
    <t>Uglies</t>
  </si>
  <si>
    <t>Divorce</t>
  </si>
  <si>
    <t>A True Gentleman</t>
  </si>
  <si>
    <t>Rez Ball</t>
  </si>
  <si>
    <t>Trouble</t>
  </si>
  <si>
    <t>CTRL</t>
  </si>
  <si>
    <t>It's What's Inside</t>
  </si>
  <si>
    <t>Horror thriller</t>
  </si>
  <si>
    <t>The Platform 2</t>
  </si>
  <si>
    <t>In Her Place</t>
  </si>
  <si>
    <t>Lonely Planet</t>
  </si>
  <si>
    <t>Uprising</t>
  </si>
  <si>
    <t>Historical thriller</t>
  </si>
  <si>
    <t>Justice</t>
  </si>
  <si>
    <t>Outside</t>
  </si>
  <si>
    <t>Post-apocalyptic psychological thriller</t>
  </si>
  <si>
    <t>The Shadow Strays</t>
  </si>
  <si>
    <t>Happiness Is</t>
  </si>
  <si>
    <t>The Man Who Loved UFOs</t>
  </si>
  <si>
    <t>Family Pack</t>
  </si>
  <si>
    <t>Do Patti</t>
  </si>
  <si>
    <t>Mystery thriller</t>
  </si>
  <si>
    <t>Don't Move</t>
  </si>
  <si>
    <t>Thriller horror</t>
  </si>
  <si>
    <t>Time Cut</t>
  </si>
  <si>
    <t>Science fiction slasher</t>
  </si>
  <si>
    <t>Let Go</t>
  </si>
  <si>
    <t>Meet Me Next Christmas</t>
  </si>
  <si>
    <t>Pedro PÃ¡ramo</t>
  </si>
  <si>
    <t>10 Days of a Curious Man</t>
  </si>
  <si>
    <t>Umjolo: The Gone Girl</t>
  </si>
  <si>
    <t>Vijay 69</t>
  </si>
  <si>
    <t>Hot Frosty</t>
  </si>
  <si>
    <t>GTMAX</t>
  </si>
  <si>
    <t>The Merry Gentlemen</t>
  </si>
  <si>
    <t>Maybe Baby 2</t>
  </si>
  <si>
    <t>Joy</t>
  </si>
  <si>
    <t>Spellbound</t>
  </si>
  <si>
    <t>CGI animated musical fantasy</t>
  </si>
  <si>
    <t>The Piano Lesson</t>
  </si>
  <si>
    <t>Our Little Secret</t>
  </si>
  <si>
    <t>Sikandar Ka Muqaddar</t>
  </si>
  <si>
    <t>The Snow Sister</t>
  </si>
  <si>
    <t>Holiday</t>
  </si>
  <si>
    <t>That Christmas</t>
  </si>
  <si>
    <t>CGI-animated Christmas fantasy comedy-drama</t>
  </si>
  <si>
    <t>The Children's Train</t>
  </si>
  <si>
    <t>Camp Crasher</t>
  </si>
  <si>
    <t>Mary</t>
  </si>
  <si>
    <t>Carry-On</t>
  </si>
  <si>
    <t>Disaster Holiday</t>
  </si>
  <si>
    <t>Ferry 2</t>
  </si>
  <si>
    <t>The Six Triple Eight</t>
  </si>
  <si>
    <t>Umjolo: Day Ones</t>
  </si>
  <si>
    <t>The Love Scam</t>
  </si>
  <si>
    <t>Ad Vitam</t>
  </si>
  <si>
    <t>Back in Action</t>
  </si>
  <si>
    <t>Lucca's World</t>
  </si>
  <si>
    <t>Kinda Pregnant</t>
  </si>
  <si>
    <t>The Witcher: Sirens of the Deep</t>
  </si>
  <si>
    <t>Animation</t>
  </si>
  <si>
    <t>Death Before the Wedding</t>
  </si>
  <si>
    <t>Honeymoon Crasher</t>
  </si>
  <si>
    <t>La Dolce Villa</t>
  </si>
  <si>
    <t>Dhoom Dhaam</t>
  </si>
  <si>
    <t>Love Forever</t>
  </si>
  <si>
    <t>The Most Beautiful Girl in the World</t>
  </si>
  <si>
    <t>Umjolo: There is No Cure</t>
  </si>
  <si>
    <t>A Copenhagen Love Story</t>
  </si>
  <si>
    <t>Demon City</t>
  </si>
  <si>
    <t>Revenge thriller</t>
  </si>
  <si>
    <t>The Wrong Track</t>
  </si>
  <si>
    <t>Sosyal Climbers</t>
  </si>
  <si>
    <t>Squad 36</t>
  </si>
  <si>
    <t>Delicious</t>
  </si>
  <si>
    <t>Nadaaniyan</t>
  </si>
  <si>
    <t>Plankton: The Movie</t>
  </si>
  <si>
    <t>CGI animation musical comedy</t>
  </si>
  <si>
    <t>The Electric State</t>
  </si>
  <si>
    <t>Science fiction adventure</t>
  </si>
  <si>
    <t>Little Siberia</t>
  </si>
  <si>
    <t>Revelations</t>
  </si>
  <si>
    <t>The Life List</t>
  </si>
  <si>
    <t>Promised Hearts</t>
  </si>
  <si>
    <t>Religious romantic drama</t>
  </si>
  <si>
    <t>Banger</t>
  </si>
  <si>
    <t>Comedy thriller</t>
  </si>
  <si>
    <t>Test</t>
  </si>
  <si>
    <t>The Dad Quest</t>
  </si>
  <si>
    <t>Frozen Hot Boys</t>
  </si>
  <si>
    <t>Meet the Khumalos</t>
  </si>
  <si>
    <t>iHostage</t>
  </si>
  <si>
    <t>Bullet Train Explosion</t>
  </si>
  <si>
    <t>Havoc</t>
  </si>
  <si>
    <t>Exterritorial</t>
  </si>
  <si>
    <t>The Biggest Fan</t>
  </si>
  <si>
    <t>Last Bullet</t>
  </si>
  <si>
    <t>Nonnas</t>
  </si>
  <si>
    <t>Fear Street: Prom Queen</t>
  </si>
  <si>
    <t>Off Track 2</t>
  </si>
  <si>
    <t>Sports comedy drama</t>
  </si>
  <si>
    <t>A Widow's Game</t>
  </si>
  <si>
    <t>Lost in Starlight</t>
  </si>
  <si>
    <t>Animated romantic drama</t>
  </si>
  <si>
    <t>The Heart Knows</t>
  </si>
  <si>
    <t>K.O.</t>
  </si>
  <si>
    <t>Straw</t>
  </si>
  <si>
    <t>Our Times</t>
  </si>
  <si>
    <t>KPop Demon Hunters</t>
  </si>
  <si>
    <t>Semi-Soeter</t>
  </si>
  <si>
    <t>The Old Guard 2</t>
  </si>
  <si>
    <t>Ziam</t>
  </si>
  <si>
    <t>Brick</t>
  </si>
  <si>
    <t>Aap Jaisa Koi</t>
  </si>
  <si>
    <t>Almost Cops</t>
  </si>
  <si>
    <t>Madea's Destination Wedding</t>
  </si>
  <si>
    <t>Almost Family</t>
  </si>
  <si>
    <t>Wall to Wall</t>
  </si>
  <si>
    <t>Suspense thriller</t>
  </si>
  <si>
    <t>A Normal Woman</t>
  </si>
  <si>
    <t>Happy Gilmore 2</t>
  </si>
  <si>
    <t>An Honest Life</t>
  </si>
  <si>
    <t>My Oxford Year</t>
  </si>
  <si>
    <t>Coming-of-age romantic comedy</t>
  </si>
  <si>
    <t>Fixed</t>
  </si>
  <si>
    <t>Adult animated romantic comedy</t>
  </si>
  <si>
    <t>Night Always Comes</t>
  </si>
  <si>
    <t>Fall for Me</t>
  </si>
  <si>
    <t>Gold Rush Gang</t>
  </si>
  <si>
    <t>Historical drama</t>
  </si>
  <si>
    <t>One Hit Wonder</t>
  </si>
  <si>
    <t>Abandoned Man</t>
  </si>
  <si>
    <t>Fantasy Football Ruined Our Lives</t>
  </si>
  <si>
    <t>Planet Single: Greek Adventure</t>
  </si>
  <si>
    <t>The Thursday Murder Club</t>
  </si>
  <si>
    <t>Love Untangled</t>
  </si>
  <si>
    <t>Coming-of-age romance</t>
  </si>
  <si>
    <t>Inspector Zende</t>
  </si>
  <si>
    <t>Kontrabida Academy</t>
  </si>
  <si>
    <t>The Wrong Paris</t>
  </si>
  <si>
    <t>Same Day with Someone</t>
  </si>
  <si>
    <t>She Said Maybe</t>
  </si>
  <si>
    <t>French Lover</t>
  </si>
  <si>
    <t>Mantis</t>
  </si>
  <si>
    <t>Ruth &amp; Boaz</t>
  </si>
  <si>
    <t>Steve</t>
  </si>
  <si>
    <t>Caramelo</t>
  </si>
  <si>
    <t>Swim to Me</t>
  </si>
  <si>
    <t>The Woman in Cabin 10</t>
  </si>
  <si>
    <t>Everybody Loves Me When I'm Dead</t>
  </si>
  <si>
    <t>Inside Furioza</t>
  </si>
  <si>
    <t>The Time That Remains</t>
  </si>
  <si>
    <t>27 Nights</t>
  </si>
  <si>
    <t>Good News</t>
  </si>
  <si>
    <t>She Walks in Darkness</t>
  </si>
  <si>
    <t>The Twits</t>
  </si>
  <si>
    <t>The Elixir</t>
  </si>
  <si>
    <t>Zombie thriller</t>
  </si>
  <si>
    <t>A House of Dynamite</t>
  </si>
  <si>
    <t>Ballad of a Small Player</t>
  </si>
  <si>
    <t>Frankenstein</t>
  </si>
  <si>
    <t>Gothic science fiction</t>
  </si>
  <si>
    <t>Mango</t>
  </si>
  <si>
    <t>A Merry Little Ex-Mas</t>
  </si>
  <si>
    <t>Tee Yai: Born to Be Bad</t>
  </si>
  <si>
    <t>In Your Dreams</t>
  </si>
  <si>
    <t>CGI animation fantasy</t>
  </si>
  <si>
    <t>Lefter: The Story of the Ordinarius</t>
  </si>
  <si>
    <t>Champagne Problems</t>
  </si>
  <si>
    <t>The Son of a Thousand Men</t>
  </si>
  <si>
    <t>The Follies</t>
  </si>
  <si>
    <t>Anthology drama</t>
  </si>
  <si>
    <t>Train Dreams</t>
  </si>
  <si>
    <t>Jingle Bell Heist</t>
  </si>
  <si>
    <t>Troll 2</t>
  </si>
  <si>
    <t>My Secret Santa</t>
  </si>
  <si>
    <t>I Wish You Had Told Me</t>
  </si>
  <si>
    <t>Jay Kelly</t>
  </si>
  <si>
    <t>Love and Wine</t>
  </si>
  <si>
    <t>Stephen</t>
  </si>
  <si>
    <t>The Night My Dad Saved Christmas 2</t>
  </si>
  <si>
    <t>Lost in the Spotlight</t>
  </si>
  <si>
    <t>The Fakenapping</t>
  </si>
  <si>
    <t>A Time for Bravery</t>
  </si>
  <si>
    <t>The Great Flood</t>
  </si>
  <si>
    <t>Goodbye June</t>
  </si>
  <si>
    <t>The Tax Collector</t>
  </si>
  <si>
    <t>Action,Crime,Drama</t>
  </si>
  <si>
    <t>cinema-flop</t>
  </si>
  <si>
    <t>The Man in the Hat</t>
  </si>
  <si>
    <t>Comedy,Drama</t>
  </si>
  <si>
    <t>TV-MA</t>
  </si>
  <si>
    <t>Host</t>
  </si>
  <si>
    <t>Horror,Mystery</t>
  </si>
  <si>
    <t>cinema-hit</t>
  </si>
  <si>
    <t>The Reckoning</t>
  </si>
  <si>
    <t>Drama,Mystery,Thriller</t>
  </si>
  <si>
    <t>The House Next Door: Meet the Blacks 2</t>
  </si>
  <si>
    <t>Action,Comedy,Horror</t>
  </si>
  <si>
    <t>Annaatthe</t>
  </si>
  <si>
    <t>Action,Comedy,Drama</t>
  </si>
  <si>
    <t>Terrifier 2</t>
  </si>
  <si>
    <t>The Lair</t>
  </si>
  <si>
    <t>Action,Horror,Sci-Fi</t>
  </si>
  <si>
    <t>Jeanne du Barry</t>
  </si>
  <si>
    <t>Biography,Drama,History</t>
  </si>
  <si>
    <t>Dicks: The Musical</t>
  </si>
  <si>
    <t>Comedy,Musical</t>
  </si>
  <si>
    <t>Hanu Man</t>
  </si>
  <si>
    <t>Action,Adventure,Fantasy</t>
  </si>
  <si>
    <t>Devara Part 1</t>
  </si>
  <si>
    <t>Action,Adventure,Drama</t>
  </si>
  <si>
    <t>PAW Patrol: The Movie</t>
  </si>
  <si>
    <t>Action,Adventure,Animation</t>
  </si>
  <si>
    <t>The Wretched</t>
  </si>
  <si>
    <t>Terrifier 3</t>
  </si>
  <si>
    <t>The Call of the Wild</t>
  </si>
  <si>
    <t>Adventure,Drama,Family</t>
  </si>
  <si>
    <t>Dolittle</t>
  </si>
  <si>
    <t>Adventure,Comedy,Family</t>
  </si>
  <si>
    <t>Emma.</t>
  </si>
  <si>
    <t>Comedy,Drama,Romance</t>
  </si>
  <si>
    <t>Onward</t>
  </si>
  <si>
    <t>Adventure,Animation,Comedy</t>
  </si>
  <si>
    <t>I Still Believe</t>
  </si>
  <si>
    <t>Biography,Drama,Music</t>
  </si>
  <si>
    <t>Summerland</t>
  </si>
  <si>
    <t>Drama,Romance,War</t>
  </si>
  <si>
    <t>The Secret: Dare to Dream</t>
  </si>
  <si>
    <t>Drama,Romance</t>
  </si>
  <si>
    <t>The SpongeBob Movie: Sponge on the Run</t>
  </si>
  <si>
    <t>The War with Grandpa</t>
  </si>
  <si>
    <t>Comedy,Drama,Family</t>
  </si>
  <si>
    <t>Wolfwalkers</t>
  </si>
  <si>
    <t>The Croods: A New Age</t>
  </si>
  <si>
    <t>Lena and Snowball</t>
  </si>
  <si>
    <t>Tom and Jerry</t>
  </si>
  <si>
    <t>Spirit Untamed</t>
  </si>
  <si>
    <t>Peter Rabbit 2: The Runaway</t>
  </si>
  <si>
    <t>The Boss Baby: Family Business</t>
  </si>
  <si>
    <t>Space Jam: A New Legacy</t>
  </si>
  <si>
    <t>Clifford the Big Red Dog</t>
  </si>
  <si>
    <t>Encanto</t>
  </si>
  <si>
    <t>Animation,Comedy,Family</t>
  </si>
  <si>
    <t>Sing 2</t>
  </si>
  <si>
    <t>Turning Red</t>
  </si>
  <si>
    <t>The Bad Guys</t>
  </si>
  <si>
    <t>Sonic the Hedgehog 2</t>
  </si>
  <si>
    <t>Action,Adventure,Comedy</t>
  </si>
  <si>
    <t>Lightyear</t>
  </si>
  <si>
    <t>Minions: The Rise of Gru</t>
  </si>
  <si>
    <t>Paws of Fury: The Legend of Hank</t>
  </si>
  <si>
    <t>Mrs. Harris Goes to Paris</t>
  </si>
  <si>
    <t>Lyle, Lyle, Crocodile</t>
  </si>
  <si>
    <t>Strange World</t>
  </si>
  <si>
    <t>I Heard the Bells</t>
  </si>
  <si>
    <t>Biography,Drama,Family</t>
  </si>
  <si>
    <t>Puss in Boots: The Last Wish</t>
  </si>
  <si>
    <t>The Super Mario Bros. Movie</t>
  </si>
  <si>
    <t>The Little Mermaid</t>
  </si>
  <si>
    <t>Adventure,Family,Fantasy</t>
  </si>
  <si>
    <t>Animation,Comedy,Drama</t>
  </si>
  <si>
    <t>Spider-Man: Across the Spider-Verse</t>
  </si>
  <si>
    <t>Elemental</t>
  </si>
  <si>
    <t>Teenage Mutant Ninja Turtles: Mutant Mayhem</t>
  </si>
  <si>
    <t>PAW Patrol: The Mighty Movie</t>
  </si>
  <si>
    <t>Trolls Band Together</t>
  </si>
  <si>
    <t>Journey to Bethlehem</t>
  </si>
  <si>
    <t>Adventure,Family,Musical</t>
  </si>
  <si>
    <t>Wish</t>
  </si>
  <si>
    <t>Migration</t>
  </si>
  <si>
    <t>Wonka</t>
  </si>
  <si>
    <t>Kung Fu Panda 4</t>
  </si>
  <si>
    <t>Unsung Hero</t>
  </si>
  <si>
    <t>The Garfield Movie</t>
  </si>
  <si>
    <t>IF</t>
  </si>
  <si>
    <t>Inside Out 2</t>
  </si>
  <si>
    <t>Despicable Me 4</t>
  </si>
  <si>
    <t>Harold and the Purple Crayon</t>
  </si>
  <si>
    <t>The Forge</t>
  </si>
  <si>
    <t>Drama,Family</t>
  </si>
  <si>
    <t>Transformers One</t>
  </si>
  <si>
    <t>The Wild Robot</t>
  </si>
  <si>
    <t>Adventure,Animation,Family</t>
  </si>
  <si>
    <t>Wicked</t>
  </si>
  <si>
    <t>Fantasy,Musical,Romance</t>
  </si>
  <si>
    <t>Moana 2</t>
  </si>
  <si>
    <t>Mufasa: The Lion King</t>
  </si>
  <si>
    <t>Adventure,Animation,Drama</t>
  </si>
  <si>
    <t>Sonic the Hedgehog 3</t>
  </si>
  <si>
    <t>My Spy</t>
  </si>
  <si>
    <t>Action,Comedy</t>
  </si>
  <si>
    <t>The Turning</t>
  </si>
  <si>
    <t>Drama,Horror,Mystery</t>
  </si>
  <si>
    <t>Gretel &amp; Hansel</t>
  </si>
  <si>
    <t>Fantasy,Horror,Mystery</t>
  </si>
  <si>
    <t>Fantasy Island</t>
  </si>
  <si>
    <t>The Photograph</t>
  </si>
  <si>
    <t>Monster Hunter</t>
  </si>
  <si>
    <t>Brahms: The Boy II</t>
  </si>
  <si>
    <t>Impractical Jokers: The Movie</t>
  </si>
  <si>
    <t>The Banker</t>
  </si>
  <si>
    <t>Biography,Drama</t>
  </si>
  <si>
    <t>Greenland</t>
  </si>
  <si>
    <t>Action,Adventure,Thriller</t>
  </si>
  <si>
    <t>Words on Bathroom Walls</t>
  </si>
  <si>
    <t>Bill &amp; Ted Face the Music</t>
  </si>
  <si>
    <t>Adventure,Comedy,Music</t>
  </si>
  <si>
    <t>The New Mutants</t>
  </si>
  <si>
    <t>Action,Horror,Mystery</t>
  </si>
  <si>
    <t>Tenet</t>
  </si>
  <si>
    <t>Action,Sci-Fi,Thriller</t>
  </si>
  <si>
    <t>Mulan</t>
  </si>
  <si>
    <t>Honest Thief</t>
  </si>
  <si>
    <t>Love and Monsters</t>
  </si>
  <si>
    <t>All My Life</t>
  </si>
  <si>
    <t>Come Play</t>
  </si>
  <si>
    <t>Adventure,Drama,Sci-Fi</t>
  </si>
  <si>
    <t>Minari</t>
  </si>
  <si>
    <t>Wonder Woman 1984</t>
  </si>
  <si>
    <t>The Father</t>
  </si>
  <si>
    <t>Drama,Mystery</t>
  </si>
  <si>
    <t>News of the World</t>
  </si>
  <si>
    <t>The Marksman</t>
  </si>
  <si>
    <t>Action,Drama,Thriller</t>
  </si>
  <si>
    <t>Chaos Walking</t>
  </si>
  <si>
    <t>Godzilla vs. Kong</t>
  </si>
  <si>
    <t>The Unholy</t>
  </si>
  <si>
    <t>Voyagers</t>
  </si>
  <si>
    <t>Adventure,Mystery,Sci-Fi</t>
  </si>
  <si>
    <t>F9: The Fast Saga</t>
  </si>
  <si>
    <t>Action,Crime,Thriller</t>
  </si>
  <si>
    <t>In the Heights</t>
  </si>
  <si>
    <t>Drama,Musical,Romance</t>
  </si>
  <si>
    <t>Escape Room: Tournament of Champions</t>
  </si>
  <si>
    <t>Action,Adventure,Horror</t>
  </si>
  <si>
    <t>The Tomorrow War</t>
  </si>
  <si>
    <t>Black Widow</t>
  </si>
  <si>
    <t>Action,Adventure,Sci-Fi</t>
  </si>
  <si>
    <t>Old</t>
  </si>
  <si>
    <t>Jungle Cruise</t>
  </si>
  <si>
    <t>CODA</t>
  </si>
  <si>
    <t>Comedy,Drama,Music</t>
  </si>
  <si>
    <t>Reminiscence</t>
  </si>
  <si>
    <t>Mystery,Romance,Sci-Fi</t>
  </si>
  <si>
    <t>Shang-Chi and the Legend of the Ten Rings</t>
  </si>
  <si>
    <t>No Time to Die</t>
  </si>
  <si>
    <t>Eternals</t>
  </si>
  <si>
    <t>Action,Comedy,Thriller</t>
  </si>
  <si>
    <t>King Richard</t>
  </si>
  <si>
    <t>Biography,Drama,Sport</t>
  </si>
  <si>
    <t>Ghostbusters: Afterlife</t>
  </si>
  <si>
    <t>Adventure,Comedy,Fantasy</t>
  </si>
  <si>
    <t>Flee</t>
  </si>
  <si>
    <t>Animation,Biography,Documentary</t>
  </si>
  <si>
    <t>West Side Story</t>
  </si>
  <si>
    <t>Crime,Drama,Musical</t>
  </si>
  <si>
    <t>Spider-Man: No Way Home</t>
  </si>
  <si>
    <t>A Journal for Jordan</t>
  </si>
  <si>
    <t>The 355</t>
  </si>
  <si>
    <t>Action,Thriller</t>
  </si>
  <si>
    <t>Moonfall</t>
  </si>
  <si>
    <t>Death on the Nile</t>
  </si>
  <si>
    <t>Crime,Drama,Mystery</t>
  </si>
  <si>
    <t>Marry Me</t>
  </si>
  <si>
    <t>Comedy,Music,Romance</t>
  </si>
  <si>
    <t>Blacklight</t>
  </si>
  <si>
    <t>Uncharted</t>
  </si>
  <si>
    <t>Action,Adventure</t>
  </si>
  <si>
    <t>Dog</t>
  </si>
  <si>
    <t>Drama,Thriller</t>
  </si>
  <si>
    <t>The Batman</t>
  </si>
  <si>
    <t>The Lost City</t>
  </si>
  <si>
    <t>Morbius</t>
  </si>
  <si>
    <t>Fantastic Beasts: The Secrets of Dumbledore</t>
  </si>
  <si>
    <t>Adventure,Fantasy</t>
  </si>
  <si>
    <t>Doctor Strange in the Multiverse of Madness</t>
  </si>
  <si>
    <t>Top Gun: Maverick</t>
  </si>
  <si>
    <t>Action,Drama</t>
  </si>
  <si>
    <t>Jurassic World: Dominion</t>
  </si>
  <si>
    <t>Elvis</t>
  </si>
  <si>
    <t>Thor: Love and Thunder</t>
  </si>
  <si>
    <t>Action,Mystery,Thriller</t>
  </si>
  <si>
    <t>Where the Crawdads Sing</t>
  </si>
  <si>
    <t>Drama,Mystery,Romance</t>
  </si>
  <si>
    <t>Ticket to Paradise</t>
  </si>
  <si>
    <t>The Woman King</t>
  </si>
  <si>
    <t>Action,Drama,History</t>
  </si>
  <si>
    <t>Black Adam</t>
  </si>
  <si>
    <t>Black Panther: Wakanda Forever</t>
  </si>
  <si>
    <t>Avatar: The Way of Water</t>
  </si>
  <si>
    <t>A Man Called Otto</t>
  </si>
  <si>
    <t>M3GAN</t>
  </si>
  <si>
    <t>Horror,Sci-Fi,Thriller</t>
  </si>
  <si>
    <t>80 for Brady</t>
  </si>
  <si>
    <t>Comedy,Drama,Sport</t>
  </si>
  <si>
    <t>Ant-Man and the Wasp: Quantumania</t>
  </si>
  <si>
    <t>Jesus Revolution</t>
  </si>
  <si>
    <t>Creed III</t>
  </si>
  <si>
    <t>Action,Drama,Sport</t>
  </si>
  <si>
    <t>Dungeons &amp; Dragons: Honor Among Thieves</t>
  </si>
  <si>
    <t>Shazam! Fury of the Gods</t>
  </si>
  <si>
    <t>Knights of the Zodiac</t>
  </si>
  <si>
    <t>His Only Son</t>
  </si>
  <si>
    <t>Drama,History</t>
  </si>
  <si>
    <t>Fast X</t>
  </si>
  <si>
    <t>Action,Adventure,Crime</t>
  </si>
  <si>
    <t>Past Lives</t>
  </si>
  <si>
    <t>Transformers: Rise of the Beasts</t>
  </si>
  <si>
    <t>The Flash</t>
  </si>
  <si>
    <t>Indiana Jones and the Dial of Destiny</t>
  </si>
  <si>
    <t>Sound of Freedom</t>
  </si>
  <si>
    <t>Biography,Crime,Drama</t>
  </si>
  <si>
    <t>Insidious: The Red Door</t>
  </si>
  <si>
    <t>Horror,Mystery,Thriller</t>
  </si>
  <si>
    <t>Barbie</t>
  </si>
  <si>
    <t>Haunted Mansion</t>
  </si>
  <si>
    <t>Meg 2: The Trench</t>
  </si>
  <si>
    <t>Blue Beetle</t>
  </si>
  <si>
    <t>The Creator</t>
  </si>
  <si>
    <t>The Marvels</t>
  </si>
  <si>
    <t>The Hunger Games: The Ballad of Songbirds &amp; Snakes</t>
  </si>
  <si>
    <t>Next Goal Wins</t>
  </si>
  <si>
    <t>Occupied City</t>
  </si>
  <si>
    <t>Documentary,History,War</t>
  </si>
  <si>
    <t>Aquaman and the Lost Kingdom</t>
  </si>
  <si>
    <t>Mean Girls</t>
  </si>
  <si>
    <t>Argylle</t>
  </si>
  <si>
    <t>Madame Web</t>
  </si>
  <si>
    <t>Dune: Part Two</t>
  </si>
  <si>
    <t>The Fall Guy</t>
  </si>
  <si>
    <t>Imaginary</t>
  </si>
  <si>
    <t>Cabrini</t>
  </si>
  <si>
    <t>Arthur the King</t>
  </si>
  <si>
    <t>Adventure,Drama,Sport</t>
  </si>
  <si>
    <t>Ghostbusters: Frozen Empire</t>
  </si>
  <si>
    <t>Godzilla x Kong: The New Empire</t>
  </si>
  <si>
    <t>Tarot</t>
  </si>
  <si>
    <t>Kingdom of the Planet of the Apes</t>
  </si>
  <si>
    <t>The Watchers</t>
  </si>
  <si>
    <t>A Quiet Place: Day One</t>
  </si>
  <si>
    <t>Drama,Horror,Sci-Fi</t>
  </si>
  <si>
    <t>Sound of Hope: The Story of Possum Trot</t>
  </si>
  <si>
    <t>Fly Me to the Moon</t>
  </si>
  <si>
    <t>Comedy,Romance</t>
  </si>
  <si>
    <t>Twisters</t>
  </si>
  <si>
    <t>Afraid</t>
  </si>
  <si>
    <t>Horror,Mystery,Sci-Fi</t>
  </si>
  <si>
    <t>Reagan</t>
  </si>
  <si>
    <t>Beetlejuice Beetlejuice</t>
  </si>
  <si>
    <t>Comedy,Fantasy,Horror</t>
  </si>
  <si>
    <t>Am I Racist?</t>
  </si>
  <si>
    <t>Comedy,Documentary</t>
  </si>
  <si>
    <t>Venom: The Last Dance</t>
  </si>
  <si>
    <t>Action,Fantasy,Horror</t>
  </si>
  <si>
    <t>Here</t>
  </si>
  <si>
    <t>Red One</t>
  </si>
  <si>
    <t>The Lord of the Rings: The War of the Rohirrim</t>
  </si>
  <si>
    <t>Like a Boss</t>
  </si>
  <si>
    <t>The Assistant</t>
  </si>
  <si>
    <t>The Rhythm Section</t>
  </si>
  <si>
    <t>Action,Drama,Mystery</t>
  </si>
  <si>
    <t>The Invisible Man</t>
  </si>
  <si>
    <t>The Way Back</t>
  </si>
  <si>
    <t>Drama,Sport</t>
  </si>
  <si>
    <t>The Hunt</t>
  </si>
  <si>
    <t>Action,Horror,Thriller</t>
  </si>
  <si>
    <t>Firestarter</t>
  </si>
  <si>
    <t>Documentary</t>
  </si>
  <si>
    <t>Palm Springs</t>
  </si>
  <si>
    <t>Comedy,Fantasy,Mystery</t>
  </si>
  <si>
    <t>Unhinged</t>
  </si>
  <si>
    <t>Cut Throat City</t>
  </si>
  <si>
    <t>The Killing of Two Lovers</t>
  </si>
  <si>
    <t>Drama,History,Thriller</t>
  </si>
  <si>
    <t>Freaky</t>
  </si>
  <si>
    <t>Comedy,Horror,Thriller</t>
  </si>
  <si>
    <t>Echo Boomers</t>
  </si>
  <si>
    <t>The Little Things</t>
  </si>
  <si>
    <t>Judas and the Black Messiah</t>
  </si>
  <si>
    <t>The Conjuring: The Devil Made Me Do It</t>
  </si>
  <si>
    <t>Nobody</t>
  </si>
  <si>
    <t>Mortal Kombat</t>
  </si>
  <si>
    <t>Wrath of Man</t>
  </si>
  <si>
    <t>Spiral</t>
  </si>
  <si>
    <t>Lansky</t>
  </si>
  <si>
    <t>The Forever Purge</t>
  </si>
  <si>
    <t>Annette</t>
  </si>
  <si>
    <t>Midnight in the Switchgrass</t>
  </si>
  <si>
    <t>Crime,Mystery,Thriller</t>
  </si>
  <si>
    <t>The Suicide Squad</t>
  </si>
  <si>
    <t>The Green Knight</t>
  </si>
  <si>
    <t>Adventure,Drama,Fantasy</t>
  </si>
  <si>
    <t>Malignant</t>
  </si>
  <si>
    <t>Crime,Horror,Mystery</t>
  </si>
  <si>
    <t>The Many Saints of Newark</t>
  </si>
  <si>
    <t>Crime,Drama</t>
  </si>
  <si>
    <t>The Last Duel</t>
  </si>
  <si>
    <t>Halloween Kills</t>
  </si>
  <si>
    <t>Action,Drama,Horror</t>
  </si>
  <si>
    <t>Last Night in Soho</t>
  </si>
  <si>
    <t>A Mouthful of Air</t>
  </si>
  <si>
    <t>Drama,Western</t>
  </si>
  <si>
    <t>Resident Evil: Welcome to Raccoon City</t>
  </si>
  <si>
    <t>House of Gucci</t>
  </si>
  <si>
    <t>Licorice Pizza</t>
  </si>
  <si>
    <t>National Champions</t>
  </si>
  <si>
    <t>The Matrix Resurrections</t>
  </si>
  <si>
    <t>Action,Sci-Fi</t>
  </si>
  <si>
    <t>Nightmare Alley</t>
  </si>
  <si>
    <t>Crime,Drama,Thriller</t>
  </si>
  <si>
    <t>Scream</t>
  </si>
  <si>
    <t>A Day to Die</t>
  </si>
  <si>
    <t>Ambulance</t>
  </si>
  <si>
    <t>X</t>
  </si>
  <si>
    <t>The Outfit</t>
  </si>
  <si>
    <t>The Unbearable Weight of Massive Talent</t>
  </si>
  <si>
    <t>Action,Comedy,Crime</t>
  </si>
  <si>
    <t>Father Stu</t>
  </si>
  <si>
    <t>Good Luck to You, Leo Grande</t>
  </si>
  <si>
    <t>Bullet Train</t>
  </si>
  <si>
    <t>Nope</t>
  </si>
  <si>
    <t>Triangle of Sadness</t>
  </si>
  <si>
    <t>Beast</t>
  </si>
  <si>
    <t>Three Thousand Years of Longing</t>
  </si>
  <si>
    <t>Drama,Fantasy,Romance</t>
  </si>
  <si>
    <t>Barbarian</t>
  </si>
  <si>
    <t>Armageddon Time</t>
  </si>
  <si>
    <t>Smile</t>
  </si>
  <si>
    <t>Amsterdam</t>
  </si>
  <si>
    <t>Comedy,Drama,History</t>
  </si>
  <si>
    <t>Halloween Ends</t>
  </si>
  <si>
    <t>Horror,Mystery,Romance</t>
  </si>
  <si>
    <t>The Banshees of Inisherin</t>
  </si>
  <si>
    <t>The Menu</t>
  </si>
  <si>
    <t>The Inspection</t>
  </si>
  <si>
    <t>Violent Night</t>
  </si>
  <si>
    <t>The Whale</t>
  </si>
  <si>
    <t>Babylon</t>
  </si>
  <si>
    <t>Knock at the Cabin</t>
  </si>
  <si>
    <t>Scream VI</t>
  </si>
  <si>
    <t>John Wick: Chapter 4</t>
  </si>
  <si>
    <t>Renfield</t>
  </si>
  <si>
    <t>Action,Comedy,Fantasy</t>
  </si>
  <si>
    <t>Mafia Mamma</t>
  </si>
  <si>
    <t>The Machine</t>
  </si>
  <si>
    <t>No Hard Feelings</t>
  </si>
  <si>
    <t>Oppenheimer</t>
  </si>
  <si>
    <t>Strays</t>
  </si>
  <si>
    <t>Adventure,Comedy</t>
  </si>
  <si>
    <t>The Last Voyage of the Demeter</t>
  </si>
  <si>
    <t>Fantasy,Horror,Thriller</t>
  </si>
  <si>
    <t>Bottoms</t>
  </si>
  <si>
    <t>Dumb Money</t>
  </si>
  <si>
    <t>Biography,Comedy,Drama</t>
  </si>
  <si>
    <t>Saw X</t>
  </si>
  <si>
    <t>The Exorcist: Believer</t>
  </si>
  <si>
    <t>Killers of the Flower Moon</t>
  </si>
  <si>
    <t>Crime,Drama,History</t>
  </si>
  <si>
    <t>Priscilla</t>
  </si>
  <si>
    <t>Thanksgiving</t>
  </si>
  <si>
    <t>Napoleon</t>
  </si>
  <si>
    <t>Action,Adventure,Biography</t>
  </si>
  <si>
    <t>Ferrari</t>
  </si>
  <si>
    <t>American Fiction</t>
  </si>
  <si>
    <t>The Iron Claw</t>
  </si>
  <si>
    <t>Anyone But You</t>
  </si>
  <si>
    <t>Civil War</t>
  </si>
  <si>
    <t>Action,Thriller,War</t>
  </si>
  <si>
    <t>Abigail</t>
  </si>
  <si>
    <t>Challengers</t>
  </si>
  <si>
    <t>The Strangers: Chapter 1</t>
  </si>
  <si>
    <t>Furiosa: A Mad Max Saga</t>
  </si>
  <si>
    <t>Bad Boys: Ride or Die</t>
  </si>
  <si>
    <t>Deadpool &amp; Wolverine</t>
  </si>
  <si>
    <t>Speak No Evil</t>
  </si>
  <si>
    <t>Drama,Horror,Thriller</t>
  </si>
  <si>
    <t>Alien: Romulus</t>
  </si>
  <si>
    <t>The Crow</t>
  </si>
  <si>
    <t>Action,Crime,Fantasy</t>
  </si>
  <si>
    <t>Kraven the Hunter</t>
  </si>
  <si>
    <t>Never Let Go</t>
  </si>
  <si>
    <t>Joker: Folie Ã  Deux</t>
  </si>
  <si>
    <t>Drama,Musical,Thriller</t>
  </si>
  <si>
    <t>The Apprentice</t>
  </si>
  <si>
    <t>Gladiator II</t>
  </si>
  <si>
    <t>Putin</t>
  </si>
  <si>
    <t>One of Them Days</t>
  </si>
  <si>
    <t>Flight Risk</t>
  </si>
  <si>
    <t>distributor</t>
  </si>
  <si>
    <t>Original</t>
  </si>
  <si>
    <t>Franchise</t>
  </si>
  <si>
    <t>combined</t>
  </si>
  <si>
    <t>commitment_logic</t>
  </si>
  <si>
    <t>conveninec logic</t>
  </si>
  <si>
    <t>quadrant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</si>
</sst>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5B60-7E2F-4284-9C2B-FFDD5413AC09}">
  <dimension ref="A1:T1089"/>
  <sheetViews>
    <sheetView tabSelected="1" topLeftCell="A860" workbookViewId="0">
      <selection activeCell="M801" sqref="M801"/>
    </sheetView>
  </sheetViews>
  <sheetFormatPr defaultRowHeight="14.5" x14ac:dyDescent="0.35"/>
  <cols>
    <col min="2" max="2" width="11.26953125" bestFit="1" customWidth="1"/>
    <col min="7" max="7" width="40.26953125" bestFit="1" customWidth="1"/>
    <col min="8" max="8" width="11.453125" bestFit="1" customWidth="1"/>
    <col min="13" max="13" width="12.6328125" bestFit="1" customWidth="1"/>
    <col min="14" max="14" width="9.1796875" bestFit="1" customWidth="1"/>
    <col min="15" max="15" width="10.36328125" bestFit="1" customWidth="1"/>
    <col min="16" max="16" width="12.1796875" customWidth="1"/>
    <col min="17" max="17" width="8.81640625" bestFit="1" customWidth="1"/>
    <col min="20" max="20" width="13.3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1384</v>
      </c>
      <c r="O1" t="s">
        <v>1385</v>
      </c>
      <c r="P1" t="s">
        <v>1386</v>
      </c>
      <c r="Q1" t="s">
        <v>1387</v>
      </c>
      <c r="R1" t="s">
        <v>1388</v>
      </c>
      <c r="S1" t="s">
        <v>1389</v>
      </c>
      <c r="T1" t="s">
        <v>1390</v>
      </c>
    </row>
    <row r="2" spans="1:20" x14ac:dyDescent="0.35">
      <c r="A2" t="s">
        <v>13</v>
      </c>
      <c r="B2" s="1">
        <v>43831</v>
      </c>
      <c r="C2">
        <v>2020</v>
      </c>
      <c r="D2">
        <v>1</v>
      </c>
      <c r="E2" t="s">
        <v>14</v>
      </c>
      <c r="F2">
        <v>144</v>
      </c>
      <c r="G2" t="s">
        <v>15</v>
      </c>
      <c r="H2" t="s">
        <v>16</v>
      </c>
      <c r="I2">
        <v>0</v>
      </c>
      <c r="J2">
        <v>0</v>
      </c>
      <c r="K2">
        <v>4.5</v>
      </c>
      <c r="L2">
        <v>6261</v>
      </c>
      <c r="M2" t="s">
        <v>17</v>
      </c>
      <c r="N2" t="str">
        <f>IF(ISNUMBER(SEARCH("Streaming", M2)), "streaming", "cinema")</f>
        <v>streaming</v>
      </c>
      <c r="O2" t="str">
        <f>IF(I2=1, "original", "non-original")</f>
        <v>non-original</v>
      </c>
      <c r="P2" t="str">
        <f>IF(J2 = 1, "franchise", "non-franchise")</f>
        <v>non-franchise</v>
      </c>
      <c r="Q2" t="str">
        <f>IF(OR(I2 = 1,J2 =1), "old", "new")</f>
        <v>new</v>
      </c>
      <c r="R2" s="2">
        <f>IF(Q2="old", 1.5, 1) * (L2 / MAX($L$2:$L$1000)) * (F2 / MAX($F$2:$F$1000))</f>
        <v>3.3690342456824535E-3</v>
      </c>
      <c r="S2">
        <f>IF(Q2="new", 1.5, 1) * (K2 / 10) * (1 - (F2 / MAX($F$2:$F$1000)))</f>
        <v>0.30958646616541358</v>
      </c>
      <c r="T2" t="str">
        <f>IF(AND(R2&gt;=0.03, S2&gt;=0.5), "Scenario 4: Hybrid Logic",
 IF(AND(R2&gt;=0.03, S2&lt;0.5), "Scenario 1: Strong Commitment",
  IF(AND(R2&lt;0.03, S2&gt;=0.5), "Scenario 3: Strong Convenience",
   "Scenario 2: Weak Commitment/Convenience")))</f>
        <v>Scenario 2: Weak Commitment/Convenience</v>
      </c>
    </row>
    <row r="3" spans="1:20" x14ac:dyDescent="0.35">
      <c r="A3" t="s">
        <v>18</v>
      </c>
      <c r="B3" s="1">
        <v>43847</v>
      </c>
      <c r="C3">
        <v>2020</v>
      </c>
      <c r="D3">
        <v>1</v>
      </c>
      <c r="E3" t="s">
        <v>14</v>
      </c>
      <c r="F3">
        <v>120</v>
      </c>
      <c r="G3" t="s">
        <v>19</v>
      </c>
      <c r="H3" t="s">
        <v>16</v>
      </c>
      <c r="I3">
        <v>0</v>
      </c>
      <c r="J3">
        <v>0</v>
      </c>
      <c r="K3">
        <v>5.9</v>
      </c>
      <c r="L3">
        <v>18626</v>
      </c>
      <c r="M3" t="s">
        <v>17</v>
      </c>
      <c r="N3" t="str">
        <f t="shared" ref="N3:N66" si="0">IF(ISNUMBER(SEARCH("Streaming", M3)), "streaming", "cinema")</f>
        <v>streaming</v>
      </c>
      <c r="O3" t="str">
        <f t="shared" ref="O3:O66" si="1">IF(I3=1, "original", "non-original")</f>
        <v>non-original</v>
      </c>
      <c r="P3" t="str">
        <f t="shared" ref="P3:P66" si="2">IF(J3 = 1, "franchise", "non-franchise")</f>
        <v>non-franchise</v>
      </c>
      <c r="Q3" t="str">
        <f t="shared" ref="Q3:Q66" si="3">IF(OR(I3 = 1,J3 =1), "old", "new")</f>
        <v>new</v>
      </c>
      <c r="R3" s="2">
        <f t="shared" ref="R3:R66" si="4">IF(Q3="old", 1.5, 1) * (L3 / MAX($L$2:$L$1000)) * (F3 / MAX($F$2:$F$1000))</f>
        <v>8.3521844034607582E-3</v>
      </c>
      <c r="S3">
        <f t="shared" ref="S3:S66" si="5">IF(Q3="new", 1.5, 1) * (K3 / 10) * (1 - (F3 / MAX($F$2:$F$1000)))</f>
        <v>0.48575187969924821</v>
      </c>
      <c r="T3" t="str">
        <f t="shared" ref="T3:T66" si="6">IF(AND(R3&gt;=0.03, S3&gt;=0.5), "Scenario 4: Hybrid Logic",
 IF(AND(R3&gt;=0.03, S3&lt;0.5), "Scenario 1: Strong Commitment",
  IF(AND(R3&lt;0.03, S3&gt;=0.5), "Scenario 3: Strong Convenience",
   "Scenario 2: Weak Commitment/Convenience")))</f>
        <v>Scenario 2: Weak Commitment/Convenience</v>
      </c>
    </row>
    <row r="4" spans="1:20" x14ac:dyDescent="0.35">
      <c r="A4" t="s">
        <v>20</v>
      </c>
      <c r="B4" s="1">
        <v>43853</v>
      </c>
      <c r="C4">
        <v>2020</v>
      </c>
      <c r="D4">
        <v>1</v>
      </c>
      <c r="E4" t="s">
        <v>14</v>
      </c>
      <c r="F4">
        <v>96</v>
      </c>
      <c r="G4" t="s">
        <v>21</v>
      </c>
      <c r="H4" t="s">
        <v>16</v>
      </c>
      <c r="I4">
        <v>0</v>
      </c>
      <c r="J4">
        <v>0</v>
      </c>
      <c r="K4">
        <v>5.2</v>
      </c>
      <c r="L4">
        <v>3235</v>
      </c>
      <c r="M4" t="s">
        <v>17</v>
      </c>
      <c r="N4" t="str">
        <f t="shared" si="0"/>
        <v>streaming</v>
      </c>
      <c r="O4" t="str">
        <f t="shared" si="1"/>
        <v>non-original</v>
      </c>
      <c r="P4" t="str">
        <f t="shared" si="2"/>
        <v>non-franchise</v>
      </c>
      <c r="Q4" t="str">
        <f t="shared" si="3"/>
        <v>new</v>
      </c>
      <c r="R4" s="2">
        <f t="shared" si="4"/>
        <v>1.1604989389110084E-3</v>
      </c>
      <c r="S4">
        <f t="shared" si="5"/>
        <v>0.49849624060150377</v>
      </c>
      <c r="T4" t="str">
        <f t="shared" si="6"/>
        <v>Scenario 2: Weak Commitment/Convenience</v>
      </c>
    </row>
    <row r="5" spans="1:20" x14ac:dyDescent="0.35">
      <c r="A5" t="s">
        <v>22</v>
      </c>
      <c r="B5" s="1">
        <v>43868</v>
      </c>
      <c r="C5">
        <v>2020</v>
      </c>
      <c r="D5">
        <v>2</v>
      </c>
      <c r="E5" t="s">
        <v>14</v>
      </c>
      <c r="F5">
        <v>104</v>
      </c>
      <c r="G5" t="s">
        <v>23</v>
      </c>
      <c r="H5" t="s">
        <v>24</v>
      </c>
      <c r="I5">
        <v>0</v>
      </c>
      <c r="J5">
        <v>0</v>
      </c>
      <c r="K5">
        <v>6</v>
      </c>
      <c r="L5">
        <v>21793</v>
      </c>
      <c r="M5" t="s">
        <v>17</v>
      </c>
      <c r="N5" t="str">
        <f t="shared" si="0"/>
        <v>streaming</v>
      </c>
      <c r="O5" t="str">
        <f t="shared" si="1"/>
        <v>non-original</v>
      </c>
      <c r="P5" t="str">
        <f t="shared" si="2"/>
        <v>non-franchise</v>
      </c>
      <c r="Q5" t="str">
        <f t="shared" si="3"/>
        <v>new</v>
      </c>
      <c r="R5" s="2">
        <f t="shared" si="4"/>
        <v>8.4693403885610224E-3</v>
      </c>
      <c r="S5">
        <f t="shared" si="5"/>
        <v>0.54812030075187967</v>
      </c>
      <c r="T5" t="str">
        <f t="shared" si="6"/>
        <v>Scenario 3: Strong Convenience</v>
      </c>
    </row>
    <row r="6" spans="1:20" x14ac:dyDescent="0.35">
      <c r="A6" t="s">
        <v>25</v>
      </c>
      <c r="B6" s="1">
        <v>43873</v>
      </c>
      <c r="C6">
        <v>2020</v>
      </c>
      <c r="D6">
        <v>2</v>
      </c>
      <c r="E6" t="s">
        <v>14</v>
      </c>
      <c r="F6">
        <v>102</v>
      </c>
      <c r="G6" t="s">
        <v>26</v>
      </c>
      <c r="H6" t="s">
        <v>27</v>
      </c>
      <c r="I6">
        <v>0</v>
      </c>
      <c r="J6">
        <v>1</v>
      </c>
      <c r="K6">
        <v>6.1</v>
      </c>
      <c r="L6">
        <v>53000</v>
      </c>
      <c r="M6" t="s">
        <v>17</v>
      </c>
      <c r="N6" t="str">
        <f t="shared" si="0"/>
        <v>streaming</v>
      </c>
      <c r="O6" t="str">
        <f t="shared" si="1"/>
        <v>non-original</v>
      </c>
      <c r="P6" t="str">
        <f t="shared" si="2"/>
        <v>franchise</v>
      </c>
      <c r="Q6" t="str">
        <f t="shared" si="3"/>
        <v>old</v>
      </c>
      <c r="R6" s="2">
        <f t="shared" si="4"/>
        <v>3.0301667618590187E-2</v>
      </c>
      <c r="S6">
        <f t="shared" si="5"/>
        <v>0.37609022556390981</v>
      </c>
      <c r="T6" t="str">
        <f t="shared" si="6"/>
        <v>Scenario 1: Strong Commitment</v>
      </c>
    </row>
    <row r="7" spans="1:20" x14ac:dyDescent="0.35">
      <c r="A7" t="s">
        <v>28</v>
      </c>
      <c r="B7" s="1">
        <v>43875</v>
      </c>
      <c r="C7">
        <v>2020</v>
      </c>
      <c r="D7">
        <v>2</v>
      </c>
      <c r="E7" t="s">
        <v>14</v>
      </c>
      <c r="F7">
        <v>113</v>
      </c>
      <c r="G7" t="s">
        <v>29</v>
      </c>
      <c r="H7" t="s">
        <v>30</v>
      </c>
      <c r="I7">
        <v>0</v>
      </c>
      <c r="J7">
        <v>0</v>
      </c>
      <c r="K7">
        <v>6.4</v>
      </c>
      <c r="L7">
        <v>11398</v>
      </c>
      <c r="M7" t="s">
        <v>17</v>
      </c>
      <c r="N7" t="str">
        <f t="shared" si="0"/>
        <v>streaming</v>
      </c>
      <c r="O7" t="str">
        <f t="shared" si="1"/>
        <v>non-original</v>
      </c>
      <c r="P7" t="str">
        <f t="shared" si="2"/>
        <v>non-franchise</v>
      </c>
      <c r="Q7" t="str">
        <f t="shared" si="3"/>
        <v>new</v>
      </c>
      <c r="R7" s="2">
        <f t="shared" si="4"/>
        <v>4.8128943210489668E-3</v>
      </c>
      <c r="S7">
        <f t="shared" si="5"/>
        <v>0.55218045112781955</v>
      </c>
      <c r="T7" t="str">
        <f t="shared" si="6"/>
        <v>Scenario 3: Strong Convenience</v>
      </c>
    </row>
    <row r="8" spans="1:20" x14ac:dyDescent="0.35">
      <c r="A8" t="s">
        <v>31</v>
      </c>
      <c r="B8" s="1">
        <v>43882</v>
      </c>
      <c r="C8">
        <v>2020</v>
      </c>
      <c r="D8">
        <v>2</v>
      </c>
      <c r="E8" t="s">
        <v>14</v>
      </c>
      <c r="F8">
        <v>115</v>
      </c>
      <c r="G8" t="s">
        <v>32</v>
      </c>
      <c r="H8" t="s">
        <v>24</v>
      </c>
      <c r="I8">
        <v>0</v>
      </c>
      <c r="J8">
        <v>0</v>
      </c>
      <c r="K8">
        <v>4.4000000000000004</v>
      </c>
      <c r="L8">
        <v>17351</v>
      </c>
      <c r="M8" t="s">
        <v>17</v>
      </c>
      <c r="N8" t="str">
        <f t="shared" si="0"/>
        <v>streaming</v>
      </c>
      <c r="O8" t="str">
        <f t="shared" si="1"/>
        <v>non-original</v>
      </c>
      <c r="P8" t="str">
        <f t="shared" si="2"/>
        <v>non-franchise</v>
      </c>
      <c r="Q8" t="str">
        <f t="shared" si="3"/>
        <v>new</v>
      </c>
      <c r="R8" s="2">
        <f t="shared" si="4"/>
        <v>7.4562692080118636E-3</v>
      </c>
      <c r="S8">
        <f t="shared" si="5"/>
        <v>0.37466165413533847</v>
      </c>
      <c r="T8" t="str">
        <f t="shared" si="6"/>
        <v>Scenario 2: Weak Commitment/Convenience</v>
      </c>
    </row>
    <row r="9" spans="1:20" x14ac:dyDescent="0.35">
      <c r="A9" t="s">
        <v>33</v>
      </c>
      <c r="B9" s="1">
        <v>43882</v>
      </c>
      <c r="C9">
        <v>2020</v>
      </c>
      <c r="D9">
        <v>2</v>
      </c>
      <c r="E9" t="s">
        <v>14</v>
      </c>
      <c r="F9">
        <v>117</v>
      </c>
      <c r="G9" t="s">
        <v>34</v>
      </c>
      <c r="H9" t="s">
        <v>27</v>
      </c>
      <c r="I9">
        <v>0</v>
      </c>
      <c r="J9">
        <v>0</v>
      </c>
      <c r="K9">
        <v>7.5</v>
      </c>
      <c r="L9">
        <v>1628</v>
      </c>
      <c r="M9" t="s">
        <v>17</v>
      </c>
      <c r="N9" t="str">
        <f t="shared" si="0"/>
        <v>streaming</v>
      </c>
      <c r="O9" t="str">
        <f t="shared" si="1"/>
        <v>non-original</v>
      </c>
      <c r="P9" t="str">
        <f t="shared" si="2"/>
        <v>non-franchise</v>
      </c>
      <c r="Q9" t="str">
        <f t="shared" si="3"/>
        <v>new</v>
      </c>
      <c r="R9" s="2">
        <f t="shared" si="4"/>
        <v>7.1176969309638476E-4</v>
      </c>
      <c r="S9">
        <f t="shared" si="5"/>
        <v>0.63016917293233088</v>
      </c>
      <c r="T9" t="str">
        <f t="shared" si="6"/>
        <v>Scenario 3: Strong Convenience</v>
      </c>
    </row>
    <row r="10" spans="1:20" x14ac:dyDescent="0.35">
      <c r="A10" t="s">
        <v>35</v>
      </c>
      <c r="B10" s="1">
        <v>43889</v>
      </c>
      <c r="C10">
        <v>2020</v>
      </c>
      <c r="D10">
        <v>2</v>
      </c>
      <c r="E10" t="s">
        <v>14</v>
      </c>
      <c r="F10">
        <v>108</v>
      </c>
      <c r="G10" t="s">
        <v>36</v>
      </c>
      <c r="H10" t="s">
        <v>24</v>
      </c>
      <c r="I10">
        <v>0</v>
      </c>
      <c r="J10">
        <v>0</v>
      </c>
      <c r="K10">
        <v>6.6</v>
      </c>
      <c r="L10">
        <v>44174</v>
      </c>
      <c r="M10" t="s">
        <v>17</v>
      </c>
      <c r="N10" t="str">
        <f t="shared" si="0"/>
        <v>streaming</v>
      </c>
      <c r="O10" t="str">
        <f t="shared" si="1"/>
        <v>non-original</v>
      </c>
      <c r="P10" t="str">
        <f t="shared" si="2"/>
        <v>non-franchise</v>
      </c>
      <c r="Q10" t="str">
        <f t="shared" si="3"/>
        <v>new</v>
      </c>
      <c r="R10" s="2">
        <f t="shared" si="4"/>
        <v>1.7827469905220016E-2</v>
      </c>
      <c r="S10">
        <f t="shared" si="5"/>
        <v>0.58804511278195482</v>
      </c>
      <c r="T10" t="str">
        <f t="shared" si="6"/>
        <v>Scenario 3: Strong Convenience</v>
      </c>
    </row>
    <row r="11" spans="1:20" x14ac:dyDescent="0.35">
      <c r="A11" t="s">
        <v>37</v>
      </c>
      <c r="B11" s="1">
        <v>43896</v>
      </c>
      <c r="C11">
        <v>2020</v>
      </c>
      <c r="D11">
        <v>3</v>
      </c>
      <c r="E11" t="s">
        <v>38</v>
      </c>
      <c r="F11">
        <v>119</v>
      </c>
      <c r="G11" t="s">
        <v>39</v>
      </c>
      <c r="H11" t="s">
        <v>30</v>
      </c>
      <c r="I11">
        <v>0</v>
      </c>
      <c r="J11">
        <v>0</v>
      </c>
      <c r="K11">
        <v>5.4</v>
      </c>
      <c r="L11">
        <v>4961</v>
      </c>
      <c r="M11" t="s">
        <v>17</v>
      </c>
      <c r="N11" t="str">
        <f t="shared" si="0"/>
        <v>streaming</v>
      </c>
      <c r="O11" t="str">
        <f t="shared" si="1"/>
        <v>non-original</v>
      </c>
      <c r="P11" t="str">
        <f t="shared" si="2"/>
        <v>non-franchise</v>
      </c>
      <c r="Q11" t="str">
        <f t="shared" si="3"/>
        <v>new</v>
      </c>
      <c r="R11" s="2">
        <f t="shared" si="4"/>
        <v>2.2060503383454534E-3</v>
      </c>
      <c r="S11">
        <f t="shared" si="5"/>
        <v>0.44763157894736838</v>
      </c>
      <c r="T11" t="str">
        <f t="shared" si="6"/>
        <v>Scenario 2: Weak Commitment/Convenience</v>
      </c>
    </row>
    <row r="12" spans="1:20" x14ac:dyDescent="0.35">
      <c r="A12" t="s">
        <v>40</v>
      </c>
      <c r="B12" s="1">
        <v>43896</v>
      </c>
      <c r="C12">
        <v>2020</v>
      </c>
      <c r="D12">
        <v>3</v>
      </c>
      <c r="E12" t="s">
        <v>38</v>
      </c>
      <c r="F12">
        <v>111</v>
      </c>
      <c r="G12" t="s">
        <v>41</v>
      </c>
      <c r="H12" t="s">
        <v>24</v>
      </c>
      <c r="I12">
        <v>0</v>
      </c>
      <c r="J12">
        <v>0</v>
      </c>
      <c r="K12">
        <v>6.2</v>
      </c>
      <c r="L12">
        <v>105879</v>
      </c>
      <c r="M12" t="s">
        <v>17</v>
      </c>
      <c r="N12" t="str">
        <f t="shared" si="0"/>
        <v>streaming</v>
      </c>
      <c r="O12" t="str">
        <f t="shared" si="1"/>
        <v>non-original</v>
      </c>
      <c r="P12" t="str">
        <f t="shared" si="2"/>
        <v>non-franchise</v>
      </c>
      <c r="Q12" t="str">
        <f t="shared" si="3"/>
        <v>new</v>
      </c>
      <c r="R12" s="2">
        <f t="shared" si="4"/>
        <v>4.3916936675613125E-2</v>
      </c>
      <c r="S12">
        <f t="shared" si="5"/>
        <v>0.54191729323308258</v>
      </c>
      <c r="T12" t="str">
        <f t="shared" si="6"/>
        <v>Scenario 4: Hybrid Logic</v>
      </c>
    </row>
    <row r="13" spans="1:20" x14ac:dyDescent="0.35">
      <c r="A13" t="s">
        <v>42</v>
      </c>
      <c r="B13" s="1">
        <v>43903</v>
      </c>
      <c r="C13">
        <v>2020</v>
      </c>
      <c r="D13">
        <v>3</v>
      </c>
      <c r="E13" t="s">
        <v>38</v>
      </c>
      <c r="F13">
        <v>95</v>
      </c>
      <c r="G13" t="s">
        <v>43</v>
      </c>
      <c r="H13" t="s">
        <v>24</v>
      </c>
      <c r="I13">
        <v>0</v>
      </c>
      <c r="J13">
        <v>0</v>
      </c>
      <c r="K13">
        <v>6.2</v>
      </c>
      <c r="L13">
        <v>27143</v>
      </c>
      <c r="M13" t="s">
        <v>17</v>
      </c>
      <c r="N13" t="str">
        <f t="shared" si="0"/>
        <v>streaming</v>
      </c>
      <c r="O13" t="str">
        <f t="shared" si="1"/>
        <v>non-original</v>
      </c>
      <c r="P13" t="str">
        <f t="shared" si="2"/>
        <v>non-franchise</v>
      </c>
      <c r="Q13" t="str">
        <f t="shared" si="3"/>
        <v>new</v>
      </c>
      <c r="R13" s="2">
        <f t="shared" si="4"/>
        <v>9.6356425695255116E-3</v>
      </c>
      <c r="S13">
        <f t="shared" si="5"/>
        <v>0.59785714285714275</v>
      </c>
      <c r="T13" t="str">
        <f t="shared" si="6"/>
        <v>Scenario 3: Strong Convenience</v>
      </c>
    </row>
    <row r="14" spans="1:20" x14ac:dyDescent="0.35">
      <c r="A14" t="s">
        <v>44</v>
      </c>
      <c r="B14" s="1">
        <v>43910</v>
      </c>
      <c r="C14">
        <v>2020</v>
      </c>
      <c r="D14">
        <v>3</v>
      </c>
      <c r="E14" t="s">
        <v>38</v>
      </c>
      <c r="F14">
        <v>109</v>
      </c>
      <c r="G14" t="s">
        <v>45</v>
      </c>
      <c r="H14" t="s">
        <v>30</v>
      </c>
      <c r="I14">
        <v>0</v>
      </c>
      <c r="J14">
        <v>0</v>
      </c>
      <c r="K14">
        <v>6.2</v>
      </c>
      <c r="L14">
        <v>5813</v>
      </c>
      <c r="M14" t="s">
        <v>17</v>
      </c>
      <c r="N14" t="str">
        <f t="shared" si="0"/>
        <v>streaming</v>
      </c>
      <c r="O14" t="str">
        <f t="shared" si="1"/>
        <v>non-original</v>
      </c>
      <c r="P14" t="str">
        <f t="shared" si="2"/>
        <v>non-franchise</v>
      </c>
      <c r="Q14" t="str">
        <f t="shared" si="3"/>
        <v>new</v>
      </c>
      <c r="R14" s="2">
        <f t="shared" si="4"/>
        <v>2.3676966002575232E-3</v>
      </c>
      <c r="S14">
        <f t="shared" si="5"/>
        <v>0.54890977443609024</v>
      </c>
      <c r="T14" t="str">
        <f t="shared" si="6"/>
        <v>Scenario 3: Strong Convenience</v>
      </c>
    </row>
    <row r="15" spans="1:20" x14ac:dyDescent="0.35">
      <c r="A15" t="s">
        <v>46</v>
      </c>
      <c r="B15" s="1">
        <v>43915</v>
      </c>
      <c r="C15">
        <v>2020</v>
      </c>
      <c r="D15">
        <v>3</v>
      </c>
      <c r="E15" t="s">
        <v>38</v>
      </c>
      <c r="F15">
        <v>103</v>
      </c>
      <c r="G15" t="s">
        <v>19</v>
      </c>
      <c r="H15" t="s">
        <v>24</v>
      </c>
      <c r="I15">
        <v>0</v>
      </c>
      <c r="J15">
        <v>0</v>
      </c>
      <c r="K15">
        <v>6.4</v>
      </c>
      <c r="L15">
        <v>21399</v>
      </c>
      <c r="M15" t="s">
        <v>17</v>
      </c>
      <c r="N15" t="str">
        <f t="shared" si="0"/>
        <v>streaming</v>
      </c>
      <c r="O15" t="str">
        <f t="shared" si="1"/>
        <v>non-original</v>
      </c>
      <c r="P15" t="str">
        <f t="shared" si="2"/>
        <v>non-franchise</v>
      </c>
      <c r="Q15" t="str">
        <f t="shared" si="3"/>
        <v>new</v>
      </c>
      <c r="R15" s="2">
        <f t="shared" si="4"/>
        <v>8.2362578237923003E-3</v>
      </c>
      <c r="S15">
        <f t="shared" si="5"/>
        <v>0.58827067669172928</v>
      </c>
      <c r="T15" t="str">
        <f t="shared" si="6"/>
        <v>Scenario 3: Strong Convenience</v>
      </c>
    </row>
    <row r="16" spans="1:20" x14ac:dyDescent="0.35">
      <c r="A16" t="s">
        <v>47</v>
      </c>
      <c r="B16" s="1">
        <v>43917</v>
      </c>
      <c r="C16">
        <v>2020</v>
      </c>
      <c r="D16">
        <v>3</v>
      </c>
      <c r="E16" t="s">
        <v>38</v>
      </c>
      <c r="F16">
        <v>111</v>
      </c>
      <c r="G16" t="s">
        <v>29</v>
      </c>
      <c r="H16" t="s">
        <v>30</v>
      </c>
      <c r="I16">
        <v>0</v>
      </c>
      <c r="J16">
        <v>0</v>
      </c>
      <c r="K16">
        <v>5.9</v>
      </c>
      <c r="L16">
        <v>1631</v>
      </c>
      <c r="M16" t="s">
        <v>17</v>
      </c>
      <c r="N16" t="str">
        <f t="shared" si="0"/>
        <v>streaming</v>
      </c>
      <c r="O16" t="str">
        <f t="shared" si="1"/>
        <v>non-original</v>
      </c>
      <c r="P16" t="str">
        <f t="shared" si="2"/>
        <v>non-franchise</v>
      </c>
      <c r="Q16" t="str">
        <f t="shared" si="3"/>
        <v>new</v>
      </c>
      <c r="R16" s="2">
        <f t="shared" si="4"/>
        <v>6.7651303580431449E-4</v>
      </c>
      <c r="S16">
        <f t="shared" si="5"/>
        <v>0.51569548872180448</v>
      </c>
      <c r="T16" t="str">
        <f t="shared" si="6"/>
        <v>Scenario 3: Strong Convenience</v>
      </c>
    </row>
    <row r="17" spans="1:20" x14ac:dyDescent="0.35">
      <c r="A17" t="s">
        <v>48</v>
      </c>
      <c r="B17" s="1">
        <v>43917</v>
      </c>
      <c r="C17">
        <v>2020</v>
      </c>
      <c r="D17">
        <v>3</v>
      </c>
      <c r="E17" t="s">
        <v>38</v>
      </c>
      <c r="F17">
        <v>83</v>
      </c>
      <c r="G17" t="s">
        <v>49</v>
      </c>
      <c r="H17" t="s">
        <v>24</v>
      </c>
      <c r="I17">
        <v>0</v>
      </c>
      <c r="J17">
        <v>0</v>
      </c>
      <c r="K17">
        <v>6</v>
      </c>
      <c r="L17">
        <v>10556</v>
      </c>
      <c r="M17" t="s">
        <v>17</v>
      </c>
      <c r="N17" t="str">
        <f t="shared" si="0"/>
        <v>streaming</v>
      </c>
      <c r="O17" t="str">
        <f t="shared" si="1"/>
        <v>non-original</v>
      </c>
      <c r="P17" t="str">
        <f t="shared" si="2"/>
        <v>non-franchise</v>
      </c>
      <c r="Q17" t="str">
        <f t="shared" si="3"/>
        <v>new</v>
      </c>
      <c r="R17" s="2">
        <f t="shared" si="4"/>
        <v>3.2739851375869471E-3</v>
      </c>
      <c r="S17">
        <f t="shared" si="5"/>
        <v>0.61917293233082704</v>
      </c>
      <c r="T17" t="str">
        <f t="shared" si="6"/>
        <v>Scenario 3: Strong Convenience</v>
      </c>
    </row>
    <row r="18" spans="1:20" x14ac:dyDescent="0.35">
      <c r="A18" t="s">
        <v>50</v>
      </c>
      <c r="B18" s="1">
        <v>43917</v>
      </c>
      <c r="C18">
        <v>2020</v>
      </c>
      <c r="D18">
        <v>3</v>
      </c>
      <c r="E18" t="s">
        <v>38</v>
      </c>
      <c r="F18">
        <v>104</v>
      </c>
      <c r="G18" t="s">
        <v>34</v>
      </c>
      <c r="H18" t="s">
        <v>30</v>
      </c>
      <c r="I18">
        <v>0</v>
      </c>
      <c r="J18">
        <v>0</v>
      </c>
      <c r="K18">
        <v>6.4</v>
      </c>
      <c r="L18">
        <v>7421</v>
      </c>
      <c r="M18" t="s">
        <v>17</v>
      </c>
      <c r="N18" t="str">
        <f t="shared" si="0"/>
        <v>streaming</v>
      </c>
      <c r="O18" t="str">
        <f t="shared" si="1"/>
        <v>non-original</v>
      </c>
      <c r="P18" t="str">
        <f t="shared" si="2"/>
        <v>non-franchise</v>
      </c>
      <c r="Q18" t="str">
        <f t="shared" si="3"/>
        <v>new</v>
      </c>
      <c r="R18" s="2">
        <f t="shared" si="4"/>
        <v>2.8839983032859793E-3</v>
      </c>
      <c r="S18">
        <f t="shared" si="5"/>
        <v>0.58466165413533833</v>
      </c>
      <c r="T18" t="str">
        <f t="shared" si="6"/>
        <v>Scenario 3: Strong Convenience</v>
      </c>
    </row>
    <row r="19" spans="1:20" x14ac:dyDescent="0.35">
      <c r="A19" t="s">
        <v>51</v>
      </c>
      <c r="B19" s="1">
        <v>43924</v>
      </c>
      <c r="C19">
        <v>2020</v>
      </c>
      <c r="D19">
        <v>4</v>
      </c>
      <c r="E19" t="s">
        <v>38</v>
      </c>
      <c r="F19">
        <v>88</v>
      </c>
      <c r="G19" t="s">
        <v>41</v>
      </c>
      <c r="H19" t="s">
        <v>24</v>
      </c>
      <c r="I19">
        <v>0</v>
      </c>
      <c r="J19">
        <v>0</v>
      </c>
      <c r="K19">
        <v>5.2</v>
      </c>
      <c r="L19">
        <v>15285</v>
      </c>
      <c r="M19" t="s">
        <v>17</v>
      </c>
      <c r="N19" t="str">
        <f t="shared" si="0"/>
        <v>streaming</v>
      </c>
      <c r="O19" t="str">
        <f t="shared" si="1"/>
        <v>non-original</v>
      </c>
      <c r="P19" t="str">
        <f t="shared" si="2"/>
        <v>non-franchise</v>
      </c>
      <c r="Q19" t="str">
        <f t="shared" si="3"/>
        <v>new</v>
      </c>
      <c r="R19" s="2">
        <f t="shared" si="4"/>
        <v>5.0262877149356618E-3</v>
      </c>
      <c r="S19">
        <f t="shared" si="5"/>
        <v>0.52195488721804517</v>
      </c>
      <c r="T19" t="str">
        <f t="shared" si="6"/>
        <v>Scenario 3: Strong Convenience</v>
      </c>
    </row>
    <row r="20" spans="1:20" x14ac:dyDescent="0.35">
      <c r="A20" t="s">
        <v>52</v>
      </c>
      <c r="B20" s="1">
        <v>43931</v>
      </c>
      <c r="C20">
        <v>2020</v>
      </c>
      <c r="D20">
        <v>4</v>
      </c>
      <c r="E20" t="s">
        <v>38</v>
      </c>
      <c r="F20">
        <v>103</v>
      </c>
      <c r="G20" t="s">
        <v>53</v>
      </c>
      <c r="H20" t="s">
        <v>30</v>
      </c>
      <c r="I20">
        <v>0</v>
      </c>
      <c r="J20">
        <v>0</v>
      </c>
      <c r="K20">
        <v>4.8</v>
      </c>
      <c r="L20">
        <v>2930</v>
      </c>
      <c r="M20" t="s">
        <v>17</v>
      </c>
      <c r="N20" t="str">
        <f t="shared" si="0"/>
        <v>streaming</v>
      </c>
      <c r="O20" t="str">
        <f t="shared" si="1"/>
        <v>non-original</v>
      </c>
      <c r="P20" t="str">
        <f t="shared" si="2"/>
        <v>non-franchise</v>
      </c>
      <c r="Q20" t="str">
        <f t="shared" si="3"/>
        <v>new</v>
      </c>
      <c r="R20" s="2">
        <f t="shared" si="4"/>
        <v>1.1277272500449294E-3</v>
      </c>
      <c r="S20">
        <f t="shared" si="5"/>
        <v>0.44120300751879693</v>
      </c>
      <c r="T20" t="str">
        <f t="shared" si="6"/>
        <v>Scenario 2: Weak Commitment/Convenience</v>
      </c>
    </row>
    <row r="21" spans="1:20" x14ac:dyDescent="0.35">
      <c r="A21" t="s">
        <v>54</v>
      </c>
      <c r="B21" s="1">
        <v>43931</v>
      </c>
      <c r="C21">
        <v>2020</v>
      </c>
      <c r="D21">
        <v>4</v>
      </c>
      <c r="E21" t="s">
        <v>38</v>
      </c>
      <c r="F21">
        <v>100</v>
      </c>
      <c r="G21" t="s">
        <v>29</v>
      </c>
      <c r="H21" t="s">
        <v>30</v>
      </c>
      <c r="I21">
        <v>0</v>
      </c>
      <c r="J21">
        <v>0</v>
      </c>
      <c r="K21">
        <v>5.6</v>
      </c>
      <c r="L21">
        <v>23163</v>
      </c>
      <c r="M21" t="s">
        <v>17</v>
      </c>
      <c r="N21" t="str">
        <f t="shared" si="0"/>
        <v>streaming</v>
      </c>
      <c r="O21" t="str">
        <f t="shared" si="1"/>
        <v>non-original</v>
      </c>
      <c r="P21" t="str">
        <f t="shared" si="2"/>
        <v>non-franchise</v>
      </c>
      <c r="Q21" t="str">
        <f t="shared" si="3"/>
        <v>new</v>
      </c>
      <c r="R21" s="2">
        <f t="shared" si="4"/>
        <v>8.655537391162961E-3</v>
      </c>
      <c r="S21">
        <f t="shared" si="5"/>
        <v>0.52421052631578935</v>
      </c>
      <c r="T21" t="str">
        <f t="shared" si="6"/>
        <v>Scenario 3: Strong Convenience</v>
      </c>
    </row>
    <row r="22" spans="1:20" x14ac:dyDescent="0.35">
      <c r="A22" t="s">
        <v>55</v>
      </c>
      <c r="B22" s="1">
        <v>43931</v>
      </c>
      <c r="C22">
        <v>2020</v>
      </c>
      <c r="D22">
        <v>4</v>
      </c>
      <c r="E22" t="s">
        <v>38</v>
      </c>
      <c r="F22">
        <v>91</v>
      </c>
      <c r="G22" t="s">
        <v>34</v>
      </c>
      <c r="H22" t="s">
        <v>56</v>
      </c>
      <c r="I22">
        <v>0</v>
      </c>
      <c r="J22">
        <v>0</v>
      </c>
      <c r="K22">
        <v>6.6</v>
      </c>
      <c r="L22">
        <v>3995</v>
      </c>
      <c r="M22" t="s">
        <v>17</v>
      </c>
      <c r="N22" t="str">
        <f t="shared" si="0"/>
        <v>streaming</v>
      </c>
      <c r="O22" t="str">
        <f t="shared" si="1"/>
        <v>non-original</v>
      </c>
      <c r="P22" t="str">
        <f t="shared" si="2"/>
        <v>non-franchise</v>
      </c>
      <c r="Q22" t="str">
        <f t="shared" si="3"/>
        <v>new</v>
      </c>
      <c r="R22" s="2">
        <f t="shared" si="4"/>
        <v>1.3584930021458097E-3</v>
      </c>
      <c r="S22">
        <f t="shared" si="5"/>
        <v>0.65131578947368418</v>
      </c>
      <c r="T22" t="str">
        <f t="shared" si="6"/>
        <v>Scenario 3: Strong Convenience</v>
      </c>
    </row>
    <row r="23" spans="1:20" x14ac:dyDescent="0.35">
      <c r="A23" t="s">
        <v>57</v>
      </c>
      <c r="B23" s="1">
        <v>43938</v>
      </c>
      <c r="C23">
        <v>2020</v>
      </c>
      <c r="D23">
        <v>4</v>
      </c>
      <c r="E23" t="s">
        <v>38</v>
      </c>
      <c r="F23">
        <v>80</v>
      </c>
      <c r="G23" t="s">
        <v>58</v>
      </c>
      <c r="H23" t="s">
        <v>30</v>
      </c>
      <c r="I23">
        <v>0</v>
      </c>
      <c r="J23">
        <v>0</v>
      </c>
      <c r="K23">
        <v>5.2</v>
      </c>
      <c r="L23">
        <v>3068</v>
      </c>
      <c r="M23" t="s">
        <v>17</v>
      </c>
      <c r="N23" t="str">
        <f t="shared" si="0"/>
        <v>streaming</v>
      </c>
      <c r="O23" t="str">
        <f t="shared" si="1"/>
        <v>non-original</v>
      </c>
      <c r="P23" t="str">
        <f t="shared" si="2"/>
        <v>non-franchise</v>
      </c>
      <c r="Q23" t="str">
        <f t="shared" si="3"/>
        <v>new</v>
      </c>
      <c r="R23" s="2">
        <f t="shared" si="4"/>
        <v>9.1715887289515042E-4</v>
      </c>
      <c r="S23">
        <f t="shared" si="5"/>
        <v>0.54541353383458646</v>
      </c>
      <c r="T23" t="str">
        <f t="shared" si="6"/>
        <v>Scenario 3: Strong Convenience</v>
      </c>
    </row>
    <row r="24" spans="1:20" x14ac:dyDescent="0.35">
      <c r="A24" t="s">
        <v>59</v>
      </c>
      <c r="B24" s="1">
        <v>43938</v>
      </c>
      <c r="C24">
        <v>2020</v>
      </c>
      <c r="D24">
        <v>4</v>
      </c>
      <c r="E24" t="s">
        <v>38</v>
      </c>
      <c r="F24">
        <v>94</v>
      </c>
      <c r="G24" t="s">
        <v>60</v>
      </c>
      <c r="H24" t="s">
        <v>30</v>
      </c>
      <c r="I24">
        <v>0</v>
      </c>
      <c r="J24">
        <v>0</v>
      </c>
      <c r="K24">
        <v>6</v>
      </c>
      <c r="L24">
        <v>6144</v>
      </c>
      <c r="M24" t="s">
        <v>17</v>
      </c>
      <c r="N24" t="str">
        <f t="shared" si="0"/>
        <v>streaming</v>
      </c>
      <c r="O24" t="str">
        <f t="shared" si="1"/>
        <v>non-original</v>
      </c>
      <c r="P24" t="str">
        <f t="shared" si="2"/>
        <v>non-franchise</v>
      </c>
      <c r="Q24" t="str">
        <f t="shared" si="3"/>
        <v>new</v>
      </c>
      <c r="R24" s="2">
        <f t="shared" si="4"/>
        <v>2.1581334208620176E-3</v>
      </c>
      <c r="S24">
        <f t="shared" si="5"/>
        <v>0.58195488721804511</v>
      </c>
      <c r="T24" t="str">
        <f t="shared" si="6"/>
        <v>Scenario 3: Strong Convenience</v>
      </c>
    </row>
    <row r="25" spans="1:20" x14ac:dyDescent="0.35">
      <c r="A25" t="s">
        <v>61</v>
      </c>
      <c r="B25" s="1">
        <v>43938</v>
      </c>
      <c r="C25">
        <v>2020</v>
      </c>
      <c r="D25">
        <v>4</v>
      </c>
      <c r="E25" t="s">
        <v>38</v>
      </c>
      <c r="F25">
        <v>118</v>
      </c>
      <c r="G25" t="s">
        <v>62</v>
      </c>
      <c r="H25" t="s">
        <v>24</v>
      </c>
      <c r="I25">
        <v>0</v>
      </c>
      <c r="J25">
        <v>0</v>
      </c>
      <c r="K25">
        <v>6.2</v>
      </c>
      <c r="L25">
        <v>11933</v>
      </c>
      <c r="M25" t="s">
        <v>17</v>
      </c>
      <c r="N25" t="str">
        <f t="shared" si="0"/>
        <v>streaming</v>
      </c>
      <c r="O25" t="str">
        <f t="shared" si="1"/>
        <v>non-original</v>
      </c>
      <c r="P25" t="str">
        <f t="shared" si="2"/>
        <v>non-franchise</v>
      </c>
      <c r="Q25" t="str">
        <f t="shared" si="3"/>
        <v>new</v>
      </c>
      <c r="R25" s="2">
        <f t="shared" si="4"/>
        <v>5.2617580914701102E-3</v>
      </c>
      <c r="S25">
        <f t="shared" si="5"/>
        <v>0.51744360902255648</v>
      </c>
      <c r="T25" t="str">
        <f t="shared" si="6"/>
        <v>Scenario 3: Strong Convenience</v>
      </c>
    </row>
    <row r="26" spans="1:20" x14ac:dyDescent="0.35">
      <c r="A26" t="s">
        <v>63</v>
      </c>
      <c r="B26" s="1">
        <v>43943</v>
      </c>
      <c r="C26">
        <v>2020</v>
      </c>
      <c r="D26">
        <v>4</v>
      </c>
      <c r="E26" t="s">
        <v>38</v>
      </c>
      <c r="F26">
        <v>92</v>
      </c>
      <c r="G26" t="s">
        <v>64</v>
      </c>
      <c r="H26" t="s">
        <v>56</v>
      </c>
      <c r="I26">
        <v>0</v>
      </c>
      <c r="J26">
        <v>0</v>
      </c>
      <c r="K26">
        <v>6.4</v>
      </c>
      <c r="L26">
        <v>23312</v>
      </c>
      <c r="M26" t="s">
        <v>17</v>
      </c>
      <c r="N26" t="str">
        <f t="shared" si="0"/>
        <v>streaming</v>
      </c>
      <c r="O26" t="str">
        <f t="shared" si="1"/>
        <v>non-original</v>
      </c>
      <c r="P26" t="str">
        <f t="shared" si="2"/>
        <v>non-franchise</v>
      </c>
      <c r="Q26" t="str">
        <f t="shared" si="3"/>
        <v>new</v>
      </c>
      <c r="R26" s="2">
        <f t="shared" si="4"/>
        <v>8.0143183805969718E-3</v>
      </c>
      <c r="S26">
        <f t="shared" si="5"/>
        <v>0.62796992481203007</v>
      </c>
      <c r="T26" t="str">
        <f t="shared" si="6"/>
        <v>Scenario 3: Strong Convenience</v>
      </c>
    </row>
    <row r="27" spans="1:20" x14ac:dyDescent="0.35">
      <c r="A27" t="s">
        <v>65</v>
      </c>
      <c r="B27" s="1">
        <v>43944</v>
      </c>
      <c r="C27">
        <v>2020</v>
      </c>
      <c r="D27">
        <v>4</v>
      </c>
      <c r="E27" t="s">
        <v>38</v>
      </c>
      <c r="F27">
        <v>135</v>
      </c>
      <c r="G27" t="s">
        <v>49</v>
      </c>
      <c r="H27" t="s">
        <v>30</v>
      </c>
      <c r="I27">
        <v>0</v>
      </c>
      <c r="J27">
        <v>0</v>
      </c>
      <c r="K27">
        <v>6.3</v>
      </c>
      <c r="L27">
        <v>7670</v>
      </c>
      <c r="M27" t="s">
        <v>17</v>
      </c>
      <c r="N27" t="str">
        <f t="shared" si="0"/>
        <v>streaming</v>
      </c>
      <c r="O27" t="str">
        <f t="shared" si="1"/>
        <v>non-original</v>
      </c>
      <c r="P27" t="str">
        <f t="shared" si="2"/>
        <v>non-franchise</v>
      </c>
      <c r="Q27" t="str">
        <f t="shared" si="3"/>
        <v>new</v>
      </c>
      <c r="R27" s="2">
        <f t="shared" si="4"/>
        <v>3.8692639950264167E-3</v>
      </c>
      <c r="S27">
        <f t="shared" si="5"/>
        <v>0.46539473684210525</v>
      </c>
      <c r="T27" t="str">
        <f t="shared" si="6"/>
        <v>Scenario 2: Weak Commitment/Convenience</v>
      </c>
    </row>
    <row r="28" spans="1:20" x14ac:dyDescent="0.35">
      <c r="A28" t="s">
        <v>66</v>
      </c>
      <c r="B28" s="1">
        <v>43945</v>
      </c>
      <c r="C28">
        <v>2020</v>
      </c>
      <c r="D28">
        <v>4</v>
      </c>
      <c r="E28" t="s">
        <v>38</v>
      </c>
      <c r="F28">
        <v>117</v>
      </c>
      <c r="G28" t="s">
        <v>58</v>
      </c>
      <c r="H28" t="s">
        <v>24</v>
      </c>
      <c r="I28">
        <v>1</v>
      </c>
      <c r="J28">
        <v>0</v>
      </c>
      <c r="K28">
        <v>6.8</v>
      </c>
      <c r="L28">
        <v>287546</v>
      </c>
      <c r="M28" t="s">
        <v>17</v>
      </c>
      <c r="N28" t="str">
        <f t="shared" si="0"/>
        <v>streaming</v>
      </c>
      <c r="O28" t="str">
        <f t="shared" si="1"/>
        <v>original</v>
      </c>
      <c r="P28" t="str">
        <f t="shared" si="2"/>
        <v>non-franchise</v>
      </c>
      <c r="Q28" t="str">
        <f t="shared" si="3"/>
        <v>old</v>
      </c>
      <c r="R28" s="2">
        <f t="shared" si="4"/>
        <v>0.18857481096845186</v>
      </c>
      <c r="S28">
        <f t="shared" si="5"/>
        <v>0.38090225563909769</v>
      </c>
      <c r="T28" t="str">
        <f t="shared" si="6"/>
        <v>Scenario 1: Strong Commitment</v>
      </c>
    </row>
    <row r="29" spans="1:20" x14ac:dyDescent="0.35">
      <c r="A29" t="s">
        <v>67</v>
      </c>
      <c r="B29" s="1">
        <v>43951</v>
      </c>
      <c r="C29">
        <v>2020</v>
      </c>
      <c r="D29">
        <v>4</v>
      </c>
      <c r="E29" t="s">
        <v>38</v>
      </c>
      <c r="F29">
        <v>97</v>
      </c>
      <c r="G29" t="s">
        <v>19</v>
      </c>
      <c r="H29" t="s">
        <v>30</v>
      </c>
      <c r="I29">
        <v>0</v>
      </c>
      <c r="J29">
        <v>0</v>
      </c>
      <c r="K29">
        <v>5.4</v>
      </c>
      <c r="L29">
        <v>19953</v>
      </c>
      <c r="M29" t="s">
        <v>17</v>
      </c>
      <c r="N29" t="str">
        <f t="shared" si="0"/>
        <v>streaming</v>
      </c>
      <c r="O29" t="str">
        <f t="shared" si="1"/>
        <v>non-original</v>
      </c>
      <c r="P29" t="str">
        <f t="shared" si="2"/>
        <v>non-franchise</v>
      </c>
      <c r="Q29" t="str">
        <f t="shared" si="3"/>
        <v>new</v>
      </c>
      <c r="R29" s="2">
        <f t="shared" si="4"/>
        <v>7.2323455268703679E-3</v>
      </c>
      <c r="S29">
        <f t="shared" si="5"/>
        <v>0.51462406015037598</v>
      </c>
      <c r="T29" t="str">
        <f t="shared" si="6"/>
        <v>Scenario 3: Strong Convenience</v>
      </c>
    </row>
    <row r="30" spans="1:20" x14ac:dyDescent="0.35">
      <c r="A30" t="s">
        <v>68</v>
      </c>
      <c r="B30" s="1">
        <v>43952</v>
      </c>
      <c r="C30">
        <v>2020</v>
      </c>
      <c r="D30">
        <v>5</v>
      </c>
      <c r="E30" t="s">
        <v>38</v>
      </c>
      <c r="F30">
        <v>121</v>
      </c>
      <c r="G30" t="s">
        <v>34</v>
      </c>
      <c r="H30" t="s">
        <v>24</v>
      </c>
      <c r="I30">
        <v>0</v>
      </c>
      <c r="J30">
        <v>0</v>
      </c>
      <c r="K30">
        <v>6</v>
      </c>
      <c r="L30">
        <v>4802</v>
      </c>
      <c r="M30" t="s">
        <v>17</v>
      </c>
      <c r="N30" t="str">
        <f t="shared" si="0"/>
        <v>streaming</v>
      </c>
      <c r="O30" t="str">
        <f t="shared" si="1"/>
        <v>non-original</v>
      </c>
      <c r="P30" t="str">
        <f t="shared" si="2"/>
        <v>non-franchise</v>
      </c>
      <c r="Q30" t="str">
        <f t="shared" si="3"/>
        <v>new</v>
      </c>
      <c r="R30" s="2">
        <f t="shared" si="4"/>
        <v>2.1712346228191983E-3</v>
      </c>
      <c r="S30">
        <f t="shared" si="5"/>
        <v>0.49060150375939843</v>
      </c>
      <c r="T30" t="str">
        <f t="shared" si="6"/>
        <v>Scenario 2: Weak Commitment/Convenience</v>
      </c>
    </row>
    <row r="31" spans="1:20" x14ac:dyDescent="0.35">
      <c r="A31" t="s">
        <v>69</v>
      </c>
      <c r="B31" s="1">
        <v>43952</v>
      </c>
      <c r="C31">
        <v>2020</v>
      </c>
      <c r="D31">
        <v>5</v>
      </c>
      <c r="E31" t="s">
        <v>38</v>
      </c>
      <c r="F31">
        <v>107</v>
      </c>
      <c r="G31" t="s">
        <v>70</v>
      </c>
      <c r="H31" t="s">
        <v>30</v>
      </c>
      <c r="I31">
        <v>0</v>
      </c>
      <c r="J31">
        <v>0</v>
      </c>
      <c r="K31">
        <v>4</v>
      </c>
      <c r="L31">
        <v>19136</v>
      </c>
      <c r="M31" t="s">
        <v>17</v>
      </c>
      <c r="N31" t="str">
        <f t="shared" si="0"/>
        <v>streaming</v>
      </c>
      <c r="O31" t="str">
        <f t="shared" si="1"/>
        <v>non-original</v>
      </c>
      <c r="P31" t="str">
        <f t="shared" si="2"/>
        <v>non-franchise</v>
      </c>
      <c r="Q31" t="str">
        <f t="shared" si="3"/>
        <v>new</v>
      </c>
      <c r="R31" s="2">
        <f t="shared" si="4"/>
        <v>7.6512813091354761E-3</v>
      </c>
      <c r="S31">
        <f t="shared" si="5"/>
        <v>0.35864661654135349</v>
      </c>
      <c r="T31" t="str">
        <f t="shared" si="6"/>
        <v>Scenario 2: Weak Commitment/Convenience</v>
      </c>
    </row>
    <row r="32" spans="1:20" x14ac:dyDescent="0.35">
      <c r="A32" t="s">
        <v>71</v>
      </c>
      <c r="B32" s="1">
        <v>43952</v>
      </c>
      <c r="C32">
        <v>2020</v>
      </c>
      <c r="D32">
        <v>5</v>
      </c>
      <c r="E32" t="s">
        <v>38</v>
      </c>
      <c r="F32">
        <v>105</v>
      </c>
      <c r="G32" t="s">
        <v>36</v>
      </c>
      <c r="H32" t="s">
        <v>27</v>
      </c>
      <c r="I32">
        <v>0</v>
      </c>
      <c r="J32">
        <v>0</v>
      </c>
      <c r="K32">
        <v>6.9</v>
      </c>
      <c r="L32">
        <v>47033</v>
      </c>
      <c r="M32" t="s">
        <v>17</v>
      </c>
      <c r="N32" t="str">
        <f t="shared" si="0"/>
        <v>streaming</v>
      </c>
      <c r="O32" t="str">
        <f t="shared" si="1"/>
        <v>non-original</v>
      </c>
      <c r="P32" t="str">
        <f t="shared" si="2"/>
        <v>non-franchise</v>
      </c>
      <c r="Q32" t="str">
        <f t="shared" si="3"/>
        <v>new</v>
      </c>
      <c r="R32" s="2">
        <f t="shared" si="4"/>
        <v>1.8454029470469972E-2</v>
      </c>
      <c r="S32">
        <f t="shared" si="5"/>
        <v>0.62644736842105275</v>
      </c>
      <c r="T32" t="str">
        <f t="shared" si="6"/>
        <v>Scenario 3: Strong Convenience</v>
      </c>
    </row>
    <row r="33" spans="1:20" x14ac:dyDescent="0.35">
      <c r="A33" t="s">
        <v>72</v>
      </c>
      <c r="B33" s="1">
        <v>43964</v>
      </c>
      <c r="C33">
        <v>2020</v>
      </c>
      <c r="D33">
        <v>5</v>
      </c>
      <c r="E33" t="s">
        <v>38</v>
      </c>
      <c r="F33">
        <v>90</v>
      </c>
      <c r="G33" t="s">
        <v>73</v>
      </c>
      <c r="H33" t="s">
        <v>24</v>
      </c>
      <c r="I33">
        <v>0</v>
      </c>
      <c r="J33">
        <v>0</v>
      </c>
      <c r="K33">
        <v>5.8</v>
      </c>
      <c r="L33">
        <v>50196</v>
      </c>
      <c r="M33" t="s">
        <v>17</v>
      </c>
      <c r="N33" t="str">
        <f t="shared" si="0"/>
        <v>streaming</v>
      </c>
      <c r="O33" t="str">
        <f t="shared" si="1"/>
        <v>non-original</v>
      </c>
      <c r="P33" t="str">
        <f t="shared" si="2"/>
        <v>non-franchise</v>
      </c>
      <c r="Q33" t="str">
        <f t="shared" si="3"/>
        <v>new</v>
      </c>
      <c r="R33" s="2">
        <f t="shared" si="4"/>
        <v>1.688149287217262E-2</v>
      </c>
      <c r="S33">
        <f t="shared" si="5"/>
        <v>0.57563909774436084</v>
      </c>
      <c r="T33" t="str">
        <f t="shared" si="6"/>
        <v>Scenario 3: Strong Convenience</v>
      </c>
    </row>
    <row r="34" spans="1:20" x14ac:dyDescent="0.35">
      <c r="A34" t="s">
        <v>74</v>
      </c>
      <c r="B34" s="1">
        <v>43973</v>
      </c>
      <c r="C34">
        <v>2020</v>
      </c>
      <c r="D34">
        <v>5</v>
      </c>
      <c r="E34" t="s">
        <v>38</v>
      </c>
      <c r="F34">
        <v>87</v>
      </c>
      <c r="G34" t="s">
        <v>29</v>
      </c>
      <c r="H34" t="s">
        <v>24</v>
      </c>
      <c r="I34">
        <v>0</v>
      </c>
      <c r="J34">
        <v>0</v>
      </c>
      <c r="K34">
        <v>6.1</v>
      </c>
      <c r="L34">
        <v>29043</v>
      </c>
      <c r="M34" t="s">
        <v>17</v>
      </c>
      <c r="N34" t="str">
        <f t="shared" si="0"/>
        <v>streaming</v>
      </c>
      <c r="O34" t="str">
        <f t="shared" si="1"/>
        <v>non-original</v>
      </c>
      <c r="P34" t="str">
        <f t="shared" si="2"/>
        <v>non-franchise</v>
      </c>
      <c r="Q34" t="str">
        <f t="shared" si="3"/>
        <v>new</v>
      </c>
      <c r="R34" s="2">
        <f t="shared" si="4"/>
        <v>9.4419121889584637E-3</v>
      </c>
      <c r="S34">
        <f t="shared" si="5"/>
        <v>0.61573308270676685</v>
      </c>
      <c r="T34" t="str">
        <f t="shared" si="6"/>
        <v>Scenario 3: Strong Convenience</v>
      </c>
    </row>
    <row r="35" spans="1:20" x14ac:dyDescent="0.35">
      <c r="A35" t="s">
        <v>75</v>
      </c>
      <c r="B35" s="1">
        <v>43979</v>
      </c>
      <c r="C35">
        <v>2020</v>
      </c>
      <c r="D35">
        <v>5</v>
      </c>
      <c r="E35" t="s">
        <v>38</v>
      </c>
      <c r="F35">
        <v>116</v>
      </c>
      <c r="G35" t="s">
        <v>76</v>
      </c>
      <c r="H35" t="s">
        <v>30</v>
      </c>
      <c r="I35">
        <v>0</v>
      </c>
      <c r="J35">
        <v>0</v>
      </c>
      <c r="K35">
        <v>5.6</v>
      </c>
      <c r="L35">
        <v>3339</v>
      </c>
      <c r="M35" t="s">
        <v>17</v>
      </c>
      <c r="N35" t="str">
        <f t="shared" si="0"/>
        <v>streaming</v>
      </c>
      <c r="O35" t="str">
        <f t="shared" si="1"/>
        <v>non-original</v>
      </c>
      <c r="P35" t="str">
        <f t="shared" si="2"/>
        <v>non-franchise</v>
      </c>
      <c r="Q35" t="str">
        <f t="shared" si="3"/>
        <v>new</v>
      </c>
      <c r="R35" s="2">
        <f t="shared" si="4"/>
        <v>1.4473502415467783E-3</v>
      </c>
      <c r="S35">
        <f t="shared" si="5"/>
        <v>0.47368421052631571</v>
      </c>
      <c r="T35" t="str">
        <f t="shared" si="6"/>
        <v>Scenario 2: Weak Commitment/Convenience</v>
      </c>
    </row>
    <row r="36" spans="1:20" x14ac:dyDescent="0.35">
      <c r="A36" t="s">
        <v>77</v>
      </c>
      <c r="B36" s="1">
        <v>43987</v>
      </c>
      <c r="C36">
        <v>2020</v>
      </c>
      <c r="D36">
        <v>6</v>
      </c>
      <c r="E36" t="s">
        <v>78</v>
      </c>
      <c r="F36">
        <v>149</v>
      </c>
      <c r="G36" t="s">
        <v>79</v>
      </c>
      <c r="H36" t="s">
        <v>24</v>
      </c>
      <c r="I36">
        <v>0</v>
      </c>
      <c r="J36">
        <v>0</v>
      </c>
      <c r="K36">
        <v>3.8</v>
      </c>
      <c r="L36">
        <v>12917</v>
      </c>
      <c r="M36" t="s">
        <v>17</v>
      </c>
      <c r="N36" t="str">
        <f t="shared" si="0"/>
        <v>streaming</v>
      </c>
      <c r="O36" t="str">
        <f t="shared" si="1"/>
        <v>non-original</v>
      </c>
      <c r="P36" t="str">
        <f t="shared" si="2"/>
        <v>non-franchise</v>
      </c>
      <c r="Q36" t="str">
        <f t="shared" si="3"/>
        <v>new</v>
      </c>
      <c r="R36" s="2">
        <f t="shared" si="4"/>
        <v>7.191958250557416E-3</v>
      </c>
      <c r="S36">
        <f t="shared" si="5"/>
        <v>0.25071428571428572</v>
      </c>
      <c r="T36" t="str">
        <f t="shared" si="6"/>
        <v>Scenario 2: Weak Commitment/Convenience</v>
      </c>
    </row>
    <row r="37" spans="1:20" x14ac:dyDescent="0.35">
      <c r="A37" t="s">
        <v>80</v>
      </c>
      <c r="B37" s="1">
        <v>43994</v>
      </c>
      <c r="C37">
        <v>2020</v>
      </c>
      <c r="D37">
        <v>6</v>
      </c>
      <c r="E37" t="s">
        <v>78</v>
      </c>
      <c r="F37">
        <v>155</v>
      </c>
      <c r="G37" t="s">
        <v>81</v>
      </c>
      <c r="H37" t="s">
        <v>24</v>
      </c>
      <c r="I37">
        <v>0</v>
      </c>
      <c r="J37">
        <v>0</v>
      </c>
      <c r="K37">
        <v>6.5</v>
      </c>
      <c r="L37">
        <v>57349</v>
      </c>
      <c r="M37" t="s">
        <v>17</v>
      </c>
      <c r="N37" t="str">
        <f t="shared" si="0"/>
        <v>streaming</v>
      </c>
      <c r="O37" t="str">
        <f t="shared" si="1"/>
        <v>non-original</v>
      </c>
      <c r="P37" t="str">
        <f t="shared" si="2"/>
        <v>non-franchise</v>
      </c>
      <c r="Q37" t="str">
        <f t="shared" si="3"/>
        <v>new</v>
      </c>
      <c r="R37" s="2">
        <f t="shared" si="4"/>
        <v>3.3216722422009119E-2</v>
      </c>
      <c r="S37">
        <f t="shared" si="5"/>
        <v>0.40686090225563909</v>
      </c>
      <c r="T37" t="str">
        <f t="shared" si="6"/>
        <v>Scenario 1: Strong Commitment</v>
      </c>
    </row>
    <row r="38" spans="1:20" x14ac:dyDescent="0.35">
      <c r="A38" t="s">
        <v>82</v>
      </c>
      <c r="B38" s="1">
        <v>44000</v>
      </c>
      <c r="C38">
        <v>2020</v>
      </c>
      <c r="D38">
        <v>6</v>
      </c>
      <c r="E38" t="s">
        <v>78</v>
      </c>
      <c r="F38">
        <v>105</v>
      </c>
      <c r="G38" t="s">
        <v>83</v>
      </c>
      <c r="H38" t="s">
        <v>56</v>
      </c>
      <c r="I38">
        <v>0</v>
      </c>
      <c r="J38">
        <v>0</v>
      </c>
      <c r="K38">
        <v>6.7</v>
      </c>
      <c r="L38">
        <v>17691</v>
      </c>
      <c r="M38" t="s">
        <v>17</v>
      </c>
      <c r="N38" t="str">
        <f t="shared" si="0"/>
        <v>streaming</v>
      </c>
      <c r="O38" t="str">
        <f t="shared" si="1"/>
        <v>non-original</v>
      </c>
      <c r="P38" t="str">
        <f t="shared" si="2"/>
        <v>non-franchise</v>
      </c>
      <c r="Q38" t="str">
        <f t="shared" si="3"/>
        <v>new</v>
      </c>
      <c r="R38" s="2">
        <f t="shared" si="4"/>
        <v>6.9413015406647295E-3</v>
      </c>
      <c r="S38">
        <f t="shared" si="5"/>
        <v>0.6082894736842106</v>
      </c>
      <c r="T38" t="str">
        <f t="shared" si="6"/>
        <v>Scenario 3: Strong Convenience</v>
      </c>
    </row>
    <row r="39" spans="1:20" x14ac:dyDescent="0.35">
      <c r="A39" t="s">
        <v>84</v>
      </c>
      <c r="B39" s="1">
        <v>44001</v>
      </c>
      <c r="C39">
        <v>2020</v>
      </c>
      <c r="D39">
        <v>6</v>
      </c>
      <c r="E39" t="s">
        <v>78</v>
      </c>
      <c r="F39">
        <v>109</v>
      </c>
      <c r="G39" t="s">
        <v>85</v>
      </c>
      <c r="H39" t="s">
        <v>86</v>
      </c>
      <c r="I39">
        <v>0</v>
      </c>
      <c r="J39">
        <v>0</v>
      </c>
      <c r="K39">
        <v>6.3</v>
      </c>
      <c r="L39">
        <v>15070</v>
      </c>
      <c r="M39" t="s">
        <v>17</v>
      </c>
      <c r="N39" t="str">
        <f t="shared" si="0"/>
        <v>streaming</v>
      </c>
      <c r="O39" t="str">
        <f t="shared" si="1"/>
        <v>non-original</v>
      </c>
      <c r="P39" t="str">
        <f t="shared" si="2"/>
        <v>non-franchise</v>
      </c>
      <c r="Q39" t="str">
        <f t="shared" si="3"/>
        <v>new</v>
      </c>
      <c r="R39" s="2">
        <f t="shared" si="4"/>
        <v>6.1381709557682572E-3</v>
      </c>
      <c r="S39">
        <f t="shared" si="5"/>
        <v>0.55776315789473685</v>
      </c>
      <c r="T39" t="str">
        <f t="shared" si="6"/>
        <v>Scenario 3: Strong Convenience</v>
      </c>
    </row>
    <row r="40" spans="1:20" x14ac:dyDescent="0.35">
      <c r="A40" t="s">
        <v>87</v>
      </c>
      <c r="B40" s="1">
        <v>44001</v>
      </c>
      <c r="C40">
        <v>2020</v>
      </c>
      <c r="D40">
        <v>6</v>
      </c>
      <c r="E40" t="s">
        <v>78</v>
      </c>
      <c r="F40">
        <v>93</v>
      </c>
      <c r="G40" t="s">
        <v>58</v>
      </c>
      <c r="H40" t="s">
        <v>30</v>
      </c>
      <c r="I40">
        <v>0</v>
      </c>
      <c r="J40">
        <v>0</v>
      </c>
      <c r="K40">
        <v>6.4</v>
      </c>
      <c r="L40">
        <v>16640</v>
      </c>
      <c r="M40" t="s">
        <v>88</v>
      </c>
      <c r="N40" t="str">
        <f t="shared" si="0"/>
        <v>streaming</v>
      </c>
      <c r="O40" t="str">
        <f t="shared" si="1"/>
        <v>non-original</v>
      </c>
      <c r="P40" t="str">
        <f t="shared" si="2"/>
        <v>non-franchise</v>
      </c>
      <c r="Q40" t="str">
        <f t="shared" si="3"/>
        <v>new</v>
      </c>
      <c r="R40" s="2">
        <f t="shared" si="4"/>
        <v>5.7827644189321356E-3</v>
      </c>
      <c r="S40">
        <f t="shared" si="5"/>
        <v>0.62436090225563912</v>
      </c>
      <c r="T40" t="str">
        <f t="shared" si="6"/>
        <v>Scenario 3: Strong Convenience</v>
      </c>
    </row>
    <row r="41" spans="1:20" x14ac:dyDescent="0.35">
      <c r="A41" t="s">
        <v>89</v>
      </c>
      <c r="B41" s="1">
        <v>44001</v>
      </c>
      <c r="C41">
        <v>2020</v>
      </c>
      <c r="D41">
        <v>6</v>
      </c>
      <c r="E41" t="s">
        <v>78</v>
      </c>
      <c r="F41">
        <v>90</v>
      </c>
      <c r="G41" t="s">
        <v>90</v>
      </c>
      <c r="H41" t="s">
        <v>30</v>
      </c>
      <c r="I41">
        <v>0</v>
      </c>
      <c r="J41">
        <v>0</v>
      </c>
      <c r="K41">
        <v>5.6</v>
      </c>
      <c r="L41">
        <v>5775</v>
      </c>
      <c r="M41" t="s">
        <v>17</v>
      </c>
      <c r="N41" t="str">
        <f t="shared" si="0"/>
        <v>streaming</v>
      </c>
      <c r="O41" t="str">
        <f t="shared" si="1"/>
        <v>non-original</v>
      </c>
      <c r="P41" t="str">
        <f t="shared" si="2"/>
        <v>non-franchise</v>
      </c>
      <c r="Q41" t="str">
        <f t="shared" si="3"/>
        <v>new</v>
      </c>
      <c r="R41" s="2">
        <f t="shared" si="4"/>
        <v>1.942199006629948E-3</v>
      </c>
      <c r="S41">
        <f t="shared" si="5"/>
        <v>0.55578947368421039</v>
      </c>
      <c r="T41" t="str">
        <f t="shared" si="6"/>
        <v>Scenario 3: Strong Convenience</v>
      </c>
    </row>
    <row r="42" spans="1:20" x14ac:dyDescent="0.35">
      <c r="A42" t="s">
        <v>91</v>
      </c>
      <c r="B42" s="1">
        <v>44006</v>
      </c>
      <c r="C42">
        <v>2020</v>
      </c>
      <c r="D42">
        <v>6</v>
      </c>
      <c r="E42" t="s">
        <v>78</v>
      </c>
      <c r="F42">
        <v>94</v>
      </c>
      <c r="G42" t="s">
        <v>92</v>
      </c>
      <c r="H42" t="s">
        <v>30</v>
      </c>
      <c r="I42">
        <v>0</v>
      </c>
      <c r="J42">
        <v>0</v>
      </c>
      <c r="K42">
        <v>6.6</v>
      </c>
      <c r="L42">
        <v>16354</v>
      </c>
      <c r="M42" t="s">
        <v>17</v>
      </c>
      <c r="N42" t="str">
        <f t="shared" si="0"/>
        <v>streaming</v>
      </c>
      <c r="O42" t="str">
        <f t="shared" si="1"/>
        <v>non-original</v>
      </c>
      <c r="P42" t="str">
        <f t="shared" si="2"/>
        <v>non-franchise</v>
      </c>
      <c r="Q42" t="str">
        <f t="shared" si="3"/>
        <v>new</v>
      </c>
      <c r="R42" s="2">
        <f t="shared" si="4"/>
        <v>5.7444846947879939E-3</v>
      </c>
      <c r="S42">
        <f t="shared" si="5"/>
        <v>0.64015037593984958</v>
      </c>
      <c r="T42" t="str">
        <f t="shared" si="6"/>
        <v>Scenario 3: Strong Convenience</v>
      </c>
    </row>
    <row r="43" spans="1:20" x14ac:dyDescent="0.35">
      <c r="A43" t="s">
        <v>93</v>
      </c>
      <c r="B43" s="1">
        <v>44006</v>
      </c>
      <c r="C43">
        <v>2020</v>
      </c>
      <c r="D43">
        <v>6</v>
      </c>
      <c r="E43" t="s">
        <v>78</v>
      </c>
      <c r="F43">
        <v>91</v>
      </c>
      <c r="G43" t="s">
        <v>34</v>
      </c>
      <c r="H43" t="s">
        <v>30</v>
      </c>
      <c r="I43">
        <v>0</v>
      </c>
      <c r="J43">
        <v>0</v>
      </c>
      <c r="K43">
        <v>6.5</v>
      </c>
      <c r="L43">
        <v>5237</v>
      </c>
      <c r="M43" t="s">
        <v>17</v>
      </c>
      <c r="N43" t="str">
        <f t="shared" si="0"/>
        <v>streaming</v>
      </c>
      <c r="O43" t="str">
        <f t="shared" si="1"/>
        <v>non-original</v>
      </c>
      <c r="P43" t="str">
        <f t="shared" si="2"/>
        <v>non-franchise</v>
      </c>
      <c r="Q43" t="str">
        <f t="shared" si="3"/>
        <v>new</v>
      </c>
      <c r="R43" s="2">
        <f t="shared" si="4"/>
        <v>1.7808330043147945E-3</v>
      </c>
      <c r="S43">
        <f t="shared" si="5"/>
        <v>0.64144736842105277</v>
      </c>
      <c r="T43" t="str">
        <f t="shared" si="6"/>
        <v>Scenario 3: Strong Convenience</v>
      </c>
    </row>
    <row r="44" spans="1:20" x14ac:dyDescent="0.35">
      <c r="A44" t="s">
        <v>94</v>
      </c>
      <c r="B44" s="1">
        <v>44008</v>
      </c>
      <c r="C44">
        <v>2020</v>
      </c>
      <c r="D44">
        <v>6</v>
      </c>
      <c r="E44" t="s">
        <v>78</v>
      </c>
      <c r="F44">
        <v>123</v>
      </c>
      <c r="G44" t="s">
        <v>95</v>
      </c>
      <c r="H44" t="s">
        <v>27</v>
      </c>
      <c r="I44">
        <v>0</v>
      </c>
      <c r="J44">
        <v>0</v>
      </c>
      <c r="K44">
        <v>6.5</v>
      </c>
      <c r="L44">
        <v>108838</v>
      </c>
      <c r="M44" t="s">
        <v>17</v>
      </c>
      <c r="N44" t="str">
        <f t="shared" si="0"/>
        <v>streaming</v>
      </c>
      <c r="O44" t="str">
        <f t="shared" si="1"/>
        <v>non-original</v>
      </c>
      <c r="P44" t="str">
        <f t="shared" si="2"/>
        <v>non-franchise</v>
      </c>
      <c r="Q44" t="str">
        <f t="shared" si="3"/>
        <v>new</v>
      </c>
      <c r="R44" s="2">
        <f t="shared" si="4"/>
        <v>5.0024746175048783E-2</v>
      </c>
      <c r="S44">
        <f t="shared" si="5"/>
        <v>0.52415413533834598</v>
      </c>
      <c r="T44" t="str">
        <f t="shared" si="6"/>
        <v>Scenario 4: Hybrid Logic</v>
      </c>
    </row>
    <row r="45" spans="1:20" x14ac:dyDescent="0.35">
      <c r="A45" t="s">
        <v>96</v>
      </c>
      <c r="B45" s="1">
        <v>44013</v>
      </c>
      <c r="C45">
        <v>2020</v>
      </c>
      <c r="D45">
        <v>7</v>
      </c>
      <c r="E45" t="s">
        <v>78</v>
      </c>
      <c r="F45">
        <v>102</v>
      </c>
      <c r="G45" t="s">
        <v>97</v>
      </c>
      <c r="H45" t="s">
        <v>30</v>
      </c>
      <c r="I45">
        <v>0</v>
      </c>
      <c r="J45">
        <v>0</v>
      </c>
      <c r="K45">
        <v>5.6</v>
      </c>
      <c r="L45">
        <v>3494</v>
      </c>
      <c r="M45" t="s">
        <v>17</v>
      </c>
      <c r="N45" t="str">
        <f t="shared" si="0"/>
        <v>streaming</v>
      </c>
      <c r="O45" t="str">
        <f t="shared" si="1"/>
        <v>non-original</v>
      </c>
      <c r="P45" t="str">
        <f t="shared" si="2"/>
        <v>non-franchise</v>
      </c>
      <c r="Q45" t="str">
        <f t="shared" si="3"/>
        <v>new</v>
      </c>
      <c r="R45" s="2">
        <f t="shared" si="4"/>
        <v>1.3317487630107433E-3</v>
      </c>
      <c r="S45">
        <f t="shared" si="5"/>
        <v>0.51789473684210519</v>
      </c>
      <c r="T45" t="str">
        <f t="shared" si="6"/>
        <v>Scenario 3: Strong Convenience</v>
      </c>
    </row>
    <row r="46" spans="1:20" x14ac:dyDescent="0.35">
      <c r="A46" t="s">
        <v>98</v>
      </c>
      <c r="B46" s="1">
        <v>44015</v>
      </c>
      <c r="C46">
        <v>2020</v>
      </c>
      <c r="D46">
        <v>7</v>
      </c>
      <c r="E46" t="s">
        <v>78</v>
      </c>
      <c r="F46">
     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r="L46">
        <v>11605</v>
      </c>
      <c r="M46" t="s">
        <v>17</v>
      </c>
      <c r="N46" t="str">
        <f t="shared" si="0"/>
        <v>streaming</v>
      </c>
      <c r="O46" t="str">
        <f t="shared" si="1"/>
        <v>non-original</v>
      </c>
      <c r="P46" t="str">
        <f t="shared" si="2"/>
        <v>non-franchise</v>
      </c>
      <c r="Q46" t="str">
        <f t="shared" si="3"/>
        <v>new</v>
      </c>
      <c r="R46" s="2">
        <f t="shared" si="4"/>
        <v>4.5967431727286156E-3</v>
      </c>
      <c r="S46">
        <f t="shared" si="5"/>
        <v>0.46917293233082707</v>
      </c>
      <c r="T46" t="str">
        <f t="shared" si="6"/>
        <v>Scenario 2: Weak Commitment/Convenience</v>
      </c>
    </row>
    <row r="47" spans="1:20" x14ac:dyDescent="0.35">
      <c r="A47" t="s">
        <v>99</v>
      </c>
      <c r="B47" s="1">
        <v>44022</v>
      </c>
      <c r="C47">
        <v>2020</v>
      </c>
      <c r="D47">
        <v>7</v>
      </c>
      <c r="E47" t="s">
        <v>78</v>
      </c>
      <c r="F47">
        <v>125</v>
      </c>
      <c r="G47" t="s">
        <v>100</v>
      </c>
      <c r="H47" t="s">
        <v>24</v>
      </c>
      <c r="I47">
        <v>0</v>
      </c>
      <c r="J47">
        <v>0</v>
      </c>
      <c r="K47">
        <v>6.7</v>
      </c>
      <c r="L47">
        <v>208995</v>
      </c>
      <c r="M47" t="s">
        <v>17</v>
      </c>
      <c r="N47" t="str">
        <f t="shared" si="0"/>
        <v>streaming</v>
      </c>
      <c r="O47" t="str">
        <f t="shared" si="1"/>
        <v>non-original</v>
      </c>
      <c r="P47" t="str">
        <f t="shared" si="2"/>
        <v>non-franchise</v>
      </c>
      <c r="Q47" t="str">
        <f t="shared" si="3"/>
        <v>new</v>
      </c>
      <c r="R47" s="2">
        <f t="shared" si="4"/>
        <v>9.7621424095869644E-2</v>
      </c>
      <c r="S47">
        <f t="shared" si="5"/>
        <v>0.53272556390977455</v>
      </c>
      <c r="T47" t="str">
        <f t="shared" si="6"/>
        <v>Scenario 4: Hybrid Logic</v>
      </c>
    </row>
    <row r="48" spans="1:20" x14ac:dyDescent="0.35">
      <c r="A48" t="s">
        <v>101</v>
      </c>
      <c r="B48" s="1">
        <v>44027</v>
      </c>
      <c r="C48">
        <v>2020</v>
      </c>
      <c r="D48">
        <v>7</v>
      </c>
      <c r="E48" t="s">
        <v>78</v>
      </c>
      <c r="F48">
        <v>88</v>
      </c>
      <c r="G48" t="s">
        <v>21</v>
      </c>
      <c r="H48" t="s">
        <v>24</v>
      </c>
      <c r="I48">
        <v>0</v>
      </c>
      <c r="J48">
        <v>0</v>
      </c>
      <c r="K48">
        <v>4.8</v>
      </c>
      <c r="L48">
        <v>1989</v>
      </c>
      <c r="M48" t="s">
        <v>17</v>
      </c>
      <c r="N48" t="str">
        <f t="shared" si="0"/>
        <v>streaming</v>
      </c>
      <c r="O48" t="str">
        <f t="shared" si="1"/>
        <v>non-original</v>
      </c>
      <c r="P48" t="str">
        <f t="shared" si="2"/>
        <v>non-franchise</v>
      </c>
      <c r="Q48" t="str">
        <f t="shared" si="3"/>
        <v>new</v>
      </c>
      <c r="R48" s="2">
        <f t="shared" si="4"/>
        <v>6.5405863689938068E-4</v>
      </c>
      <c r="S48">
        <f t="shared" si="5"/>
        <v>0.48180451127819546</v>
      </c>
      <c r="T48" t="str">
        <f t="shared" si="6"/>
        <v>Scenario 2: Weak Commitment/Convenience</v>
      </c>
    </row>
    <row r="49" spans="1:20" x14ac:dyDescent="0.35">
      <c r="A49" t="s">
        <v>102</v>
      </c>
      <c r="B49" s="1">
        <v>44028</v>
      </c>
      <c r="C49">
        <v>2020</v>
      </c>
      <c r="D49">
        <v>7</v>
      </c>
      <c r="E49" t="s">
        <v>78</v>
      </c>
      <c r="F49">
        <v>89</v>
      </c>
      <c r="G49" t="s">
        <v>103</v>
      </c>
      <c r="H49" t="s">
        <v>30</v>
      </c>
      <c r="I49">
        <v>0</v>
      </c>
      <c r="J49">
        <v>0</v>
      </c>
      <c r="K49">
        <v>4.5999999999999996</v>
      </c>
      <c r="L49">
        <v>7288</v>
      </c>
      <c r="M49" t="s">
        <v>17</v>
      </c>
      <c r="N49" t="str">
        <f t="shared" si="0"/>
        <v>streaming</v>
      </c>
      <c r="O49" t="str">
        <f t="shared" si="1"/>
        <v>non-original</v>
      </c>
      <c r="P49" t="str">
        <f t="shared" si="2"/>
        <v>non-franchise</v>
      </c>
      <c r="Q49" t="str">
        <f t="shared" si="3"/>
        <v>new</v>
      </c>
      <c r="R49" s="2">
        <f t="shared" si="4"/>
        <v>2.4238045715601663E-3</v>
      </c>
      <c r="S49">
        <f t="shared" si="5"/>
        <v>0.45913533834586462</v>
      </c>
      <c r="T49" t="str">
        <f t="shared" si="6"/>
        <v>Scenario 2: Weak Commitment/Convenience</v>
      </c>
    </row>
    <row r="50" spans="1:20" x14ac:dyDescent="0.35">
      <c r="A50" t="s">
        <v>104</v>
      </c>
      <c r="B50" s="1">
        <v>44036</v>
      </c>
      <c r="C50">
        <v>2020</v>
      </c>
      <c r="D50">
        <v>7</v>
      </c>
      <c r="E50" t="s">
        <v>78</v>
      </c>
      <c r="F50">
        <v>139</v>
      </c>
      <c r="G50" t="s">
        <v>76</v>
      </c>
      <c r="H50" t="s">
        <v>24</v>
      </c>
      <c r="I50">
        <v>0</v>
      </c>
      <c r="J50">
        <v>0</v>
      </c>
      <c r="K50">
        <v>6.2</v>
      </c>
      <c r="L50">
        <v>8364</v>
      </c>
      <c r="M50" t="s">
        <v>17</v>
      </c>
      <c r="N50" t="str">
        <f t="shared" si="0"/>
        <v>streaming</v>
      </c>
      <c r="O50" t="str">
        <f t="shared" si="1"/>
        <v>non-original</v>
      </c>
      <c r="P50" t="str">
        <f t="shared" si="2"/>
        <v>non-franchise</v>
      </c>
      <c r="Q50" t="str">
        <f t="shared" si="3"/>
        <v>new</v>
      </c>
      <c r="R50" s="2">
        <f t="shared" si="4"/>
        <v>4.344382484486679E-3</v>
      </c>
      <c r="S50">
        <f t="shared" si="5"/>
        <v>0.44402255639097737</v>
      </c>
      <c r="T50" t="str">
        <f t="shared" si="6"/>
        <v>Scenario 2: Weak Commitment/Convenience</v>
      </c>
    </row>
    <row r="51" spans="1:20" x14ac:dyDescent="0.35">
      <c r="A51" t="s">
        <v>105</v>
      </c>
      <c r="B51" s="1">
        <v>44036</v>
      </c>
      <c r="C51">
        <v>2020</v>
      </c>
      <c r="D51">
        <v>7</v>
      </c>
      <c r="E51" t="s">
        <v>78</v>
      </c>
      <c r="F51">
        <v>132</v>
      </c>
      <c r="G51" t="s">
        <v>26</v>
      </c>
      <c r="H51" t="s">
        <v>27</v>
      </c>
      <c r="I51">
        <v>0</v>
      </c>
      <c r="J51">
        <v>0</v>
      </c>
      <c r="K51">
        <v>5.7</v>
      </c>
      <c r="L51">
        <v>43374</v>
      </c>
      <c r="M51" t="s">
        <v>17</v>
      </c>
      <c r="N51" t="str">
        <f t="shared" si="0"/>
        <v>streaming</v>
      </c>
      <c r="O51" t="str">
        <f t="shared" si="1"/>
        <v>non-original</v>
      </c>
      <c r="P51" t="str">
        <f t="shared" si="2"/>
        <v>non-franchise</v>
      </c>
      <c r="Q51" t="str">
        <f t="shared" si="3"/>
        <v>new</v>
      </c>
      <c r="R51" s="2">
        <f t="shared" si="4"/>
        <v>2.1394524371699648E-2</v>
      </c>
      <c r="S51">
        <f t="shared" si="5"/>
        <v>0.43071428571428577</v>
      </c>
      <c r="T51" t="str">
        <f t="shared" si="6"/>
        <v>Scenario 2: Weak Commitment/Convenience</v>
      </c>
    </row>
    <row r="52" spans="1:20" x14ac:dyDescent="0.35">
      <c r="A52" t="s">
        <v>106</v>
      </c>
      <c r="B52" s="1">
        <v>44043</v>
      </c>
      <c r="C52">
        <v>2020</v>
      </c>
      <c r="D52">
        <v>7</v>
      </c>
      <c r="E52" t="s">
        <v>78</v>
      </c>
      <c r="F52">
        <v>107</v>
      </c>
      <c r="G52" t="s">
        <v>21</v>
      </c>
      <c r="H52" t="s">
        <v>30</v>
      </c>
      <c r="I52">
        <v>0</v>
      </c>
      <c r="J52">
        <v>0</v>
      </c>
      <c r="K52">
        <v>4.5999999999999996</v>
      </c>
      <c r="L52">
        <v>1398</v>
      </c>
      <c r="M52" t="s">
        <v>17</v>
      </c>
      <c r="N52" t="str">
        <f t="shared" si="0"/>
        <v>streaming</v>
      </c>
      <c r="O52" t="str">
        <f t="shared" si="1"/>
        <v>non-original</v>
      </c>
      <c r="P52" t="str">
        <f t="shared" si="2"/>
        <v>non-franchise</v>
      </c>
      <c r="Q52" t="str">
        <f t="shared" si="3"/>
        <v>new</v>
      </c>
      <c r="R52" s="2">
        <f t="shared" si="4"/>
        <v>5.5897216085761892E-4</v>
      </c>
      <c r="S52">
        <f t="shared" si="5"/>
        <v>0.41244360902255639</v>
      </c>
      <c r="T52" t="str">
        <f t="shared" si="6"/>
        <v>Scenario 2: Weak Commitment/Convenience</v>
      </c>
    </row>
    <row r="53" spans="1:20" x14ac:dyDescent="0.35">
      <c r="A53" t="s">
        <v>107</v>
      </c>
      <c r="B53" s="1">
        <v>44043</v>
      </c>
      <c r="C53">
        <v>2020</v>
      </c>
      <c r="D53">
        <v>7</v>
      </c>
      <c r="E53" t="s">
        <v>78</v>
      </c>
      <c r="F53">
        <v>149</v>
      </c>
      <c r="G53" t="s">
        <v>19</v>
      </c>
      <c r="H53" t="s">
        <v>30</v>
      </c>
      <c r="I53">
        <v>0</v>
      </c>
      <c r="J53">
        <v>0</v>
      </c>
      <c r="K53">
        <v>7.2</v>
      </c>
      <c r="L53">
        <v>22543</v>
      </c>
      <c r="M53" t="s">
        <v>17</v>
      </c>
      <c r="N53" t="str">
        <f t="shared" si="0"/>
        <v>streaming</v>
      </c>
      <c r="O53" t="str">
        <f t="shared" si="1"/>
        <v>non-original</v>
      </c>
      <c r="P53" t="str">
        <f t="shared" si="2"/>
        <v>non-franchise</v>
      </c>
      <c r="Q53" t="str">
        <f t="shared" si="3"/>
        <v>new</v>
      </c>
      <c r="R53" s="2">
        <f t="shared" si="4"/>
        <v>1.2551545625324444E-2</v>
      </c>
      <c r="S53">
        <f t="shared" si="5"/>
        <v>0.47503759398496243</v>
      </c>
      <c r="T53" t="str">
        <f t="shared" si="6"/>
        <v>Scenario 2: Weak Commitment/Convenience</v>
      </c>
    </row>
    <row r="54" spans="1:20" x14ac:dyDescent="0.35">
      <c r="A54" t="s">
        <v>108</v>
      </c>
      <c r="B54" s="1">
        <v>44050</v>
      </c>
      <c r="C54">
        <v>2020</v>
      </c>
      <c r="D54">
        <v>8</v>
      </c>
      <c r="E54" t="s">
        <v>78</v>
      </c>
      <c r="F54">
        <v>93</v>
      </c>
      <c r="G54" t="s">
        <v>109</v>
      </c>
      <c r="H54" t="s">
        <v>27</v>
      </c>
      <c r="I54">
        <v>0</v>
      </c>
      <c r="J54">
        <v>0</v>
      </c>
      <c r="K54">
        <v>6.1</v>
      </c>
      <c r="L54">
        <v>17760</v>
      </c>
      <c r="M54" t="s">
        <v>17</v>
      </c>
      <c r="N54" t="str">
        <f t="shared" si="0"/>
        <v>streaming</v>
      </c>
      <c r="O54" t="str">
        <f t="shared" si="1"/>
        <v>non-original</v>
      </c>
      <c r="P54" t="str">
        <f t="shared" si="2"/>
        <v>non-franchise</v>
      </c>
      <c r="Q54" t="str">
        <f t="shared" si="3"/>
        <v>new</v>
      </c>
      <c r="R54" s="2">
        <f t="shared" si="4"/>
        <v>6.1719889471294909E-3</v>
      </c>
      <c r="S54">
        <f t="shared" si="5"/>
        <v>0.59509398496240606</v>
      </c>
      <c r="T54" t="str">
        <f t="shared" si="6"/>
        <v>Scenario 3: Strong Convenience</v>
      </c>
    </row>
    <row r="55" spans="1:20" x14ac:dyDescent="0.35">
      <c r="A55" t="s">
        <v>110</v>
      </c>
      <c r="B55" s="1">
        <v>44055</v>
      </c>
      <c r="C55">
        <v>2020</v>
      </c>
      <c r="D55">
        <v>8</v>
      </c>
      <c r="E55" t="s">
        <v>78</v>
      </c>
      <c r="F55">
        <v>112</v>
      </c>
      <c r="G55" t="s">
        <v>111</v>
      </c>
      <c r="H55" t="s">
        <v>30</v>
      </c>
      <c r="I55">
        <v>0</v>
      </c>
      <c r="J55">
        <v>0</v>
      </c>
      <c r="K55">
        <v>5.6</v>
      </c>
      <c r="L55">
        <v>36226</v>
      </c>
      <c r="M55" t="s">
        <v>17</v>
      </c>
      <c r="N55" t="str">
        <f t="shared" si="0"/>
        <v>streaming</v>
      </c>
      <c r="O55" t="str">
        <f t="shared" si="1"/>
        <v>non-original</v>
      </c>
      <c r="P55" t="str">
        <f t="shared" si="2"/>
        <v>non-franchise</v>
      </c>
      <c r="Q55" t="str">
        <f t="shared" si="3"/>
        <v>new</v>
      </c>
      <c r="R55" s="2">
        <f t="shared" si="4"/>
        <v>1.516134167578214E-2</v>
      </c>
      <c r="S55">
        <f t="shared" si="5"/>
        <v>0.48631578947368415</v>
      </c>
      <c r="T55" t="str">
        <f t="shared" si="6"/>
        <v>Scenario 2: Weak Commitment/Convenience</v>
      </c>
    </row>
    <row r="56" spans="1:20" x14ac:dyDescent="0.35">
      <c r="A56" t="s">
        <v>112</v>
      </c>
      <c r="B56" s="1">
        <v>44057</v>
      </c>
      <c r="C56">
        <v>2020</v>
      </c>
      <c r="D56">
        <v>8</v>
      </c>
      <c r="E56" t="s">
        <v>78</v>
      </c>
      <c r="F56">
        <v>113</v>
      </c>
      <c r="G56" t="s">
        <v>100</v>
      </c>
      <c r="H56" t="s">
        <v>24</v>
      </c>
      <c r="I56">
        <v>0</v>
      </c>
      <c r="J56">
        <v>0</v>
      </c>
      <c r="K56">
        <v>6</v>
      </c>
      <c r="L56">
        <v>103227</v>
      </c>
      <c r="M56" t="s">
        <v>17</v>
      </c>
      <c r="N56" t="str">
        <f t="shared" si="0"/>
        <v>streaming</v>
      </c>
      <c r="O56" t="str">
        <f t="shared" si="1"/>
        <v>non-original</v>
      </c>
      <c r="P56" t="str">
        <f t="shared" si="2"/>
        <v>non-franchise</v>
      </c>
      <c r="Q56" t="str">
        <f t="shared" si="3"/>
        <v>new</v>
      </c>
      <c r="R56" s="2">
        <f t="shared" si="4"/>
        <v>4.3588405165723966E-2</v>
      </c>
      <c r="S56">
        <f t="shared" si="5"/>
        <v>0.51766917293233072</v>
      </c>
      <c r="T56" t="str">
        <f t="shared" si="6"/>
        <v>Scenario 4: Hybrid Logic</v>
      </c>
    </row>
    <row r="57" spans="1:20" x14ac:dyDescent="0.35">
      <c r="A57" t="s">
        <v>113</v>
      </c>
      <c r="B57" s="1">
        <v>44057</v>
      </c>
      <c r="C57">
        <v>2020</v>
      </c>
      <c r="D57">
        <v>8</v>
      </c>
      <c r="E57" t="s">
        <v>78</v>
      </c>
      <c r="F57">
        <v>91</v>
      </c>
      <c r="G57" t="s">
        <v>114</v>
      </c>
      <c r="H57" t="s">
        <v>56</v>
      </c>
      <c r="I57">
        <v>0</v>
      </c>
      <c r="J57">
        <v>0</v>
      </c>
      <c r="K57">
        <v>5</v>
      </c>
      <c r="L57">
        <v>2100</v>
      </c>
      <c r="M57" t="s">
        <v>17</v>
      </c>
      <c r="N57" t="str">
        <f t="shared" si="0"/>
        <v>streaming</v>
      </c>
      <c r="O57" t="str">
        <f t="shared" si="1"/>
        <v>non-original</v>
      </c>
      <c r="P57" t="str">
        <f t="shared" si="2"/>
        <v>non-franchise</v>
      </c>
      <c r="Q57" t="str">
        <f t="shared" si="3"/>
        <v>new</v>
      </c>
      <c r="R57" s="2">
        <f t="shared" si="4"/>
        <v>7.1410145294272843E-4</v>
      </c>
      <c r="S57">
        <f t="shared" si="5"/>
        <v>0.49342105263157898</v>
      </c>
      <c r="T57" t="str">
        <f t="shared" si="6"/>
        <v>Scenario 2: Weak Commitment/Convenience</v>
      </c>
    </row>
    <row r="58" spans="1:20" x14ac:dyDescent="0.35">
      <c r="A58" t="s">
        <v>115</v>
      </c>
      <c r="B58" s="1">
        <v>44060</v>
      </c>
      <c r="C58">
        <v>2020</v>
      </c>
      <c r="D58">
        <v>8</v>
      </c>
      <c r="E58" t="s">
        <v>78</v>
      </c>
      <c r="F58">
        <v>101</v>
      </c>
      <c r="G58" t="s">
        <v>116</v>
      </c>
      <c r="H58" t="s">
        <v>30</v>
      </c>
      <c r="I58">
        <v>0</v>
      </c>
      <c r="J58">
        <v>0</v>
      </c>
      <c r="K58">
        <v>6.2</v>
      </c>
      <c r="L58">
        <v>611</v>
      </c>
      <c r="M58" t="s">
        <v>17</v>
      </c>
      <c r="N58" t="str">
        <f t="shared" si="0"/>
        <v>streaming</v>
      </c>
      <c r="O58" t="str">
        <f t="shared" si="1"/>
        <v>non-original</v>
      </c>
      <c r="P58" t="str">
        <f t="shared" si="2"/>
        <v>non-franchise</v>
      </c>
      <c r="Q58" t="str">
        <f t="shared" si="3"/>
        <v>new</v>
      </c>
      <c r="R58" s="2">
        <f t="shared" si="4"/>
        <v>2.306013331373559E-4</v>
      </c>
      <c r="S58">
        <f t="shared" si="5"/>
        <v>0.57687969924812021</v>
      </c>
      <c r="T58" t="str">
        <f t="shared" si="6"/>
        <v>Scenario 3: Strong Convenience</v>
      </c>
    </row>
    <row r="59" spans="1:20" x14ac:dyDescent="0.35">
      <c r="A59" t="s">
        <v>117</v>
      </c>
      <c r="B59" s="1">
        <v>44063</v>
      </c>
      <c r="C59">
        <v>2020</v>
      </c>
      <c r="D59">
        <v>8</v>
      </c>
      <c r="E59" t="s">
        <v>78</v>
      </c>
      <c r="F59">
        <v>99</v>
      </c>
      <c r="G59" t="s">
        <v>43</v>
      </c>
      <c r="H59" t="s">
        <v>30</v>
      </c>
      <c r="I59">
        <v>0</v>
      </c>
      <c r="J59">
        <v>0</v>
      </c>
      <c r="K59">
        <v>6.7</v>
      </c>
      <c r="L59">
        <v>4872</v>
      </c>
      <c r="M59" t="s">
        <v>17</v>
      </c>
      <c r="N59" t="str">
        <f t="shared" si="0"/>
        <v>streaming</v>
      </c>
      <c r="O59" t="str">
        <f t="shared" si="1"/>
        <v>non-original</v>
      </c>
      <c r="P59" t="str">
        <f t="shared" si="2"/>
        <v>non-franchise</v>
      </c>
      <c r="Q59" t="str">
        <f t="shared" si="3"/>
        <v>new</v>
      </c>
      <c r="R59" s="2">
        <f t="shared" si="4"/>
        <v>1.8023606781525916E-3</v>
      </c>
      <c r="S59">
        <f t="shared" si="5"/>
        <v>0.63095864661654144</v>
      </c>
      <c r="T59" t="str">
        <f t="shared" si="6"/>
        <v>Scenario 3: Strong Convenience</v>
      </c>
    </row>
    <row r="60" spans="1:20" x14ac:dyDescent="0.35">
      <c r="A60" t="s">
        <v>118</v>
      </c>
      <c r="B60" s="1">
        <v>44064</v>
      </c>
      <c r="C60">
        <v>2020</v>
      </c>
      <c r="D60">
        <v>8</v>
      </c>
      <c r="E60" t="s">
        <v>78</v>
      </c>
      <c r="F60">
        <v>103</v>
      </c>
      <c r="G60" t="s">
        <v>41</v>
      </c>
      <c r="H60" t="s">
        <v>27</v>
      </c>
      <c r="I60">
        <v>0</v>
      </c>
      <c r="J60">
        <v>0</v>
      </c>
      <c r="K60">
        <v>5.7</v>
      </c>
      <c r="L60">
        <v>13288</v>
      </c>
      <c r="M60" t="s">
        <v>17</v>
      </c>
      <c r="N60" t="str">
        <f t="shared" si="0"/>
        <v>streaming</v>
      </c>
      <c r="O60" t="str">
        <f t="shared" si="1"/>
        <v>non-original</v>
      </c>
      <c r="P60" t="str">
        <f t="shared" si="2"/>
        <v>non-franchise</v>
      </c>
      <c r="Q60" t="str">
        <f t="shared" si="3"/>
        <v>new</v>
      </c>
      <c r="R60" s="2">
        <f t="shared" si="4"/>
        <v>5.1144162793846492E-3</v>
      </c>
      <c r="S60">
        <f t="shared" si="5"/>
        <v>0.52392857142857141</v>
      </c>
      <c r="T60" t="str">
        <f t="shared" si="6"/>
        <v>Scenario 3: Strong Convenience</v>
      </c>
    </row>
    <row r="61" spans="1:20" x14ac:dyDescent="0.35">
      <c r="A61" t="s">
        <v>119</v>
      </c>
      <c r="B61" s="1">
        <v>44064</v>
      </c>
      <c r="C61">
        <v>2020</v>
      </c>
      <c r="D61">
        <v>8</v>
      </c>
      <c r="E61" t="s">
        <v>78</v>
      </c>
      <c r="F61">
        <v>98</v>
      </c>
      <c r="G61" t="s">
        <v>120</v>
      </c>
      <c r="H61" t="s">
        <v>30</v>
      </c>
      <c r="I61">
        <v>0</v>
      </c>
      <c r="J61">
        <v>0</v>
      </c>
      <c r="K61">
        <v>5.8</v>
      </c>
      <c r="L61">
        <v>6214</v>
      </c>
      <c r="M61" t="s">
        <v>17</v>
      </c>
      <c r="N61" t="str">
        <f t="shared" si="0"/>
        <v>streaming</v>
      </c>
      <c r="O61" t="str">
        <f t="shared" si="1"/>
        <v>non-original</v>
      </c>
      <c r="P61" t="str">
        <f t="shared" si="2"/>
        <v>non-franchise</v>
      </c>
      <c r="Q61" t="str">
        <f t="shared" si="3"/>
        <v>new</v>
      </c>
      <c r="R61" s="2">
        <f t="shared" si="4"/>
        <v>2.275603296710828E-3</v>
      </c>
      <c r="S61">
        <f t="shared" si="5"/>
        <v>0.54947368421052623</v>
      </c>
      <c r="T61" t="str">
        <f t="shared" si="6"/>
        <v>Scenario 3: Strong Convenience</v>
      </c>
    </row>
    <row r="62" spans="1:20" x14ac:dyDescent="0.35">
      <c r="A62" t="s">
        <v>121</v>
      </c>
      <c r="B62" s="1">
        <v>44064</v>
      </c>
      <c r="C62">
        <v>2020</v>
      </c>
      <c r="D62">
        <v>8</v>
      </c>
      <c r="E62" t="s">
        <v>78</v>
      </c>
      <c r="F62">
        <v>81</v>
      </c>
      <c r="G62" t="s">
        <v>19</v>
      </c>
      <c r="H62" t="s">
        <v>30</v>
      </c>
      <c r="I62">
        <v>0</v>
      </c>
      <c r="J62">
        <v>0</v>
      </c>
      <c r="K62">
        <v>2.8</v>
      </c>
      <c r="L62">
        <v>765</v>
      </c>
      <c r="M62" t="s">
        <v>17</v>
      </c>
      <c r="N62" t="str">
        <f t="shared" si="0"/>
        <v>streaming</v>
      </c>
      <c r="O62" t="str">
        <f t="shared" si="1"/>
        <v>non-original</v>
      </c>
      <c r="P62" t="str">
        <f t="shared" si="2"/>
        <v>non-franchise</v>
      </c>
      <c r="Q62" t="str">
        <f t="shared" si="3"/>
        <v>new</v>
      </c>
      <c r="R62" s="2">
        <f t="shared" si="4"/>
        <v>2.3155047897224575E-4</v>
      </c>
      <c r="S62">
        <f t="shared" si="5"/>
        <v>0.2921052631578947</v>
      </c>
      <c r="T62" t="str">
        <f t="shared" si="6"/>
        <v>Scenario 2: Weak Commitment/Convenience</v>
      </c>
    </row>
    <row r="63" spans="1:20" x14ac:dyDescent="0.35">
      <c r="A63" t="s">
        <v>122</v>
      </c>
      <c r="B63" s="1">
        <v>44071</v>
      </c>
      <c r="C63">
        <v>2020</v>
      </c>
      <c r="D63">
        <v>8</v>
      </c>
      <c r="E63" t="s">
        <v>78</v>
      </c>
      <c r="F63">
        <v>93</v>
      </c>
      <c r="G63" t="s">
        <v>34</v>
      </c>
      <c r="H63" t="s">
        <v>56</v>
      </c>
      <c r="I63">
        <v>0</v>
      </c>
      <c r="J63">
        <v>0</v>
      </c>
      <c r="K63">
        <v>6.5</v>
      </c>
      <c r="L63">
        <v>5443</v>
      </c>
      <c r="M63" t="s">
        <v>17</v>
      </c>
      <c r="N63" t="str">
        <f t="shared" si="0"/>
        <v>streaming</v>
      </c>
      <c r="O63" t="str">
        <f t="shared" si="1"/>
        <v>non-original</v>
      </c>
      <c r="P63" t="str">
        <f t="shared" si="2"/>
        <v>non-franchise</v>
      </c>
      <c r="Q63" t="str">
        <f t="shared" si="3"/>
        <v>new</v>
      </c>
      <c r="R63" s="2">
        <f t="shared" si="4"/>
        <v>1.8915617026591112E-3</v>
      </c>
      <c r="S63">
        <f t="shared" si="5"/>
        <v>0.63411654135338347</v>
      </c>
      <c r="T63" t="str">
        <f t="shared" si="6"/>
        <v>Scenario 3: Strong Convenience</v>
      </c>
    </row>
    <row r="64" spans="1:20" x14ac:dyDescent="0.35">
      <c r="A64" t="s">
        <v>123</v>
      </c>
      <c r="B64" s="1">
        <v>44071</v>
      </c>
      <c r="C64">
        <v>2020</v>
      </c>
      <c r="D64">
        <v>8</v>
      </c>
      <c r="E64" t="s">
        <v>78</v>
      </c>
      <c r="F64">
        <v>96</v>
      </c>
      <c r="G64" t="s">
        <v>19</v>
      </c>
      <c r="H64" t="s">
        <v>30</v>
      </c>
      <c r="I64">
        <v>0</v>
      </c>
      <c r="J64">
        <v>0</v>
      </c>
      <c r="K64">
        <v>6.1</v>
      </c>
      <c r="L64">
        <v>8022</v>
      </c>
      <c r="M64" t="s">
        <v>17</v>
      </c>
      <c r="N64" t="str">
        <f t="shared" si="0"/>
        <v>streaming</v>
      </c>
      <c r="O64" t="str">
        <f t="shared" si="1"/>
        <v>non-original</v>
      </c>
      <c r="P64" t="str">
        <f t="shared" si="2"/>
        <v>non-franchise</v>
      </c>
      <c r="Q64" t="str">
        <f t="shared" si="3"/>
        <v>new</v>
      </c>
      <c r="R64" s="2">
        <f t="shared" si="4"/>
        <v>2.8777503826720586E-3</v>
      </c>
      <c r="S64">
        <f t="shared" si="5"/>
        <v>0.58477443609022561</v>
      </c>
      <c r="T64" t="str">
        <f t="shared" si="6"/>
        <v>Scenario 3: Strong Convenience</v>
      </c>
    </row>
    <row r="65" spans="1:20" x14ac:dyDescent="0.35">
      <c r="A65" t="s">
        <v>124</v>
      </c>
      <c r="B65" s="1">
        <v>44077</v>
      </c>
      <c r="C65">
        <v>2020</v>
      </c>
      <c r="D65">
        <v>9</v>
      </c>
      <c r="E65" t="s">
        <v>125</v>
      </c>
      <c r="F65">
        <v>91</v>
      </c>
      <c r="G65" t="s">
        <v>29</v>
      </c>
      <c r="H65" t="s">
        <v>56</v>
      </c>
      <c r="I65">
        <v>0</v>
      </c>
      <c r="J65">
        <v>0</v>
      </c>
      <c r="K65">
        <v>5.6</v>
      </c>
      <c r="L65">
        <v>20295</v>
      </c>
      <c r="M65" t="s">
        <v>17</v>
      </c>
      <c r="N65" t="str">
        <f t="shared" si="0"/>
        <v>streaming</v>
      </c>
      <c r="O65" t="str">
        <f t="shared" si="1"/>
        <v>non-original</v>
      </c>
      <c r="P65" t="str">
        <f t="shared" si="2"/>
        <v>non-franchise</v>
      </c>
      <c r="Q65" t="str">
        <f t="shared" si="3"/>
        <v>new</v>
      </c>
      <c r="R65" s="2">
        <f t="shared" si="4"/>
        <v>6.9012804702250821E-3</v>
      </c>
      <c r="S65">
        <f t="shared" si="5"/>
        <v>0.55263157894736836</v>
      </c>
      <c r="T65" t="str">
        <f t="shared" si="6"/>
        <v>Scenario 3: Strong Convenience</v>
      </c>
    </row>
    <row r="66" spans="1:20" x14ac:dyDescent="0.35">
      <c r="A66" t="s">
        <v>126</v>
      </c>
      <c r="B66" s="1">
        <v>44078</v>
      </c>
      <c r="C66">
        <v>2020</v>
      </c>
      <c r="D66">
        <v>9</v>
      </c>
      <c r="E66" t="s">
        <v>125</v>
      </c>
      <c r="F66">
        <v>134</v>
      </c>
      <c r="G66" t="s">
        <v>103</v>
      </c>
      <c r="H66" t="s">
        <v>24</v>
      </c>
      <c r="I66">
        <v>0</v>
      </c>
      <c r="J66">
        <v>0</v>
      </c>
      <c r="K66">
        <v>6.5</v>
      </c>
      <c r="L66">
        <v>109074</v>
      </c>
      <c r="M66" t="s">
        <v>17</v>
      </c>
      <c r="N66" t="str">
        <f t="shared" si="0"/>
        <v>streaming</v>
      </c>
      <c r="O66" t="str">
        <f t="shared" si="1"/>
        <v>non-original</v>
      </c>
      <c r="P66" t="str">
        <f t="shared" si="2"/>
        <v>non-franchise</v>
      </c>
      <c r="Q66" t="str">
        <f t="shared" si="3"/>
        <v>new</v>
      </c>
      <c r="R66" s="2">
        <f t="shared" si="4"/>
        <v>5.4616676356299694E-2</v>
      </c>
      <c r="S66">
        <f t="shared" si="5"/>
        <v>0.48383458646616545</v>
      </c>
      <c r="T66" t="str">
        <f t="shared" si="6"/>
        <v>Scenario 1: Strong Commitment</v>
      </c>
    </row>
    <row r="67" spans="1:20" x14ac:dyDescent="0.35">
      <c r="A67" t="s">
        <v>127</v>
      </c>
      <c r="B67" s="1">
        <v>44084</v>
      </c>
      <c r="C67">
        <v>2020</v>
      </c>
      <c r="D67">
        <v>9</v>
      </c>
      <c r="E67" t="s">
        <v>125</v>
      </c>
      <c r="F67">
        <v>102</v>
      </c>
      <c r="G67" t="s">
        <v>128</v>
      </c>
      <c r="H67" t="s">
        <v>24</v>
      </c>
      <c r="I67">
        <v>0</v>
      </c>
      <c r="J67">
        <v>1</v>
      </c>
      <c r="K67">
        <v>5.8</v>
      </c>
      <c r="L67">
        <v>59268</v>
      </c>
      <c r="M67" t="s">
        <v>17</v>
      </c>
      <c r="N67" t="str">
        <f t="shared" ref="N67:N130" si="7">IF(ISNUMBER(SEARCH("Streaming", M67)), "streaming", "cinema")</f>
        <v>streaming</v>
      </c>
      <c r="O67" t="str">
        <f t="shared" ref="O67:O130" si="8">IF(I67=1, "original", "non-original")</f>
        <v>non-original</v>
      </c>
      <c r="P67" t="str">
        <f t="shared" ref="P67:P130" si="9">IF(J67 = 1, "franchise", "non-franchise")</f>
        <v>franchise</v>
      </c>
      <c r="Q67" t="str">
        <f t="shared" ref="Q67:Q130" si="10">IF(OR(I67 = 1,J67 =1), "old", "new")</f>
        <v>old</v>
      </c>
      <c r="R67" s="2">
        <f t="shared" ref="R67:R130" si="11">IF(Q67="old", 1.5, 1) * (L67 / MAX($L$2:$L$1000)) * (F67 / MAX($F$2:$F$1000))</f>
        <v>3.3885268611671758E-2</v>
      </c>
      <c r="S67">
        <f t="shared" ref="S67:S130" si="12">IF(Q67="new", 1.5, 1) * (K67 / 10) * (1 - (F67 / MAX($F$2:$F$1000)))</f>
        <v>0.35759398496240602</v>
      </c>
      <c r="T67" t="str">
        <f t="shared" ref="T67:T130" si="13">IF(AND(R67&gt;=0.03, S67&gt;=0.5), "Scenario 4: Hybrid Logic",
 IF(AND(R67&gt;=0.03, S67&lt;0.5), "Scenario 1: Strong Commitment",
  IF(AND(R67&lt;0.03, S67&gt;=0.5), "Scenario 3: Strong Convenience",
   "Scenario 2: Weak Commitment/Convenience")))</f>
        <v>Scenario 1: Strong Commitment</v>
      </c>
    </row>
    <row r="68" spans="1:20" x14ac:dyDescent="0.35">
      <c r="A68" t="s">
        <v>129</v>
      </c>
      <c r="B68" s="1">
        <v>44085</v>
      </c>
      <c r="C68">
        <v>2020</v>
      </c>
      <c r="D68">
        <v>9</v>
      </c>
      <c r="E68" t="s">
        <v>125</v>
      </c>
      <c r="F68">
        <v>103</v>
      </c>
      <c r="G68" t="s">
        <v>130</v>
      </c>
      <c r="H68" t="s">
        <v>30</v>
      </c>
      <c r="I68">
        <v>0</v>
      </c>
      <c r="J68">
        <v>0</v>
      </c>
      <c r="K68">
        <v>5.8</v>
      </c>
      <c r="L68">
        <v>1261</v>
      </c>
      <c r="M68" t="s">
        <v>17</v>
      </c>
      <c r="N68" t="str">
        <f t="shared" si="7"/>
        <v>streaming</v>
      </c>
      <c r="O68" t="str">
        <f t="shared" si="8"/>
        <v>non-original</v>
      </c>
      <c r="P68" t="str">
        <f t="shared" si="9"/>
        <v>non-franchise</v>
      </c>
      <c r="Q68" t="str">
        <f t="shared" si="10"/>
        <v>new</v>
      </c>
      <c r="R68" s="2">
        <f t="shared" si="11"/>
        <v>4.8534609635039446E-4</v>
      </c>
      <c r="S68">
        <f t="shared" si="12"/>
        <v>0.53312030075187955</v>
      </c>
      <c r="T68" t="str">
        <f t="shared" si="13"/>
        <v>Scenario 3: Strong Convenience</v>
      </c>
    </row>
    <row r="69" spans="1:20" x14ac:dyDescent="0.35">
      <c r="A69" t="s">
        <v>131</v>
      </c>
      <c r="B69" s="1">
        <v>44090</v>
      </c>
      <c r="C69">
        <v>2020</v>
      </c>
      <c r="D69">
        <v>9</v>
      </c>
      <c r="E69" t="s">
        <v>125</v>
      </c>
      <c r="F69">
        <v>138</v>
      </c>
      <c r="G69" t="s">
        <v>103</v>
      </c>
      <c r="H69" t="s">
        <v>24</v>
      </c>
      <c r="I69">
        <v>0</v>
      </c>
      <c r="J69">
        <v>0</v>
      </c>
      <c r="K69">
        <v>7.1</v>
      </c>
      <c r="L69">
        <v>167814</v>
      </c>
      <c r="M69" t="s">
        <v>17</v>
      </c>
      <c r="N69" t="str">
        <f t="shared" si="7"/>
        <v>streaming</v>
      </c>
      <c r="O69" t="str">
        <f t="shared" si="8"/>
        <v>non-original</v>
      </c>
      <c r="P69" t="str">
        <f t="shared" si="9"/>
        <v>non-franchise</v>
      </c>
      <c r="Q69" t="str">
        <f t="shared" si="10"/>
        <v>new</v>
      </c>
      <c r="R69" s="2">
        <f t="shared" si="11"/>
        <v>8.6537930554317549E-2</v>
      </c>
      <c r="S69">
        <f t="shared" si="12"/>
        <v>0.51248120300751876</v>
      </c>
      <c r="T69" t="str">
        <f t="shared" si="13"/>
        <v>Scenario 4: Hybrid Logic</v>
      </c>
    </row>
    <row r="70" spans="1:20" x14ac:dyDescent="0.35">
      <c r="A70" t="s">
        <v>132</v>
      </c>
      <c r="B70" s="1">
        <v>44090</v>
      </c>
      <c r="C70">
        <v>2020</v>
      </c>
      <c r="D70">
        <v>9</v>
      </c>
      <c r="E70" t="s">
        <v>125</v>
      </c>
      <c r="F70">
        <v>94</v>
      </c>
      <c r="G70" t="s">
        <v>19</v>
      </c>
      <c r="H70" t="s">
        <v>30</v>
      </c>
      <c r="I70">
        <v>0</v>
      </c>
      <c r="J70">
        <v>0</v>
      </c>
      <c r="K70">
        <v>5.7</v>
      </c>
      <c r="L70">
        <v>16148</v>
      </c>
      <c r="M70" t="s">
        <v>17</v>
      </c>
      <c r="N70" t="str">
        <f t="shared" si="7"/>
        <v>streaming</v>
      </c>
      <c r="O70" t="str">
        <f t="shared" si="8"/>
        <v>non-original</v>
      </c>
      <c r="P70" t="str">
        <f t="shared" si="9"/>
        <v>non-franchise</v>
      </c>
      <c r="Q70" t="str">
        <f t="shared" si="10"/>
        <v>new</v>
      </c>
      <c r="R70" s="2">
        <f t="shared" si="11"/>
        <v>5.6721254036588313E-3</v>
      </c>
      <c r="S70">
        <f t="shared" si="12"/>
        <v>0.55285714285714294</v>
      </c>
      <c r="T70" t="str">
        <f t="shared" si="13"/>
        <v>Scenario 3: Strong Convenience</v>
      </c>
    </row>
    <row r="71" spans="1:20" x14ac:dyDescent="0.35">
      <c r="A71" t="s">
        <v>133</v>
      </c>
      <c r="B71" s="1">
        <v>44092</v>
      </c>
      <c r="C71">
        <v>2020</v>
      </c>
      <c r="D71">
        <v>9</v>
      </c>
      <c r="E71" t="s">
        <v>125</v>
      </c>
      <c r="F71">
        <v>97</v>
      </c>
      <c r="G71" t="s">
        <v>29</v>
      </c>
      <c r="H71" t="s">
        <v>30</v>
      </c>
      <c r="I71">
        <v>0</v>
      </c>
      <c r="J71">
        <v>0</v>
      </c>
      <c r="K71">
        <v>4.2</v>
      </c>
      <c r="L71">
        <v>702</v>
      </c>
      <c r="M71" t="s">
        <v>17</v>
      </c>
      <c r="N71" t="str">
        <f t="shared" si="7"/>
        <v>streaming</v>
      </c>
      <c r="O71" t="str">
        <f t="shared" si="8"/>
        <v>non-original</v>
      </c>
      <c r="P71" t="str">
        <f t="shared" si="9"/>
        <v>non-franchise</v>
      </c>
      <c r="Q71" t="str">
        <f t="shared" si="10"/>
        <v>new</v>
      </c>
      <c r="R71" s="2">
        <f t="shared" si="11"/>
        <v>2.5445329323224569E-4</v>
      </c>
      <c r="S71">
        <f t="shared" si="12"/>
        <v>0.40026315789473693</v>
      </c>
      <c r="T71" t="str">
        <f t="shared" si="13"/>
        <v>Scenario 2: Weak Commitment/Convenience</v>
      </c>
    </row>
    <row r="72" spans="1:20" x14ac:dyDescent="0.35">
      <c r="A72" t="s">
        <v>134</v>
      </c>
      <c r="B72" s="1">
        <v>44104</v>
      </c>
      <c r="C72">
        <v>2020</v>
      </c>
      <c r="D72">
        <v>9</v>
      </c>
      <c r="E72" t="s">
        <v>125</v>
      </c>
      <c r="F72">
        <v>122</v>
      </c>
      <c r="G72" t="s">
        <v>34</v>
      </c>
      <c r="H72" t="s">
        <v>24</v>
      </c>
      <c r="I72">
        <v>0</v>
      </c>
      <c r="J72">
        <v>0</v>
      </c>
      <c r="K72">
        <v>6.8</v>
      </c>
      <c r="L72">
        <v>19396</v>
      </c>
      <c r="M72" t="s">
        <v>17</v>
      </c>
      <c r="N72" t="str">
        <f t="shared" si="7"/>
        <v>streaming</v>
      </c>
      <c r="O72" t="str">
        <f t="shared" si="8"/>
        <v>non-original</v>
      </c>
      <c r="P72" t="str">
        <f t="shared" si="9"/>
        <v>non-franchise</v>
      </c>
      <c r="Q72" t="str">
        <f t="shared" si="10"/>
        <v>new</v>
      </c>
      <c r="R72" s="2">
        <f t="shared" si="11"/>
        <v>8.8424219639759976E-3</v>
      </c>
      <c r="S72">
        <f t="shared" si="12"/>
        <v>0.55218045112781955</v>
      </c>
      <c r="T72" t="str">
        <f t="shared" si="13"/>
        <v>Scenario 3: Strong Convenience</v>
      </c>
    </row>
    <row r="73" spans="1:20" x14ac:dyDescent="0.35">
      <c r="A73" t="s">
        <v>135</v>
      </c>
      <c r="B73" s="1">
        <v>44105</v>
      </c>
      <c r="C73">
        <v>2020</v>
      </c>
      <c r="D73">
        <v>10</v>
      </c>
      <c r="E73" t="s">
        <v>125</v>
      </c>
      <c r="F73">
        <v>101</v>
      </c>
      <c r="G73" t="s">
        <v>41</v>
      </c>
      <c r="H73" t="s">
        <v>30</v>
      </c>
      <c r="I73">
        <v>0</v>
      </c>
      <c r="J73">
        <v>0</v>
      </c>
      <c r="K73">
        <v>4.0999999999999996</v>
      </c>
      <c r="L73">
        <v>297</v>
      </c>
      <c r="M73" t="s">
        <v>17</v>
      </c>
      <c r="N73" t="str">
        <f t="shared" si="7"/>
        <v>streaming</v>
      </c>
      <c r="O73" t="str">
        <f t="shared" si="8"/>
        <v>non-original</v>
      </c>
      <c r="P73" t="str">
        <f t="shared" si="9"/>
        <v>non-franchise</v>
      </c>
      <c r="Q73" t="str">
        <f t="shared" si="10"/>
        <v>new</v>
      </c>
      <c r="R73" s="2">
        <f t="shared" si="11"/>
        <v>1.1209262838264272E-4</v>
      </c>
      <c r="S73">
        <f t="shared" si="12"/>
        <v>0.38148496240601504</v>
      </c>
      <c r="T73" t="str">
        <f t="shared" si="13"/>
        <v>Scenario 2: Weak Commitment/Convenience</v>
      </c>
    </row>
    <row r="74" spans="1:20" x14ac:dyDescent="0.35">
      <c r="A74" t="s">
        <v>136</v>
      </c>
      <c r="B74" s="1">
        <v>44106</v>
      </c>
      <c r="C74">
        <v>2020</v>
      </c>
      <c r="D74">
        <v>10</v>
      </c>
      <c r="E74" t="s">
        <v>125</v>
      </c>
      <c r="F74">
        <v>114</v>
      </c>
      <c r="G74" t="s">
        <v>116</v>
      </c>
      <c r="H74" t="s">
        <v>30</v>
      </c>
      <c r="I74">
        <v>0</v>
      </c>
      <c r="J74">
        <v>0</v>
      </c>
      <c r="K74">
        <v>6.8</v>
      </c>
      <c r="L74">
        <v>8637</v>
      </c>
      <c r="M74" t="s">
        <v>17</v>
      </c>
      <c r="N74" t="str">
        <f t="shared" si="7"/>
        <v>streaming</v>
      </c>
      <c r="O74" t="str">
        <f t="shared" si="8"/>
        <v>non-original</v>
      </c>
      <c r="P74" t="str">
        <f t="shared" si="9"/>
        <v>non-franchise</v>
      </c>
      <c r="Q74" t="str">
        <f t="shared" si="10"/>
        <v>new</v>
      </c>
      <c r="R74" s="2">
        <f t="shared" si="11"/>
        <v>3.6793152506204257E-3</v>
      </c>
      <c r="S74">
        <f t="shared" si="12"/>
        <v>0.58285714285714285</v>
      </c>
      <c r="T74" t="str">
        <f t="shared" si="13"/>
        <v>Scenario 3: Strong Convenience</v>
      </c>
    </row>
    <row r="75" spans="1:20" x14ac:dyDescent="0.35">
      <c r="A75" t="s">
        <v>137</v>
      </c>
      <c r="B75" s="1">
        <v>44106</v>
      </c>
      <c r="C75">
        <v>2020</v>
      </c>
      <c r="D75">
        <v>10</v>
      </c>
      <c r="E75" t="s">
        <v>125</v>
      </c>
      <c r="F75">
        <v>93</v>
      </c>
      <c r="G75" t="s">
        <v>92</v>
      </c>
      <c r="H75" t="s">
        <v>30</v>
      </c>
      <c r="I75">
        <v>0</v>
      </c>
      <c r="J75">
        <v>0</v>
      </c>
      <c r="K75">
        <v>4.8</v>
      </c>
      <c r="L75">
        <v>5192</v>
      </c>
      <c r="M75" t="s">
        <v>17</v>
      </c>
      <c r="N75" t="str">
        <f t="shared" si="7"/>
        <v>streaming</v>
      </c>
      <c r="O75" t="str">
        <f t="shared" si="8"/>
        <v>non-original</v>
      </c>
      <c r="P75" t="str">
        <f t="shared" si="9"/>
        <v>non-franchise</v>
      </c>
      <c r="Q75" t="str">
        <f t="shared" si="10"/>
        <v>new</v>
      </c>
      <c r="R75" s="2">
        <f t="shared" si="11"/>
        <v>1.8043337057148828E-3</v>
      </c>
      <c r="S75">
        <f t="shared" si="12"/>
        <v>0.46827067669172928</v>
      </c>
      <c r="T75" t="str">
        <f t="shared" si="13"/>
        <v>Scenario 2: Weak Commitment/Convenience</v>
      </c>
    </row>
    <row r="76" spans="1:20" x14ac:dyDescent="0.35">
      <c r="A76" t="s">
        <v>138</v>
      </c>
      <c r="B76" s="1">
        <v>44106</v>
      </c>
      <c r="C76">
        <v>2020</v>
      </c>
      <c r="D76">
        <v>10</v>
      </c>
      <c r="E76" t="s">
        <v>125</v>
      </c>
      <c r="F76">
        <v>85</v>
      </c>
      <c r="G76" t="s">
        <v>139</v>
      </c>
      <c r="H76" t="s">
        <v>27</v>
      </c>
      <c r="I76">
        <v>0</v>
      </c>
      <c r="J76">
        <v>0</v>
      </c>
      <c r="K76">
        <v>5.7</v>
      </c>
      <c r="L76">
        <v>11946</v>
      </c>
      <c r="M76" t="s">
        <v>17</v>
      </c>
      <c r="N76" t="str">
        <f t="shared" si="7"/>
        <v>streaming</v>
      </c>
      <c r="O76" t="str">
        <f t="shared" si="8"/>
        <v>non-original</v>
      </c>
      <c r="P76" t="str">
        <f t="shared" si="9"/>
        <v>non-franchise</v>
      </c>
      <c r="Q76" t="str">
        <f t="shared" si="10"/>
        <v>new</v>
      </c>
      <c r="R76" s="2">
        <f t="shared" si="11"/>
        <v>3.7943786307303813E-3</v>
      </c>
      <c r="S76">
        <f t="shared" si="12"/>
        <v>0.58178571428571435</v>
      </c>
      <c r="T76" t="str">
        <f t="shared" si="13"/>
        <v>Scenario 3: Strong Convenience</v>
      </c>
    </row>
    <row r="77" spans="1:20" x14ac:dyDescent="0.35">
      <c r="A77" t="s">
        <v>140</v>
      </c>
      <c r="B77" s="1">
        <v>44106</v>
      </c>
      <c r="C77">
        <v>2020</v>
      </c>
      <c r="D77">
        <v>10</v>
      </c>
      <c r="E77" t="s">
        <v>125</v>
      </c>
      <c r="F77">
        <v>111</v>
      </c>
      <c r="G77" t="s">
        <v>29</v>
      </c>
      <c r="H77" t="s">
        <v>30</v>
      </c>
      <c r="I77">
        <v>0</v>
      </c>
      <c r="J77">
        <v>0</v>
      </c>
      <c r="K77">
        <v>5.9</v>
      </c>
      <c r="L77">
        <v>1574</v>
      </c>
      <c r="M77" t="s">
        <v>17</v>
      </c>
      <c r="N77" t="str">
        <f t="shared" si="7"/>
        <v>streaming</v>
      </c>
      <c r="O77" t="str">
        <f t="shared" si="8"/>
        <v>non-original</v>
      </c>
      <c r="P77" t="str">
        <f t="shared" si="9"/>
        <v>non-franchise</v>
      </c>
      <c r="Q77" t="str">
        <f t="shared" si="10"/>
        <v>new</v>
      </c>
      <c r="R77" s="2">
        <f t="shared" si="11"/>
        <v>6.5287033620845545E-4</v>
      </c>
      <c r="S77">
        <f t="shared" si="12"/>
        <v>0.51569548872180448</v>
      </c>
      <c r="T77" t="str">
        <f t="shared" si="13"/>
        <v>Scenario 3: Strong Convenience</v>
      </c>
    </row>
    <row r="78" spans="1:20" x14ac:dyDescent="0.35">
      <c r="A78" t="s">
        <v>141</v>
      </c>
      <c r="B78" s="1">
        <v>44111</v>
      </c>
      <c r="C78">
        <v>2020</v>
      </c>
      <c r="D78">
        <v>10</v>
      </c>
      <c r="E78" t="s">
        <v>125</v>
      </c>
      <c r="F78">
        <v>103</v>
      </c>
      <c r="G78" t="s">
        <v>21</v>
      </c>
      <c r="H78" t="s">
        <v>27</v>
      </c>
      <c r="I78">
        <v>0</v>
      </c>
      <c r="J78">
        <v>0</v>
      </c>
      <c r="K78">
        <v>5.3</v>
      </c>
      <c r="L78">
        <v>67752</v>
      </c>
      <c r="M78" t="s">
        <v>17</v>
      </c>
      <c r="N78" t="str">
        <f t="shared" si="7"/>
        <v>streaming</v>
      </c>
      <c r="O78" t="str">
        <f t="shared" si="8"/>
        <v>non-original</v>
      </c>
      <c r="P78" t="str">
        <f t="shared" si="9"/>
        <v>non-franchise</v>
      </c>
      <c r="Q78" t="str">
        <f t="shared" si="10"/>
        <v>new</v>
      </c>
      <c r="R78" s="2">
        <f t="shared" si="11"/>
        <v>2.6077056875441658E-2</v>
      </c>
      <c r="S78">
        <f t="shared" si="12"/>
        <v>0.4871616541353383</v>
      </c>
      <c r="T78" t="str">
        <f t="shared" si="13"/>
        <v>Scenario 2: Weak Commitment/Convenience</v>
      </c>
    </row>
    <row r="79" spans="1:20" x14ac:dyDescent="0.35">
      <c r="A79" t="s">
        <v>142</v>
      </c>
      <c r="B79" s="1">
        <v>44113</v>
      </c>
      <c r="C79">
        <v>2020</v>
      </c>
      <c r="D79">
        <v>10</v>
      </c>
      <c r="E79" t="s">
        <v>125</v>
      </c>
      <c r="F79">
        <v>125</v>
      </c>
      <c r="G79" t="s">
        <v>29</v>
      </c>
      <c r="H79" t="s">
        <v>30</v>
      </c>
      <c r="I79">
        <v>0</v>
      </c>
      <c r="J79">
        <v>0</v>
      </c>
      <c r="K79">
        <v>5.7</v>
      </c>
      <c r="L79">
        <v>6004</v>
      </c>
      <c r="M79" t="s">
        <v>17</v>
      </c>
      <c r="N79" t="str">
        <f t="shared" si="7"/>
        <v>streaming</v>
      </c>
      <c r="O79" t="str">
        <f t="shared" si="8"/>
        <v>non-original</v>
      </c>
      <c r="P79" t="str">
        <f t="shared" si="9"/>
        <v>non-franchise</v>
      </c>
      <c r="Q79" t="str">
        <f t="shared" si="10"/>
        <v>new</v>
      </c>
      <c r="R79" s="2">
        <f t="shared" si="11"/>
        <v>2.8044643664757595E-3</v>
      </c>
      <c r="S79">
        <f t="shared" si="12"/>
        <v>0.45321428571428574</v>
      </c>
      <c r="T79" t="str">
        <f t="shared" si="13"/>
        <v>Scenario 2: Weak Commitment/Convenience</v>
      </c>
    </row>
    <row r="80" spans="1:20" x14ac:dyDescent="0.35">
      <c r="A80" t="s">
        <v>143</v>
      </c>
      <c r="B80" s="1">
        <v>44113</v>
      </c>
      <c r="C80">
        <v>2020</v>
      </c>
      <c r="D80">
        <v>10</v>
      </c>
      <c r="E80" t="s">
        <v>125</v>
      </c>
      <c r="F80">
        <v>124</v>
      </c>
      <c r="G80" t="s">
        <v>116</v>
      </c>
      <c r="H80" t="s">
        <v>24</v>
      </c>
      <c r="I80">
        <v>0</v>
      </c>
      <c r="J80">
        <v>0</v>
      </c>
      <c r="K80">
        <v>7.2</v>
      </c>
      <c r="L80">
        <v>5781</v>
      </c>
      <c r="M80" t="s">
        <v>17</v>
      </c>
      <c r="N80" t="str">
        <f t="shared" si="7"/>
        <v>streaming</v>
      </c>
      <c r="O80" t="str">
        <f t="shared" si="8"/>
        <v>non-original</v>
      </c>
      <c r="P80" t="str">
        <f t="shared" si="9"/>
        <v>non-franchise</v>
      </c>
      <c r="Q80" t="str">
        <f t="shared" si="10"/>
        <v>new</v>
      </c>
      <c r="R80" s="2">
        <f t="shared" si="11"/>
        <v>2.6786988065582271E-3</v>
      </c>
      <c r="S80">
        <f t="shared" si="12"/>
        <v>0.57654135338345869</v>
      </c>
      <c r="T80" t="str">
        <f t="shared" si="13"/>
        <v>Scenario 3: Strong Convenience</v>
      </c>
    </row>
    <row r="81" spans="1:20" x14ac:dyDescent="0.35">
      <c r="A81" t="s">
        <v>144</v>
      </c>
      <c r="B81" s="1">
        <v>44119</v>
      </c>
      <c r="C81">
        <v>2020</v>
      </c>
      <c r="D81">
        <v>10</v>
      </c>
      <c r="E81" t="s">
        <v>125</v>
      </c>
      <c r="F81">
        <v>98</v>
      </c>
      <c r="G81" t="s">
        <v>145</v>
      </c>
      <c r="H81" t="s">
        <v>56</v>
      </c>
      <c r="I81">
        <v>0</v>
      </c>
      <c r="J81">
        <v>0</v>
      </c>
      <c r="K81">
        <v>5.4</v>
      </c>
      <c r="L81">
        <v>5377</v>
      </c>
      <c r="M81" t="s">
        <v>17</v>
      </c>
      <c r="N81" t="str">
        <f t="shared" si="7"/>
        <v>streaming</v>
      </c>
      <c r="O81" t="str">
        <f t="shared" si="8"/>
        <v>non-original</v>
      </c>
      <c r="P81" t="str">
        <f t="shared" si="9"/>
        <v>non-franchise</v>
      </c>
      <c r="Q81" t="str">
        <f t="shared" si="10"/>
        <v>new</v>
      </c>
      <c r="R81" s="2">
        <f t="shared" si="11"/>
        <v>1.9690889807554104E-3</v>
      </c>
      <c r="S81">
        <f t="shared" si="12"/>
        <v>0.51157894736842102</v>
      </c>
      <c r="T81" t="str">
        <f t="shared" si="13"/>
        <v>Scenario 3: Strong Convenience</v>
      </c>
    </row>
    <row r="82" spans="1:20" x14ac:dyDescent="0.35">
      <c r="A82" t="s">
        <v>146</v>
      </c>
      <c r="B82" s="1">
        <v>44119</v>
      </c>
      <c r="C82">
        <v>2020</v>
      </c>
      <c r="D82">
        <v>10</v>
      </c>
      <c r="E82" t="s">
        <v>125</v>
      </c>
      <c r="F82">
        <v>86</v>
      </c>
      <c r="G82" t="s">
        <v>147</v>
      </c>
      <c r="H82" t="s">
        <v>30</v>
      </c>
      <c r="I82">
        <v>0</v>
      </c>
      <c r="J82">
        <v>0</v>
      </c>
      <c r="K82">
        <v>4.8</v>
      </c>
      <c r="L82">
        <v>250</v>
      </c>
      <c r="M82" t="s">
        <v>17</v>
      </c>
      <c r="N82" t="str">
        <f t="shared" si="7"/>
        <v>streaming</v>
      </c>
      <c r="O82" t="str">
        <f t="shared" si="8"/>
        <v>non-original</v>
      </c>
      <c r="P82" t="str">
        <f t="shared" si="9"/>
        <v>non-franchise</v>
      </c>
      <c r="Q82" t="str">
        <f t="shared" si="10"/>
        <v>new</v>
      </c>
      <c r="R82" s="2">
        <f t="shared" si="11"/>
        <v>8.0341084449338875E-5</v>
      </c>
      <c r="S82">
        <f t="shared" si="12"/>
        <v>0.48721804511278199</v>
      </c>
      <c r="T82" t="str">
        <f t="shared" si="13"/>
        <v>Scenario 2: Weak Commitment/Convenience</v>
      </c>
    </row>
    <row r="83" spans="1:20" x14ac:dyDescent="0.35">
      <c r="A83" t="s">
        <v>148</v>
      </c>
      <c r="B83" s="1">
        <v>44120</v>
      </c>
      <c r="C83">
        <v>2020</v>
      </c>
      <c r="D83">
        <v>10</v>
      </c>
      <c r="E83" t="s">
        <v>125</v>
      </c>
      <c r="F83">
        <v>130</v>
      </c>
      <c r="G83" t="s">
        <v>149</v>
      </c>
      <c r="H83" t="s">
        <v>24</v>
      </c>
      <c r="I83">
        <v>0</v>
      </c>
      <c r="J83">
        <v>0</v>
      </c>
      <c r="K83">
        <v>7.7</v>
      </c>
      <c r="L83">
        <v>204413</v>
      </c>
      <c r="M83" t="s">
        <v>17</v>
      </c>
      <c r="N83" t="str">
        <f t="shared" si="7"/>
        <v>streaming</v>
      </c>
      <c r="O83" t="str">
        <f t="shared" si="8"/>
        <v>non-original</v>
      </c>
      <c r="P83" t="str">
        <f t="shared" si="9"/>
        <v>non-franchise</v>
      </c>
      <c r="Q83" t="str">
        <f t="shared" si="10"/>
        <v>new</v>
      </c>
      <c r="R83" s="2">
        <f t="shared" si="11"/>
        <v>9.9300421973048933E-2</v>
      </c>
      <c r="S83">
        <f t="shared" si="12"/>
        <v>0.59052631578947368</v>
      </c>
      <c r="T83" t="str">
        <f t="shared" si="13"/>
        <v>Scenario 4: Hybrid Logic</v>
      </c>
    </row>
    <row r="84" spans="1:20" x14ac:dyDescent="0.35">
      <c r="A84" t="s">
        <v>150</v>
      </c>
      <c r="B84" s="1">
        <v>44125</v>
      </c>
      <c r="C84">
        <v>2020</v>
      </c>
      <c r="D84">
        <v>10</v>
      </c>
      <c r="E84" t="s">
        <v>125</v>
      </c>
      <c r="F84">
        <v>123</v>
      </c>
      <c r="G84" t="s">
        <v>151</v>
      </c>
      <c r="H84" t="s">
        <v>27</v>
      </c>
      <c r="I84">
        <v>1</v>
      </c>
      <c r="J84">
        <v>1</v>
      </c>
      <c r="K84">
        <v>6.1</v>
      </c>
      <c r="L84">
        <v>50120</v>
      </c>
      <c r="M84" t="s">
        <v>17</v>
      </c>
      <c r="N84" t="str">
        <f t="shared" si="7"/>
        <v>streaming</v>
      </c>
      <c r="O84" t="str">
        <f t="shared" si="8"/>
        <v>original</v>
      </c>
      <c r="P84" t="str">
        <f t="shared" si="9"/>
        <v>franchise</v>
      </c>
      <c r="Q84" t="str">
        <f t="shared" si="10"/>
        <v>old</v>
      </c>
      <c r="R84" s="2">
        <f t="shared" si="11"/>
        <v>3.4554663053714393E-2</v>
      </c>
      <c r="S84">
        <f t="shared" si="12"/>
        <v>0.32793233082706769</v>
      </c>
      <c r="T84" t="str">
        <f t="shared" si="13"/>
        <v>Scenario 1: Strong Commitment</v>
      </c>
    </row>
    <row r="85" spans="1:20" x14ac:dyDescent="0.35">
      <c r="A85" t="s">
        <v>152</v>
      </c>
      <c r="B85" s="1">
        <v>44126</v>
      </c>
      <c r="C85">
        <v>2020</v>
      </c>
      <c r="D85">
        <v>10</v>
      </c>
      <c r="E85" t="s">
        <v>125</v>
      </c>
      <c r="F85">
        <v>86</v>
      </c>
      <c r="G85" t="s">
        <v>92</v>
      </c>
      <c r="H85" t="s">
        <v>30</v>
      </c>
      <c r="I85">
        <v>0</v>
      </c>
      <c r="J85">
        <v>0</v>
      </c>
      <c r="K85">
        <v>5.2</v>
      </c>
      <c r="L85">
        <v>13446</v>
      </c>
      <c r="M85" t="s">
        <v>17</v>
      </c>
      <c r="N85" t="str">
        <f t="shared" si="7"/>
        <v>streaming</v>
      </c>
      <c r="O85" t="str">
        <f t="shared" si="8"/>
        <v>non-original</v>
      </c>
      <c r="P85" t="str">
        <f t="shared" si="9"/>
        <v>non-franchise</v>
      </c>
      <c r="Q85" t="str">
        <f t="shared" si="10"/>
        <v>new</v>
      </c>
      <c r="R85" s="2">
        <f t="shared" si="11"/>
        <v>4.3210648860232421E-3</v>
      </c>
      <c r="S85">
        <f t="shared" si="12"/>
        <v>0.52781954887218052</v>
      </c>
      <c r="T85" t="str">
        <f t="shared" si="13"/>
        <v>Scenario 3: Strong Convenience</v>
      </c>
    </row>
    <row r="86" spans="1:20" x14ac:dyDescent="0.35">
      <c r="A86" t="s">
        <v>153</v>
      </c>
      <c r="B86" s="1">
        <v>44127</v>
      </c>
      <c r="C86">
        <v>2020</v>
      </c>
      <c r="D86">
        <v>10</v>
      </c>
      <c r="E86" t="s">
        <v>125</v>
      </c>
      <c r="F86">
        <v>100</v>
      </c>
      <c r="G86" t="s">
        <v>154</v>
      </c>
      <c r="H86" t="s">
        <v>56</v>
      </c>
      <c r="I86">
        <v>0</v>
      </c>
      <c r="J86">
        <v>0</v>
      </c>
      <c r="K86">
        <v>6.3</v>
      </c>
      <c r="L86">
        <v>26847</v>
      </c>
      <c r="M86" t="s">
        <v>17</v>
      </c>
      <c r="N86" t="str">
        <f t="shared" si="7"/>
        <v>streaming</v>
      </c>
      <c r="O86" t="str">
        <f t="shared" si="8"/>
        <v>non-original</v>
      </c>
      <c r="P86" t="str">
        <f t="shared" si="9"/>
        <v>non-franchise</v>
      </c>
      <c r="Q86" t="str">
        <f t="shared" si="10"/>
        <v>new</v>
      </c>
      <c r="R86" s="2">
        <f t="shared" si="11"/>
        <v>1.0032172531215819E-2</v>
      </c>
      <c r="S86">
        <f t="shared" si="12"/>
        <v>0.58973684210526323</v>
      </c>
      <c r="T86" t="str">
        <f t="shared" si="13"/>
        <v>Scenario 3: Strong Convenience</v>
      </c>
    </row>
    <row r="87" spans="1:20" x14ac:dyDescent="0.35">
      <c r="A87" t="s">
        <v>155</v>
      </c>
      <c r="B87" s="1">
        <v>44132</v>
      </c>
      <c r="C87">
        <v>2020</v>
      </c>
      <c r="D87">
        <v>10</v>
      </c>
      <c r="E87" t="s">
        <v>125</v>
      </c>
      <c r="F87">
        <v>104</v>
      </c>
      <c r="G87" t="s">
        <v>156</v>
      </c>
      <c r="H87" t="s">
        <v>30</v>
      </c>
      <c r="I87">
        <v>0</v>
      </c>
      <c r="J87">
        <v>0</v>
      </c>
      <c r="K87">
        <v>6.2</v>
      </c>
      <c r="L87">
        <v>87585</v>
      </c>
      <c r="M87" t="s">
        <v>17</v>
      </c>
      <c r="N87" t="str">
        <f t="shared" si="7"/>
        <v>streaming</v>
      </c>
      <c r="O87" t="str">
        <f t="shared" si="8"/>
        <v>non-original</v>
      </c>
      <c r="P87" t="str">
        <f t="shared" si="9"/>
        <v>non-franchise</v>
      </c>
      <c r="Q87" t="str">
        <f t="shared" si="10"/>
        <v>new</v>
      </c>
      <c r="R87" s="2">
        <f t="shared" si="11"/>
        <v>3.4037864357000742E-2</v>
      </c>
      <c r="S87">
        <f t="shared" si="12"/>
        <v>0.566390977443609</v>
      </c>
      <c r="T87" t="str">
        <f t="shared" si="13"/>
        <v>Scenario 4: Hybrid Logic</v>
      </c>
    </row>
    <row r="88" spans="1:20" x14ac:dyDescent="0.35">
      <c r="A88" t="s">
        <v>157</v>
      </c>
      <c r="B88" s="1">
        <v>44132</v>
      </c>
      <c r="C88">
        <v>2020</v>
      </c>
      <c r="D88">
        <v>10</v>
      </c>
      <c r="E88" t="s">
        <v>125</v>
      </c>
      <c r="F88">
        <v>103</v>
      </c>
      <c r="G88" t="s">
        <v>92</v>
      </c>
      <c r="H88" t="s">
        <v>30</v>
      </c>
      <c r="I88">
        <v>0</v>
      </c>
      <c r="J88">
        <v>0</v>
      </c>
      <c r="K88">
        <v>4.9000000000000004</v>
      </c>
      <c r="L88">
        <v>15952</v>
      </c>
      <c r="M88" t="s">
        <v>17</v>
      </c>
      <c r="N88" t="str">
        <f t="shared" si="7"/>
        <v>streaming</v>
      </c>
      <c r="O88" t="str">
        <f t="shared" si="8"/>
        <v>non-original</v>
      </c>
      <c r="P88" t="str">
        <f t="shared" si="9"/>
        <v>non-franchise</v>
      </c>
      <c r="Q88" t="str">
        <f t="shared" si="10"/>
        <v>new</v>
      </c>
      <c r="R88" s="2">
        <f t="shared" si="11"/>
        <v>6.1397628302787425E-3</v>
      </c>
      <c r="S88">
        <f t="shared" si="12"/>
        <v>0.45039473684210529</v>
      </c>
      <c r="T88" t="str">
        <f t="shared" si="13"/>
        <v>Scenario 2: Weak Commitment/Convenience</v>
      </c>
    </row>
    <row r="89" spans="1:20" x14ac:dyDescent="0.35">
      <c r="A89" t="s">
        <v>158</v>
      </c>
      <c r="B89" s="1">
        <v>44134</v>
      </c>
      <c r="C89">
        <v>2020</v>
      </c>
      <c r="D89">
        <v>10</v>
      </c>
      <c r="E89" t="s">
        <v>125</v>
      </c>
      <c r="F89">
        <v>93</v>
      </c>
      <c r="G89" t="s">
        <v>19</v>
      </c>
      <c r="H89" t="s">
        <v>16</v>
      </c>
      <c r="I89">
        <v>0</v>
      </c>
      <c r="J89">
        <v>0</v>
      </c>
      <c r="K89">
        <v>6.4</v>
      </c>
      <c r="L89">
        <v>54202</v>
      </c>
      <c r="M89" t="s">
        <v>17</v>
      </c>
      <c r="N89" t="str">
        <f t="shared" si="7"/>
        <v>streaming</v>
      </c>
      <c r="O89" t="str">
        <f t="shared" si="8"/>
        <v>non-original</v>
      </c>
      <c r="P89" t="str">
        <f t="shared" si="9"/>
        <v>non-franchise</v>
      </c>
      <c r="Q89" t="str">
        <f t="shared" si="10"/>
        <v>new</v>
      </c>
      <c r="R89" s="2">
        <f t="shared" si="11"/>
        <v>1.8836382033350939E-2</v>
      </c>
      <c r="S89">
        <f t="shared" si="12"/>
        <v>0.62436090225563912</v>
      </c>
      <c r="T89" t="str">
        <f t="shared" si="13"/>
        <v>Scenario 3: Strong Convenience</v>
      </c>
    </row>
    <row r="90" spans="1:20" x14ac:dyDescent="0.35">
      <c r="A90" t="s">
        <v>159</v>
      </c>
      <c r="B90" s="1">
        <v>44134</v>
      </c>
      <c r="C90">
        <v>2020</v>
      </c>
      <c r="D90">
        <v>10</v>
      </c>
      <c r="E90" t="s">
        <v>125</v>
      </c>
      <c r="F90">
        <v>90</v>
      </c>
      <c r="G90" t="s">
        <v>92</v>
      </c>
      <c r="H90" t="s">
        <v>30</v>
      </c>
      <c r="I90">
        <v>0</v>
      </c>
      <c r="J90">
        <v>0</v>
      </c>
      <c r="K90">
        <v>3.7</v>
      </c>
      <c r="L90">
        <v>1521</v>
      </c>
      <c r="M90" t="s">
        <v>17</v>
      </c>
      <c r="N90" t="str">
        <f t="shared" si="7"/>
        <v>streaming</v>
      </c>
      <c r="O90" t="str">
        <f t="shared" si="8"/>
        <v>non-original</v>
      </c>
      <c r="P90" t="str">
        <f t="shared" si="9"/>
        <v>non-franchise</v>
      </c>
      <c r="Q90" t="str">
        <f t="shared" si="10"/>
        <v>new</v>
      </c>
      <c r="R90" s="2">
        <f t="shared" si="11"/>
        <v>5.1152981629162787E-4</v>
      </c>
      <c r="S90">
        <f t="shared" si="12"/>
        <v>0.36721804511278189</v>
      </c>
      <c r="T90" t="str">
        <f t="shared" si="13"/>
        <v>Scenario 2: Weak Commitment/Convenience</v>
      </c>
    </row>
    <row r="91" spans="1:20" x14ac:dyDescent="0.35">
      <c r="A91" t="s">
        <v>160</v>
      </c>
      <c r="B91" s="1">
        <v>44134</v>
      </c>
      <c r="C91">
        <v>2020</v>
      </c>
      <c r="D91">
        <v>10</v>
      </c>
      <c r="E91" t="s">
        <v>125</v>
      </c>
      <c r="F91">
        <v>116</v>
      </c>
      <c r="G91" t="s">
        <v>70</v>
      </c>
      <c r="H91" t="s">
        <v>27</v>
      </c>
      <c r="I91">
        <v>0</v>
      </c>
      <c r="J91">
        <v>0</v>
      </c>
      <c r="K91">
        <v>6.1</v>
      </c>
      <c r="L91">
        <v>10719</v>
      </c>
      <c r="M91" t="s">
        <v>17</v>
      </c>
      <c r="N91" t="str">
        <f t="shared" si="7"/>
        <v>streaming</v>
      </c>
      <c r="O91" t="str">
        <f t="shared" si="8"/>
        <v>non-original</v>
      </c>
      <c r="P91" t="str">
        <f t="shared" si="9"/>
        <v>non-franchise</v>
      </c>
      <c r="Q91" t="str">
        <f t="shared" si="10"/>
        <v>new</v>
      </c>
      <c r="R91" s="2">
        <f t="shared" si="11"/>
        <v>4.6463453845881752E-3</v>
      </c>
      <c r="S91">
        <f t="shared" si="12"/>
        <v>0.51597744360902265</v>
      </c>
      <c r="T91" t="str">
        <f t="shared" si="13"/>
        <v>Scenario 3: Strong Convenience</v>
      </c>
    </row>
    <row r="92" spans="1:20" x14ac:dyDescent="0.35">
      <c r="A92" t="s">
        <v>161</v>
      </c>
      <c r="B92" s="1">
        <v>44140</v>
      </c>
      <c r="C92">
        <v>2020</v>
      </c>
      <c r="D92">
        <v>11</v>
      </c>
      <c r="E92" t="s">
        <v>125</v>
      </c>
      <c r="F92">
        <v>96</v>
      </c>
      <c r="G92" t="s">
        <v>156</v>
      </c>
      <c r="H92" t="s">
        <v>30</v>
      </c>
      <c r="I92">
        <v>0</v>
      </c>
      <c r="J92">
        <v>0</v>
      </c>
      <c r="K92">
        <v>5.9</v>
      </c>
      <c r="L92">
        <v>13997</v>
      </c>
      <c r="M92" t="s">
        <v>17</v>
      </c>
      <c r="N92" t="str">
        <f t="shared" si="7"/>
        <v>streaming</v>
      </c>
      <c r="O92" t="str">
        <f t="shared" si="8"/>
        <v>non-original</v>
      </c>
      <c r="P92" t="str">
        <f t="shared" si="9"/>
        <v>non-franchise</v>
      </c>
      <c r="Q92" t="str">
        <f t="shared" si="10"/>
        <v>new</v>
      </c>
      <c r="R92" s="2">
        <f t="shared" si="11"/>
        <v>5.0211757798879087E-3</v>
      </c>
      <c r="S92">
        <f t="shared" si="12"/>
        <v>0.56560150375939855</v>
      </c>
      <c r="T92" t="str">
        <f t="shared" si="13"/>
        <v>Scenario 3: Strong Convenience</v>
      </c>
    </row>
    <row r="93" spans="1:20" x14ac:dyDescent="0.35">
      <c r="A93" t="s">
        <v>162</v>
      </c>
      <c r="B93" s="1">
        <v>44141</v>
      </c>
      <c r="C93">
        <v>2020</v>
      </c>
      <c r="D93">
        <v>11</v>
      </c>
      <c r="E93" t="s">
        <v>125</v>
      </c>
      <c r="F93">
        <v>151</v>
      </c>
      <c r="G93" t="s">
        <v>34</v>
      </c>
      <c r="H93" t="s">
        <v>30</v>
      </c>
      <c r="I93">
        <v>0</v>
      </c>
      <c r="J93">
        <v>0</v>
      </c>
      <c r="K93">
        <v>6.1</v>
      </c>
      <c r="L93">
        <v>1123</v>
      </c>
      <c r="M93" t="s">
        <v>17</v>
      </c>
      <c r="N93" t="str">
        <f t="shared" si="7"/>
        <v>streaming</v>
      </c>
      <c r="O93" t="str">
        <f t="shared" si="8"/>
        <v>non-original</v>
      </c>
      <c r="P93" t="str">
        <f t="shared" si="9"/>
        <v>non-franchise</v>
      </c>
      <c r="Q93" t="str">
        <f t="shared" si="10"/>
        <v>new</v>
      </c>
      <c r="R93" s="2">
        <f t="shared" si="11"/>
        <v>6.3365947503849971E-4</v>
      </c>
      <c r="S93">
        <f t="shared" si="12"/>
        <v>0.39558270676691726</v>
      </c>
      <c r="T93" t="str">
        <f t="shared" si="13"/>
        <v>Scenario 2: Weak Commitment/Convenience</v>
      </c>
    </row>
    <row r="94" spans="1:20" x14ac:dyDescent="0.35">
      <c r="A94" t="s">
        <v>163</v>
      </c>
      <c r="B94" s="1">
        <v>44146</v>
      </c>
      <c r="C94">
        <v>2020</v>
      </c>
      <c r="D94">
        <v>11</v>
      </c>
      <c r="E94" t="s">
        <v>125</v>
      </c>
      <c r="F94">
        <v>93</v>
      </c>
      <c r="G94" t="s">
        <v>34</v>
      </c>
      <c r="H94" t="s">
        <v>30</v>
      </c>
      <c r="I94">
        <v>0</v>
      </c>
      <c r="J94">
        <v>0</v>
      </c>
      <c r="K94">
        <v>5.9</v>
      </c>
      <c r="L94">
        <v>2186</v>
      </c>
      <c r="M94" t="s">
        <v>17</v>
      </c>
      <c r="N94" t="str">
        <f t="shared" si="7"/>
        <v>streaming</v>
      </c>
      <c r="O94" t="str">
        <f t="shared" si="8"/>
        <v>non-original</v>
      </c>
      <c r="P94" t="str">
        <f t="shared" si="9"/>
        <v>non-franchise</v>
      </c>
      <c r="Q94" t="str">
        <f t="shared" si="10"/>
        <v>new</v>
      </c>
      <c r="R94" s="2">
        <f t="shared" si="11"/>
        <v>7.5968287378519526E-4</v>
      </c>
      <c r="S94">
        <f t="shared" si="12"/>
        <v>0.57558270676691736</v>
      </c>
      <c r="T94" t="str">
        <f t="shared" si="13"/>
        <v>Scenario 3: Strong Convenience</v>
      </c>
    </row>
    <row r="95" spans="1:20" x14ac:dyDescent="0.35">
      <c r="A95" t="s">
        <v>164</v>
      </c>
      <c r="B95" s="1">
        <v>44147</v>
      </c>
      <c r="C95">
        <v>2020</v>
      </c>
      <c r="D95">
        <v>11</v>
      </c>
      <c r="E95" t="s">
        <v>125</v>
      </c>
      <c r="F95">
        <v>150</v>
      </c>
      <c r="G95" t="s">
        <v>165</v>
      </c>
      <c r="H95" t="s">
        <v>27</v>
      </c>
      <c r="I95">
        <v>0</v>
      </c>
      <c r="J95">
        <v>0</v>
      </c>
      <c r="K95">
        <v>7.6</v>
      </c>
      <c r="L95">
        <v>45974</v>
      </c>
      <c r="M95" t="s">
        <v>17</v>
      </c>
      <c r="N95" t="str">
        <f t="shared" si="7"/>
        <v>streaming</v>
      </c>
      <c r="O95" t="str">
        <f t="shared" si="8"/>
        <v>non-original</v>
      </c>
      <c r="P95" t="str">
        <f t="shared" si="9"/>
        <v>non-franchise</v>
      </c>
      <c r="Q95" t="str">
        <f t="shared" si="10"/>
        <v>new</v>
      </c>
      <c r="R95" s="2">
        <f t="shared" si="11"/>
        <v>2.5769309417259811E-2</v>
      </c>
      <c r="S95">
        <f t="shared" si="12"/>
        <v>0.49714285714285716</v>
      </c>
      <c r="T95" t="str">
        <f t="shared" si="13"/>
        <v>Scenario 2: Weak Commitment/Convenience</v>
      </c>
    </row>
    <row r="96" spans="1:20" x14ac:dyDescent="0.35">
      <c r="A96" t="s">
        <v>166</v>
      </c>
      <c r="B96" s="1">
        <v>44148</v>
      </c>
      <c r="C96">
        <v>2020</v>
      </c>
      <c r="D96">
        <v>11</v>
      </c>
      <c r="E96" t="s">
        <v>125</v>
      </c>
      <c r="F96">
        <v>119</v>
      </c>
      <c r="G96" t="s">
        <v>167</v>
      </c>
      <c r="H96" t="s">
        <v>56</v>
      </c>
      <c r="I96">
        <v>0</v>
      </c>
      <c r="J96">
        <v>0</v>
      </c>
      <c r="K96">
        <v>6.4</v>
      </c>
      <c r="L96">
        <v>22138</v>
      </c>
      <c r="M96" t="s">
        <v>17</v>
      </c>
      <c r="N96" t="str">
        <f t="shared" si="7"/>
        <v>streaming</v>
      </c>
      <c r="O96" t="str">
        <f t="shared" si="8"/>
        <v>non-original</v>
      </c>
      <c r="P96" t="str">
        <f t="shared" si="9"/>
        <v>non-franchise</v>
      </c>
      <c r="Q96" t="str">
        <f t="shared" si="10"/>
        <v>new</v>
      </c>
      <c r="R96" s="2">
        <f t="shared" si="11"/>
        <v>9.8442939710323835E-3</v>
      </c>
      <c r="S96">
        <f t="shared" si="12"/>
        <v>0.53052631578947362</v>
      </c>
      <c r="T96" t="str">
        <f t="shared" si="13"/>
        <v>Scenario 3: Strong Convenience</v>
      </c>
    </row>
    <row r="97" spans="1:20" x14ac:dyDescent="0.35">
      <c r="A97" t="s">
        <v>168</v>
      </c>
      <c r="B97" s="1">
        <v>44148</v>
      </c>
      <c r="C97">
        <v>2020</v>
      </c>
      <c r="D97">
        <v>11</v>
      </c>
      <c r="E97" t="s">
        <v>125</v>
      </c>
      <c r="F97">
        <v>95</v>
      </c>
      <c r="G97" t="s">
        <v>34</v>
      </c>
      <c r="H97" t="s">
        <v>27</v>
      </c>
      <c r="I97">
        <v>1</v>
      </c>
      <c r="J97">
        <v>1</v>
      </c>
      <c r="K97">
        <v>6.8</v>
      </c>
      <c r="L97">
        <v>16367</v>
      </c>
      <c r="M97" t="s">
        <v>17</v>
      </c>
      <c r="N97" t="str">
        <f t="shared" si="7"/>
        <v>streaming</v>
      </c>
      <c r="O97" t="str">
        <f t="shared" si="8"/>
        <v>original</v>
      </c>
      <c r="P97" t="str">
        <f t="shared" si="9"/>
        <v>franchise</v>
      </c>
      <c r="Q97" t="str">
        <f t="shared" si="10"/>
        <v>old</v>
      </c>
      <c r="R97" s="2">
        <f t="shared" si="11"/>
        <v>8.7153167631852067E-3</v>
      </c>
      <c r="S97">
        <f t="shared" si="12"/>
        <v>0.43714285714285706</v>
      </c>
      <c r="T97" t="str">
        <f t="shared" si="13"/>
        <v>Scenario 2: Weak Commitment/Convenience</v>
      </c>
    </row>
    <row r="98" spans="1:20" x14ac:dyDescent="0.35">
      <c r="A98" t="s">
        <v>169</v>
      </c>
      <c r="B98" s="1">
        <v>44154</v>
      </c>
      <c r="C98">
        <v>2020</v>
      </c>
      <c r="D98">
        <v>11</v>
      </c>
      <c r="E98" t="s">
        <v>125</v>
      </c>
      <c r="F98">
        <v>97</v>
      </c>
      <c r="G98" t="s">
        <v>156</v>
      </c>
      <c r="H98" t="s">
        <v>86</v>
      </c>
      <c r="I98">
        <v>0</v>
      </c>
      <c r="J98">
        <v>1</v>
      </c>
      <c r="K98">
        <v>5.5</v>
      </c>
      <c r="L98">
        <v>15141</v>
      </c>
      <c r="M98" t="s">
        <v>17</v>
      </c>
      <c r="N98" t="str">
        <f t="shared" si="7"/>
        <v>streaming</v>
      </c>
      <c r="O98" t="str">
        <f t="shared" si="8"/>
        <v>non-original</v>
      </c>
      <c r="P98" t="str">
        <f t="shared" si="9"/>
        <v>franchise</v>
      </c>
      <c r="Q98" t="str">
        <f t="shared" si="10"/>
        <v>old</v>
      </c>
      <c r="R98" s="2">
        <f t="shared" si="11"/>
        <v>8.2322164804047668E-3</v>
      </c>
      <c r="S98">
        <f t="shared" si="12"/>
        <v>0.34943609022556393</v>
      </c>
      <c r="T98" t="str">
        <f t="shared" si="13"/>
        <v>Scenario 2: Weak Commitment/Convenience</v>
      </c>
    </row>
    <row r="99" spans="1:20" x14ac:dyDescent="0.35">
      <c r="A99" t="s">
        <v>170</v>
      </c>
      <c r="B99" s="1">
        <v>44157</v>
      </c>
      <c r="C99">
        <v>2020</v>
      </c>
      <c r="D99">
        <v>11</v>
      </c>
      <c r="E99" t="s">
        <v>125</v>
      </c>
      <c r="F99">
        <v>98</v>
      </c>
      <c r="G99" t="s">
        <v>171</v>
      </c>
      <c r="H99" t="s">
        <v>56</v>
      </c>
      <c r="I99">
        <v>0</v>
      </c>
      <c r="J99">
        <v>0</v>
      </c>
      <c r="K99">
        <v>5.2</v>
      </c>
      <c r="L99">
        <v>3321</v>
      </c>
      <c r="M99" t="s">
        <v>17</v>
      </c>
      <c r="N99" t="str">
        <f t="shared" si="7"/>
        <v>streaming</v>
      </c>
      <c r="O99" t="str">
        <f t="shared" si="8"/>
        <v>non-original</v>
      </c>
      <c r="P99" t="str">
        <f t="shared" si="9"/>
        <v>non-franchise</v>
      </c>
      <c r="Q99" t="str">
        <f t="shared" si="10"/>
        <v>new</v>
      </c>
      <c r="R99" s="2">
        <f t="shared" si="11"/>
        <v>1.2161697052424621E-3</v>
      </c>
      <c r="S99">
        <f t="shared" si="12"/>
        <v>0.49263157894736842</v>
      </c>
      <c r="T99" t="str">
        <f t="shared" si="13"/>
        <v>Scenario 2: Weak Commitment/Convenience</v>
      </c>
    </row>
    <row r="100" spans="1:20" x14ac:dyDescent="0.35">
      <c r="A100" t="s">
        <v>172</v>
      </c>
      <c r="B100" s="1">
        <v>44159</v>
      </c>
      <c r="C100">
        <v>2020</v>
      </c>
      <c r="D100">
        <v>11</v>
      </c>
      <c r="E100" t="s">
        <v>125</v>
      </c>
      <c r="F100">
        <v>117</v>
      </c>
      <c r="G100" t="s">
        <v>34</v>
      </c>
      <c r="H100" t="s">
        <v>24</v>
      </c>
      <c r="I100">
        <v>0</v>
      </c>
      <c r="J100">
        <v>0</v>
      </c>
      <c r="K100">
        <v>6.7</v>
      </c>
      <c r="L100">
        <v>60682</v>
      </c>
      <c r="M100" t="s">
        <v>17</v>
      </c>
      <c r="N100" t="str">
        <f t="shared" si="7"/>
        <v>streaming</v>
      </c>
      <c r="O100" t="str">
        <f t="shared" si="8"/>
        <v>non-original</v>
      </c>
      <c r="P100" t="str">
        <f t="shared" si="9"/>
        <v>non-franchise</v>
      </c>
      <c r="Q100" t="str">
        <f t="shared" si="10"/>
        <v>new</v>
      </c>
      <c r="R100" s="2">
        <f t="shared" si="11"/>
        <v>2.6530472061716721E-2</v>
      </c>
      <c r="S100">
        <f t="shared" si="12"/>
        <v>0.56295112781954892</v>
      </c>
      <c r="T100" t="str">
        <f t="shared" si="13"/>
        <v>Scenario 3: Strong Convenience</v>
      </c>
    </row>
    <row r="101" spans="1:20" x14ac:dyDescent="0.35">
      <c r="A101" t="s">
        <v>173</v>
      </c>
      <c r="B101" s="1">
        <v>44159</v>
      </c>
      <c r="C101">
        <v>2020</v>
      </c>
      <c r="D101">
        <v>11</v>
      </c>
      <c r="E101" t="s">
        <v>125</v>
      </c>
      <c r="F101">
        <v>83</v>
      </c>
      <c r="G101" t="s">
        <v>34</v>
      </c>
      <c r="H101" t="s">
        <v>24</v>
      </c>
      <c r="I101">
        <v>0</v>
      </c>
      <c r="J101">
        <v>0</v>
      </c>
      <c r="K101">
        <v>6.5</v>
      </c>
      <c r="L101">
        <v>1106</v>
      </c>
      <c r="M101" t="s">
        <v>17</v>
      </c>
      <c r="N101" t="str">
        <f t="shared" si="7"/>
        <v>streaming</v>
      </c>
      <c r="O101" t="str">
        <f t="shared" si="8"/>
        <v>non-original</v>
      </c>
      <c r="P101" t="str">
        <f t="shared" si="9"/>
        <v>non-franchise</v>
      </c>
      <c r="Q101" t="str">
        <f t="shared" si="10"/>
        <v>new</v>
      </c>
      <c r="R101" s="2">
        <f t="shared" si="11"/>
        <v>3.4303027303629813E-4</v>
      </c>
      <c r="S101">
        <f t="shared" si="12"/>
        <v>0.67077067669172941</v>
      </c>
      <c r="T101" t="str">
        <f t="shared" si="13"/>
        <v>Scenario 3: Strong Convenience</v>
      </c>
    </row>
    <row r="102" spans="1:20" x14ac:dyDescent="0.35">
      <c r="A102" t="s">
        <v>174</v>
      </c>
      <c r="B102" s="1">
        <v>44160</v>
      </c>
      <c r="C102">
        <v>2020</v>
      </c>
      <c r="D102">
        <v>11</v>
      </c>
      <c r="E102" t="s">
        <v>125</v>
      </c>
      <c r="F102">
        <v>115</v>
      </c>
      <c r="G102" t="s">
        <v>175</v>
      </c>
      <c r="H102" t="s">
        <v>56</v>
      </c>
      <c r="I102">
        <v>0</v>
      </c>
      <c r="J102">
        <v>1</v>
      </c>
      <c r="K102">
        <v>6</v>
      </c>
      <c r="L102">
        <v>40778</v>
      </c>
      <c r="M102" t="s">
        <v>88</v>
      </c>
      <c r="N102" t="str">
        <f t="shared" si="7"/>
        <v>streaming</v>
      </c>
      <c r="O102" t="str">
        <f t="shared" si="8"/>
        <v>non-original</v>
      </c>
      <c r="P102" t="str">
        <f t="shared" si="9"/>
        <v>franchise</v>
      </c>
      <c r="Q102" t="str">
        <f t="shared" si="10"/>
        <v>old</v>
      </c>
      <c r="R102" s="2">
        <f t="shared" si="11"/>
        <v>2.628537943902148E-2</v>
      </c>
      <c r="S102">
        <f t="shared" si="12"/>
        <v>0.34060150375939852</v>
      </c>
      <c r="T102" t="str">
        <f t="shared" si="13"/>
        <v>Scenario 2: Weak Commitment/Convenience</v>
      </c>
    </row>
    <row r="103" spans="1:20" x14ac:dyDescent="0.35">
      <c r="A103" t="s">
        <v>176</v>
      </c>
      <c r="B103" s="1">
        <v>44162</v>
      </c>
      <c r="C103">
        <v>2020</v>
      </c>
      <c r="D103">
        <v>11</v>
      </c>
      <c r="E103" t="s">
        <v>125</v>
      </c>
      <c r="F103">
        <v>99</v>
      </c>
      <c r="G103" t="s">
        <v>49</v>
      </c>
      <c r="H103" t="s">
        <v>30</v>
      </c>
      <c r="I103">
        <v>0</v>
      </c>
      <c r="J103">
        <v>0</v>
      </c>
      <c r="K103">
        <v>5.2</v>
      </c>
      <c r="L103">
        <v>5177</v>
      </c>
      <c r="M103" t="s">
        <v>17</v>
      </c>
      <c r="N103" t="str">
        <f t="shared" si="7"/>
        <v>streaming</v>
      </c>
      <c r="O103" t="str">
        <f t="shared" si="8"/>
        <v>non-original</v>
      </c>
      <c r="P103" t="str">
        <f t="shared" si="9"/>
        <v>non-franchise</v>
      </c>
      <c r="Q103" t="str">
        <f t="shared" si="10"/>
        <v>new</v>
      </c>
      <c r="R103" s="2">
        <f t="shared" si="11"/>
        <v>1.9151931918710936E-3</v>
      </c>
      <c r="S103">
        <f t="shared" si="12"/>
        <v>0.4896992481203008</v>
      </c>
      <c r="T103" t="str">
        <f t="shared" si="13"/>
        <v>Scenario 2: Weak Commitment/Convenience</v>
      </c>
    </row>
    <row r="104" spans="1:20" x14ac:dyDescent="0.35">
      <c r="A104" t="s">
        <v>177</v>
      </c>
      <c r="B104" s="1">
        <v>44162</v>
      </c>
      <c r="C104">
        <v>2020</v>
      </c>
      <c r="D104">
        <v>11</v>
      </c>
      <c r="E104" t="s">
        <v>125</v>
      </c>
      <c r="F104">
        <v>112</v>
      </c>
      <c r="G104" t="s">
        <v>103</v>
      </c>
      <c r="H104" t="s">
        <v>16</v>
      </c>
      <c r="I104">
        <v>1</v>
      </c>
      <c r="J104">
        <v>1</v>
      </c>
      <c r="K104">
        <v>7.1</v>
      </c>
      <c r="L104">
        <v>52239</v>
      </c>
      <c r="M104" t="s">
        <v>17</v>
      </c>
      <c r="N104" t="str">
        <f t="shared" si="7"/>
        <v>streaming</v>
      </c>
      <c r="O104" t="str">
        <f t="shared" si="8"/>
        <v>original</v>
      </c>
      <c r="P104" t="str">
        <f t="shared" si="9"/>
        <v>franchise</v>
      </c>
      <c r="Q104" t="str">
        <f t="shared" si="10"/>
        <v>old</v>
      </c>
      <c r="R104" s="2">
        <f t="shared" si="11"/>
        <v>3.2794677626615545E-2</v>
      </c>
      <c r="S104">
        <f t="shared" si="12"/>
        <v>0.41105263157894739</v>
      </c>
      <c r="T104" t="str">
        <f t="shared" si="13"/>
        <v>Scenario 1: Strong Commitment</v>
      </c>
    </row>
    <row r="105" spans="1:20" x14ac:dyDescent="0.35">
      <c r="A105" t="s">
        <v>178</v>
      </c>
      <c r="B105" s="1">
        <v>44165</v>
      </c>
      <c r="C105">
        <v>2020</v>
      </c>
      <c r="D105">
        <v>11</v>
      </c>
      <c r="E105" t="s">
        <v>125</v>
      </c>
      <c r="F105">
        <v>105</v>
      </c>
      <c r="G105" t="s">
        <v>34</v>
      </c>
      <c r="H105" t="s">
        <v>30</v>
      </c>
      <c r="I105">
        <v>0</v>
      </c>
      <c r="J105">
        <v>0</v>
      </c>
      <c r="K105">
        <v>5</v>
      </c>
      <c r="L105">
        <v>238</v>
      </c>
      <c r="M105" t="s">
        <v>17</v>
      </c>
      <c r="N105" t="str">
        <f t="shared" si="7"/>
        <v>streaming</v>
      </c>
      <c r="O105" t="str">
        <f t="shared" si="8"/>
        <v>non-original</v>
      </c>
      <c r="P105" t="str">
        <f t="shared" si="9"/>
        <v>non-franchise</v>
      </c>
      <c r="Q105" t="str">
        <f t="shared" si="10"/>
        <v>new</v>
      </c>
      <c r="R105" s="2">
        <f t="shared" si="11"/>
        <v>9.3382497692510639E-5</v>
      </c>
      <c r="S105">
        <f t="shared" si="12"/>
        <v>0.45394736842105265</v>
      </c>
      <c r="T105" t="str">
        <f t="shared" si="13"/>
        <v>Scenario 2: Weak Commitment/Convenience</v>
      </c>
    </row>
    <row r="106" spans="1:20" x14ac:dyDescent="0.35">
      <c r="A106" t="s">
        <v>179</v>
      </c>
      <c r="B106" s="1">
        <v>44168</v>
      </c>
      <c r="C106">
        <v>2020</v>
      </c>
      <c r="D106">
        <v>12</v>
      </c>
      <c r="E106" t="s">
        <v>14</v>
      </c>
      <c r="F106">
        <v>101</v>
      </c>
      <c r="G106" t="s">
        <v>175</v>
      </c>
      <c r="H106" t="s">
        <v>30</v>
      </c>
      <c r="I106">
        <v>0</v>
      </c>
      <c r="J106">
        <v>0</v>
      </c>
      <c r="K106">
        <v>6.7</v>
      </c>
      <c r="L106">
        <v>6308</v>
      </c>
      <c r="M106" t="s">
        <v>17</v>
      </c>
      <c r="N106" t="str">
        <f t="shared" si="7"/>
        <v>streaming</v>
      </c>
      <c r="O106" t="str">
        <f t="shared" si="8"/>
        <v>non-original</v>
      </c>
      <c r="P106" t="str">
        <f t="shared" si="9"/>
        <v>non-franchise</v>
      </c>
      <c r="Q106" t="str">
        <f t="shared" si="10"/>
        <v>new</v>
      </c>
      <c r="R106" s="2">
        <f t="shared" si="11"/>
        <v>2.3807417502953207E-3</v>
      </c>
      <c r="S106">
        <f t="shared" si="12"/>
        <v>0.62340225563909779</v>
      </c>
      <c r="T106" t="str">
        <f t="shared" si="13"/>
        <v>Scenario 3: Strong Convenience</v>
      </c>
    </row>
    <row r="107" spans="1:20" x14ac:dyDescent="0.35">
      <c r="A107" t="s">
        <v>180</v>
      </c>
      <c r="B107" s="1">
        <v>44169</v>
      </c>
      <c r="C107">
        <v>2020</v>
      </c>
      <c r="D107">
        <v>12</v>
      </c>
      <c r="E107" t="s">
        <v>14</v>
      </c>
      <c r="F107">
        <v>106</v>
      </c>
      <c r="G107" t="s">
        <v>181</v>
      </c>
      <c r="H107" t="s">
        <v>30</v>
      </c>
      <c r="I107">
        <v>0</v>
      </c>
      <c r="J107">
        <v>0</v>
      </c>
      <c r="K107">
        <v>4.8</v>
      </c>
      <c r="L107">
        <v>1738</v>
      </c>
      <c r="M107" t="s">
        <v>17</v>
      </c>
      <c r="N107" t="str">
        <f t="shared" si="7"/>
        <v>streaming</v>
      </c>
      <c r="O107" t="str">
        <f t="shared" si="8"/>
        <v>non-original</v>
      </c>
      <c r="P107" t="str">
        <f t="shared" si="9"/>
        <v>non-franchise</v>
      </c>
      <c r="Q107" t="str">
        <f t="shared" si="10"/>
        <v>new</v>
      </c>
      <c r="R107" s="2">
        <f t="shared" si="11"/>
        <v>6.8842220027594432E-4</v>
      </c>
      <c r="S107">
        <f t="shared" si="12"/>
        <v>0.43308270676691724</v>
      </c>
      <c r="T107" t="str">
        <f t="shared" si="13"/>
        <v>Scenario 2: Weak Commitment/Convenience</v>
      </c>
    </row>
    <row r="108" spans="1:20" x14ac:dyDescent="0.35">
      <c r="A108" t="s">
        <v>182</v>
      </c>
      <c r="B108" s="1">
        <v>44169</v>
      </c>
      <c r="C108">
        <v>2020</v>
      </c>
      <c r="D108">
        <v>12</v>
      </c>
      <c r="E108" t="s">
        <v>14</v>
      </c>
      <c r="F108">
        <v>112</v>
      </c>
      <c r="G108" t="s">
        <v>21</v>
      </c>
      <c r="H108" t="s">
        <v>30</v>
      </c>
      <c r="I108">
        <v>0</v>
      </c>
      <c r="J108">
        <v>0</v>
      </c>
      <c r="K108">
        <v>3.7</v>
      </c>
      <c r="L108">
        <v>8296</v>
      </c>
      <c r="M108" t="s">
        <v>17</v>
      </c>
      <c r="N108" t="str">
        <f t="shared" si="7"/>
        <v>streaming</v>
      </c>
      <c r="O108" t="str">
        <f t="shared" si="8"/>
        <v>non-original</v>
      </c>
      <c r="P108" t="str">
        <f t="shared" si="9"/>
        <v>non-franchise</v>
      </c>
      <c r="Q108" t="str">
        <f t="shared" si="10"/>
        <v>new</v>
      </c>
      <c r="R108" s="2">
        <f t="shared" si="11"/>
        <v>3.4720501999196333E-3</v>
      </c>
      <c r="S108">
        <f t="shared" si="12"/>
        <v>0.32131578947368417</v>
      </c>
      <c r="T108" t="str">
        <f t="shared" si="13"/>
        <v>Scenario 2: Weak Commitment/Convenience</v>
      </c>
    </row>
    <row r="109" spans="1:20" x14ac:dyDescent="0.35">
      <c r="A109" t="s">
        <v>183</v>
      </c>
      <c r="B109" s="1">
        <v>44169</v>
      </c>
      <c r="C109">
        <v>2020</v>
      </c>
      <c r="D109">
        <v>12</v>
      </c>
      <c r="E109" t="s">
        <v>14</v>
      </c>
      <c r="F109">
        <v>132</v>
      </c>
      <c r="G109" t="s">
        <v>62</v>
      </c>
      <c r="H109" t="s">
        <v>24</v>
      </c>
      <c r="I109">
        <v>0</v>
      </c>
      <c r="J109">
        <v>0</v>
      </c>
      <c r="K109">
        <v>6.8</v>
      </c>
      <c r="L109">
        <v>103831</v>
      </c>
      <c r="M109" t="s">
        <v>17</v>
      </c>
      <c r="N109" t="str">
        <f t="shared" si="7"/>
        <v>streaming</v>
      </c>
      <c r="O109" t="str">
        <f t="shared" si="8"/>
        <v>non-original</v>
      </c>
      <c r="P109" t="str">
        <f t="shared" si="9"/>
        <v>non-franchise</v>
      </c>
      <c r="Q109" t="str">
        <f t="shared" si="10"/>
        <v>new</v>
      </c>
      <c r="R109" s="2">
        <f t="shared" si="11"/>
        <v>5.1215356205052479E-2</v>
      </c>
      <c r="S109">
        <f t="shared" si="12"/>
        <v>0.51383458646616542</v>
      </c>
      <c r="T109" t="str">
        <f t="shared" si="13"/>
        <v>Scenario 4: Hybrid Logic</v>
      </c>
    </row>
    <row r="110" spans="1:20" x14ac:dyDescent="0.35">
      <c r="A110" t="s">
        <v>184</v>
      </c>
      <c r="B110" s="1">
        <v>44172</v>
      </c>
      <c r="C110">
        <v>2020</v>
      </c>
      <c r="D110">
        <v>12</v>
      </c>
      <c r="E110" t="s">
        <v>14</v>
      </c>
      <c r="F110">
        <v>97</v>
      </c>
      <c r="G110" t="s">
        <v>185</v>
      </c>
      <c r="H110" t="s">
        <v>30</v>
      </c>
      <c r="I110">
        <v>0</v>
      </c>
      <c r="J110">
        <v>0</v>
      </c>
      <c r="K110">
        <v>5.6</v>
      </c>
      <c r="L110">
        <v>3517</v>
      </c>
      <c r="M110" t="s">
        <v>88</v>
      </c>
      <c r="N110" t="str">
        <f t="shared" si="7"/>
        <v>streaming</v>
      </c>
      <c r="O110" t="str">
        <f t="shared" si="8"/>
        <v>non-original</v>
      </c>
      <c r="P110" t="str">
        <f t="shared" si="9"/>
        <v>non-franchise</v>
      </c>
      <c r="Q110" t="str">
        <f t="shared" si="10"/>
        <v>new</v>
      </c>
      <c r="R110" s="2">
        <f t="shared" si="11"/>
        <v>1.2748037497119771E-3</v>
      </c>
      <c r="S110">
        <f t="shared" si="12"/>
        <v>0.53368421052631565</v>
      </c>
      <c r="T110" t="str">
        <f t="shared" si="13"/>
        <v>Scenario 3: Strong Convenience</v>
      </c>
    </row>
    <row r="111" spans="1:20" x14ac:dyDescent="0.35">
      <c r="A111" t="s">
        <v>186</v>
      </c>
      <c r="B111" s="1">
        <v>44174</v>
      </c>
      <c r="C111">
        <v>2020</v>
      </c>
      <c r="D111">
        <v>12</v>
      </c>
      <c r="E111" t="s">
        <v>14</v>
      </c>
      <c r="F111">
        <v>118</v>
      </c>
      <c r="G111" t="s">
        <v>116</v>
      </c>
      <c r="H111" t="s">
        <v>30</v>
      </c>
      <c r="I111">
        <v>0</v>
      </c>
      <c r="J111">
        <v>0</v>
      </c>
      <c r="K111">
        <v>7</v>
      </c>
      <c r="L111">
        <v>27450</v>
      </c>
      <c r="M111" t="s">
        <v>17</v>
      </c>
      <c r="N111" t="str">
        <f t="shared" si="7"/>
        <v>streaming</v>
      </c>
      <c r="O111" t="str">
        <f t="shared" si="8"/>
        <v>non-original</v>
      </c>
      <c r="P111" t="str">
        <f t="shared" si="9"/>
        <v>non-franchise</v>
      </c>
      <c r="Q111" t="str">
        <f t="shared" si="10"/>
        <v>new</v>
      </c>
      <c r="R111" s="2">
        <f t="shared" si="11"/>
        <v>1.2103851471621095E-2</v>
      </c>
      <c r="S111">
        <f t="shared" si="12"/>
        <v>0.58421052631578951</v>
      </c>
      <c r="T111" t="str">
        <f t="shared" si="13"/>
        <v>Scenario 3: Strong Convenience</v>
      </c>
    </row>
    <row r="112" spans="1:20" x14ac:dyDescent="0.35">
      <c r="A112" t="s">
        <v>187</v>
      </c>
      <c r="B112" s="1">
        <v>44176</v>
      </c>
      <c r="C112">
        <v>2020</v>
      </c>
      <c r="D112">
        <v>12</v>
      </c>
      <c r="E112" t="s">
        <v>14</v>
      </c>
      <c r="F112">
        <v>132</v>
      </c>
      <c r="G112" t="s">
        <v>188</v>
      </c>
      <c r="H112" t="s">
        <v>27</v>
      </c>
      <c r="I112">
        <v>0</v>
      </c>
      <c r="J112">
        <v>0</v>
      </c>
      <c r="K112">
        <v>5.9</v>
      </c>
      <c r="L112">
        <v>30464</v>
      </c>
      <c r="M112" t="s">
        <v>17</v>
      </c>
      <c r="N112" t="str">
        <f t="shared" si="7"/>
        <v>streaming</v>
      </c>
      <c r="O112" t="str">
        <f t="shared" si="8"/>
        <v>non-original</v>
      </c>
      <c r="P112" t="str">
        <f t="shared" si="9"/>
        <v>non-franchise</v>
      </c>
      <c r="Q112" t="str">
        <f t="shared" si="10"/>
        <v>new</v>
      </c>
      <c r="R112" s="2">
        <f t="shared" si="11"/>
        <v>1.5026577914406283E-2</v>
      </c>
      <c r="S112">
        <f t="shared" si="12"/>
        <v>0.44582706766917302</v>
      </c>
      <c r="T112" t="str">
        <f t="shared" si="13"/>
        <v>Scenario 2: Weak Commitment/Convenience</v>
      </c>
    </row>
    <row r="113" spans="1:20" x14ac:dyDescent="0.35">
      <c r="A113" t="s">
        <v>189</v>
      </c>
      <c r="B113" s="1">
        <v>44179</v>
      </c>
      <c r="C113">
        <v>2020</v>
      </c>
      <c r="D113">
        <v>12</v>
      </c>
      <c r="E113" t="s">
        <v>14</v>
      </c>
      <c r="F113">
        <v>107</v>
      </c>
      <c r="G113" t="s">
        <v>156</v>
      </c>
      <c r="H113" t="s">
        <v>27</v>
      </c>
      <c r="I113">
        <v>0</v>
      </c>
      <c r="J113">
        <v>0</v>
      </c>
      <c r="K113">
        <v>5.9</v>
      </c>
      <c r="L113">
        <v>12437</v>
      </c>
      <c r="M113" t="s">
        <v>17</v>
      </c>
      <c r="N113" t="str">
        <f t="shared" si="7"/>
        <v>streaming</v>
      </c>
      <c r="O113" t="str">
        <f t="shared" si="8"/>
        <v>non-original</v>
      </c>
      <c r="P113" t="str">
        <f t="shared" si="9"/>
        <v>non-franchise</v>
      </c>
      <c r="Q113" t="str">
        <f t="shared" si="10"/>
        <v>new</v>
      </c>
      <c r="R113" s="2">
        <f t="shared" si="11"/>
        <v>4.9727730791031518E-3</v>
      </c>
      <c r="S113">
        <f t="shared" si="12"/>
        <v>0.52900375939849631</v>
      </c>
      <c r="T113" t="str">
        <f t="shared" si="13"/>
        <v>Scenario 3: Strong Convenience</v>
      </c>
    </row>
    <row r="114" spans="1:20" x14ac:dyDescent="0.35">
      <c r="A114" t="s">
        <v>190</v>
      </c>
      <c r="B114" s="1">
        <v>44183</v>
      </c>
      <c r="C114">
        <v>2020</v>
      </c>
      <c r="D114">
        <v>12</v>
      </c>
      <c r="E114" t="s">
        <v>14</v>
      </c>
      <c r="F114">
        <v>94</v>
      </c>
      <c r="G114" t="s">
        <v>34</v>
      </c>
      <c r="H114" t="s">
        <v>24</v>
      </c>
      <c r="I114">
        <v>1</v>
      </c>
      <c r="J114">
        <v>0</v>
      </c>
      <c r="K114">
        <v>6.9</v>
      </c>
      <c r="L114">
        <v>77172</v>
      </c>
      <c r="M114" t="s">
        <v>17</v>
      </c>
      <c r="N114" t="str">
        <f t="shared" si="7"/>
        <v>streaming</v>
      </c>
      <c r="O114" t="str">
        <f t="shared" si="8"/>
        <v>original</v>
      </c>
      <c r="P114" t="str">
        <f t="shared" si="9"/>
        <v>non-franchise</v>
      </c>
      <c r="Q114" t="str">
        <f t="shared" si="10"/>
        <v>old</v>
      </c>
      <c r="R114" s="2">
        <f t="shared" si="11"/>
        <v>4.0661003992862203E-2</v>
      </c>
      <c r="S114">
        <f t="shared" si="12"/>
        <v>0.44616541353383465</v>
      </c>
      <c r="T114" t="str">
        <f t="shared" si="13"/>
        <v>Scenario 1: Strong Commitment</v>
      </c>
    </row>
    <row r="115" spans="1:20" x14ac:dyDescent="0.35">
      <c r="A115" t="s">
        <v>191</v>
      </c>
      <c r="B115" s="1">
        <v>44188</v>
      </c>
      <c r="C115">
        <v>2020</v>
      </c>
      <c r="D115">
        <v>12</v>
      </c>
      <c r="E115" t="s">
        <v>14</v>
      </c>
      <c r="F115">
        <v>118</v>
      </c>
      <c r="G115" t="s">
        <v>192</v>
      </c>
      <c r="H115" t="s">
        <v>27</v>
      </c>
      <c r="I115">
        <v>0</v>
      </c>
      <c r="J115">
        <v>0</v>
      </c>
      <c r="K115">
        <v>5.7</v>
      </c>
      <c r="L115">
        <v>93957</v>
      </c>
      <c r="M115" t="s">
        <v>17</v>
      </c>
      <c r="N115" t="str">
        <f t="shared" si="7"/>
        <v>streaming</v>
      </c>
      <c r="O115" t="str">
        <f t="shared" si="8"/>
        <v>non-original</v>
      </c>
      <c r="P115" t="str">
        <f t="shared" si="9"/>
        <v>non-franchise</v>
      </c>
      <c r="Q115" t="str">
        <f t="shared" si="10"/>
        <v>new</v>
      </c>
      <c r="R115" s="2">
        <f t="shared" si="11"/>
        <v>4.1429565490677715E-2</v>
      </c>
      <c r="S115">
        <f t="shared" si="12"/>
        <v>0.47571428571428581</v>
      </c>
      <c r="T115" t="str">
        <f t="shared" si="13"/>
        <v>Scenario 1: Strong Commitment</v>
      </c>
    </row>
    <row r="116" spans="1:20" x14ac:dyDescent="0.35">
      <c r="A116" t="s">
        <v>193</v>
      </c>
      <c r="B116" s="1">
        <v>44189</v>
      </c>
      <c r="C116">
        <v>2020</v>
      </c>
      <c r="D116">
        <v>12</v>
      </c>
      <c r="E116" t="s">
        <v>14</v>
      </c>
      <c r="F116">
        <v>109</v>
      </c>
      <c r="G116" t="s">
        <v>194</v>
      </c>
      <c r="H116" t="s">
        <v>30</v>
      </c>
      <c r="I116">
        <v>0</v>
      </c>
      <c r="J116">
        <v>0</v>
      </c>
      <c r="K116">
        <v>6.9</v>
      </c>
      <c r="L116">
        <v>15785</v>
      </c>
      <c r="M116" t="s">
        <v>17</v>
      </c>
      <c r="N116" t="str">
        <f t="shared" si="7"/>
        <v>streaming</v>
      </c>
      <c r="O116" t="str">
        <f t="shared" si="8"/>
        <v>non-original</v>
      </c>
      <c r="P116" t="str">
        <f t="shared" si="9"/>
        <v>non-franchise</v>
      </c>
      <c r="Q116" t="str">
        <f t="shared" si="10"/>
        <v>new</v>
      </c>
      <c r="R116" s="2">
        <f t="shared" si="11"/>
        <v>6.429398044910546E-3</v>
      </c>
      <c r="S116">
        <f t="shared" si="12"/>
        <v>0.61088345864661664</v>
      </c>
      <c r="T116" t="str">
        <f t="shared" si="13"/>
        <v>Scenario 3: Strong Convenience</v>
      </c>
    </row>
    <row r="117" spans="1:20" x14ac:dyDescent="0.35">
      <c r="A117" t="s">
        <v>195</v>
      </c>
      <c r="B117" s="1">
        <v>44190</v>
      </c>
      <c r="C117">
        <v>2020</v>
      </c>
      <c r="D117">
        <v>12</v>
      </c>
      <c r="E117" t="s">
        <v>14</v>
      </c>
      <c r="F117">
        <v>100</v>
      </c>
      <c r="G117" t="s">
        <v>100</v>
      </c>
      <c r="H117" t="s">
        <v>56</v>
      </c>
      <c r="I117">
        <v>0</v>
      </c>
      <c r="J117">
        <v>0</v>
      </c>
      <c r="K117">
        <v>4.7</v>
      </c>
      <c r="L117">
        <v>19374</v>
      </c>
      <c r="M117" t="s">
        <v>17</v>
      </c>
      <c r="N117" t="str">
        <f t="shared" si="7"/>
        <v>streaming</v>
      </c>
      <c r="O117" t="str">
        <f t="shared" si="8"/>
        <v>non-original</v>
      </c>
      <c r="P117" t="str">
        <f t="shared" si="9"/>
        <v>non-franchise</v>
      </c>
      <c r="Q117" t="str">
        <f t="shared" si="10"/>
        <v>new</v>
      </c>
      <c r="R117" s="2">
        <f t="shared" si="11"/>
        <v>7.2396659075418205E-3</v>
      </c>
      <c r="S117">
        <f t="shared" si="12"/>
        <v>0.43996240601503767</v>
      </c>
      <c r="T117" t="str">
        <f t="shared" si="13"/>
        <v>Scenario 2: Weak Commitment/Convenience</v>
      </c>
    </row>
    <row r="118" spans="1:20" x14ac:dyDescent="0.35">
      <c r="A118" t="s">
        <v>196</v>
      </c>
      <c r="B118" s="1">
        <v>44197</v>
      </c>
      <c r="C118">
        <v>2021</v>
      </c>
      <c r="D118">
        <v>1</v>
      </c>
      <c r="E118" t="s">
        <v>14</v>
      </c>
      <c r="F118">
        <v>102</v>
      </c>
      <c r="G118" t="s">
        <v>21</v>
      </c>
      <c r="H118" t="s">
        <v>16</v>
      </c>
      <c r="I118">
        <v>0</v>
      </c>
      <c r="J118">
        <v>0</v>
      </c>
      <c r="K118">
        <v>4.4000000000000004</v>
      </c>
      <c r="L118">
        <v>423</v>
      </c>
      <c r="M118" t="s">
        <v>17</v>
      </c>
      <c r="N118" t="str">
        <f t="shared" si="7"/>
        <v>streaming</v>
      </c>
      <c r="O118" t="str">
        <f t="shared" si="8"/>
        <v>non-original</v>
      </c>
      <c r="P118" t="str">
        <f t="shared" si="9"/>
        <v>non-franchise</v>
      </c>
      <c r="Q118" t="str">
        <f t="shared" si="10"/>
        <v>new</v>
      </c>
      <c r="R118" s="2">
        <f t="shared" si="11"/>
        <v>1.6122774091400813E-4</v>
      </c>
      <c r="S118">
        <f t="shared" si="12"/>
        <v>0.40691729323308284</v>
      </c>
      <c r="T118" t="str">
        <f t="shared" si="13"/>
        <v>Scenario 2: Weak Commitment/Convenience</v>
      </c>
    </row>
    <row r="119" spans="1:20" x14ac:dyDescent="0.35">
      <c r="A119" t="s">
        <v>197</v>
      </c>
      <c r="B119" s="1">
        <v>44204</v>
      </c>
      <c r="C119">
        <v>2021</v>
      </c>
      <c r="D119">
        <v>1</v>
      </c>
      <c r="E119" t="s">
        <v>14</v>
      </c>
      <c r="F119">
        <v>96</v>
      </c>
      <c r="G119" t="s">
        <v>34</v>
      </c>
      <c r="H119" t="s">
        <v>24</v>
      </c>
      <c r="I119">
        <v>0</v>
      </c>
      <c r="J119">
        <v>0</v>
      </c>
      <c r="K119">
        <v>6</v>
      </c>
      <c r="L119">
        <v>11847</v>
      </c>
      <c r="M119" t="s">
        <v>17</v>
      </c>
      <c r="N119" t="str">
        <f t="shared" si="7"/>
        <v>streaming</v>
      </c>
      <c r="O119" t="str">
        <f t="shared" si="8"/>
        <v>non-original</v>
      </c>
      <c r="P119" t="str">
        <f t="shared" si="9"/>
        <v>non-franchise</v>
      </c>
      <c r="Q119" t="str">
        <f t="shared" si="10"/>
        <v>new</v>
      </c>
      <c r="R119" s="2">
        <f t="shared" si="11"/>
        <v>4.2499013691742558E-3</v>
      </c>
      <c r="S119">
        <f t="shared" si="12"/>
        <v>0.57518796992481203</v>
      </c>
      <c r="T119" t="str">
        <f t="shared" si="13"/>
        <v>Scenario 3: Strong Convenience</v>
      </c>
    </row>
    <row r="120" spans="1:20" x14ac:dyDescent="0.35">
      <c r="A120" t="s">
        <v>198</v>
      </c>
      <c r="B120" s="1">
        <v>44210</v>
      </c>
      <c r="C120">
        <v>2021</v>
      </c>
      <c r="D120">
        <v>1</v>
      </c>
      <c r="E120" t="s">
        <v>14</v>
      </c>
      <c r="F120">
        <v>101</v>
      </c>
      <c r="G120" t="s">
        <v>116</v>
      </c>
      <c r="H120" t="s">
        <v>16</v>
      </c>
      <c r="I120">
        <v>0</v>
      </c>
      <c r="J120">
        <v>0</v>
      </c>
      <c r="K120">
        <v>6.3</v>
      </c>
      <c r="L120">
        <v>243</v>
      </c>
      <c r="M120" t="s">
        <v>17</v>
      </c>
      <c r="N120" t="str">
        <f t="shared" si="7"/>
        <v>streaming</v>
      </c>
      <c r="O120" t="str">
        <f t="shared" si="8"/>
        <v>non-original</v>
      </c>
      <c r="P120" t="str">
        <f t="shared" si="9"/>
        <v>non-franchise</v>
      </c>
      <c r="Q120" t="str">
        <f t="shared" si="10"/>
        <v>new</v>
      </c>
      <c r="R120" s="2">
        <f t="shared" si="11"/>
        <v>9.1712150494889492E-5</v>
      </c>
      <c r="S120">
        <f t="shared" si="12"/>
        <v>0.58618421052631586</v>
      </c>
      <c r="T120" t="str">
        <f t="shared" si="13"/>
        <v>Scenario 3: Strong Convenience</v>
      </c>
    </row>
    <row r="121" spans="1:20" x14ac:dyDescent="0.35">
      <c r="A121" t="s">
        <v>199</v>
      </c>
      <c r="B121" s="1">
        <v>44211</v>
      </c>
      <c r="C121">
        <v>2021</v>
      </c>
      <c r="D121">
        <v>1</v>
      </c>
      <c r="E121" t="s">
        <v>14</v>
      </c>
      <c r="F121">
        <v>105</v>
      </c>
      <c r="G121" t="s">
        <v>116</v>
      </c>
      <c r="H121" t="s">
        <v>16</v>
      </c>
      <c r="I121">
        <v>0</v>
      </c>
      <c r="J121">
        <v>0</v>
      </c>
      <c r="K121">
        <v>5.7</v>
      </c>
      <c r="L121">
        <v>1654</v>
      </c>
      <c r="M121" t="s">
        <v>17</v>
      </c>
      <c r="N121" t="str">
        <f t="shared" si="7"/>
        <v>streaming</v>
      </c>
      <c r="O121" t="str">
        <f t="shared" si="8"/>
        <v>non-original</v>
      </c>
      <c r="P121" t="str">
        <f t="shared" si="9"/>
        <v>non-franchise</v>
      </c>
      <c r="Q121" t="str">
        <f t="shared" si="10"/>
        <v>new</v>
      </c>
      <c r="R121" s="2">
        <f t="shared" si="11"/>
        <v>6.4896912261938058E-4</v>
      </c>
      <c r="S121">
        <f t="shared" si="12"/>
        <v>0.51750000000000007</v>
      </c>
      <c r="T121" t="str">
        <f t="shared" si="13"/>
        <v>Scenario 3: Strong Convenience</v>
      </c>
    </row>
    <row r="122" spans="1:20" x14ac:dyDescent="0.35">
      <c r="A122" t="s">
        <v>200</v>
      </c>
      <c r="B122" s="1">
        <v>44211</v>
      </c>
      <c r="C122">
        <v>2021</v>
      </c>
      <c r="D122">
        <v>1</v>
      </c>
      <c r="E122" t="s">
        <v>14</v>
      </c>
      <c r="F122">
        <v>115</v>
      </c>
      <c r="G122" t="s">
        <v>201</v>
      </c>
      <c r="H122" t="s">
        <v>24</v>
      </c>
      <c r="I122">
        <v>0</v>
      </c>
      <c r="J122">
        <v>0</v>
      </c>
      <c r="K122">
        <v>5.4</v>
      </c>
      <c r="L122">
        <v>48182</v>
      </c>
      <c r="M122" t="s">
        <v>17</v>
      </c>
      <c r="N122" t="str">
        <f t="shared" si="7"/>
        <v>streaming</v>
      </c>
      <c r="O122" t="str">
        <f t="shared" si="8"/>
        <v>non-original</v>
      </c>
      <c r="P122" t="str">
        <f t="shared" si="9"/>
        <v>non-franchise</v>
      </c>
      <c r="Q122" t="str">
        <f t="shared" si="10"/>
        <v>new</v>
      </c>
      <c r="R122" s="2">
        <f t="shared" si="11"/>
        <v>2.070531744455234E-2</v>
      </c>
      <c r="S122">
        <f t="shared" si="12"/>
        <v>0.45981203007518806</v>
      </c>
      <c r="T122" t="str">
        <f t="shared" si="13"/>
        <v>Scenario 2: Weak Commitment/Convenience</v>
      </c>
    </row>
    <row r="123" spans="1:20" x14ac:dyDescent="0.35">
      <c r="A123" t="s">
        <v>202</v>
      </c>
      <c r="B123" s="1">
        <v>44218</v>
      </c>
      <c r="C123">
        <v>2021</v>
      </c>
      <c r="D123">
        <v>1</v>
      </c>
      <c r="E123" t="s">
        <v>14</v>
      </c>
      <c r="F123">
        <v>125</v>
      </c>
      <c r="G123" t="s">
        <v>34</v>
      </c>
      <c r="H123" t="s">
        <v>24</v>
      </c>
      <c r="I123">
        <v>0</v>
      </c>
      <c r="J123">
        <v>0</v>
      </c>
      <c r="K123">
        <v>7.1</v>
      </c>
      <c r="L123">
        <v>69488</v>
      </c>
      <c r="M123" t="s">
        <v>17</v>
      </c>
      <c r="N123" t="str">
        <f t="shared" si="7"/>
        <v>streaming</v>
      </c>
      <c r="O123" t="str">
        <f t="shared" si="8"/>
        <v>non-original</v>
      </c>
      <c r="P123" t="str">
        <f t="shared" si="9"/>
        <v>non-franchise</v>
      </c>
      <c r="Q123" t="str">
        <f t="shared" si="10"/>
        <v>new</v>
      </c>
      <c r="R123" s="2">
        <f t="shared" si="11"/>
        <v>3.2457798117532903E-2</v>
      </c>
      <c r="S123">
        <f t="shared" si="12"/>
        <v>0.56453007518796994</v>
      </c>
      <c r="T123" t="str">
        <f t="shared" si="13"/>
        <v>Scenario 4: Hybrid Logic</v>
      </c>
    </row>
    <row r="124" spans="1:20" x14ac:dyDescent="0.35">
      <c r="A124" t="s">
        <v>203</v>
      </c>
      <c r="B124" s="1">
        <v>44225</v>
      </c>
      <c r="C124">
        <v>2021</v>
      </c>
      <c r="D124">
        <v>1</v>
      </c>
      <c r="E124" t="s">
        <v>14</v>
      </c>
      <c r="F124">
        <v>112</v>
      </c>
      <c r="G124" t="s">
        <v>34</v>
      </c>
      <c r="H124" t="s">
        <v>27</v>
      </c>
      <c r="I124">
        <v>0</v>
      </c>
      <c r="J124">
        <v>0</v>
      </c>
      <c r="K124">
        <v>7.1</v>
      </c>
      <c r="L124">
        <v>88903</v>
      </c>
      <c r="M124" t="s">
        <v>17</v>
      </c>
      <c r="N124" t="str">
        <f t="shared" si="7"/>
        <v>streaming</v>
      </c>
      <c r="O124" t="str">
        <f t="shared" si="8"/>
        <v>non-original</v>
      </c>
      <c r="P124" t="str">
        <f t="shared" si="9"/>
        <v>non-franchise</v>
      </c>
      <c r="Q124" t="str">
        <f t="shared" si="10"/>
        <v>new</v>
      </c>
      <c r="R124" s="2">
        <f t="shared" si="11"/>
        <v>3.7207772290676851E-2</v>
      </c>
      <c r="S124">
        <f t="shared" si="12"/>
        <v>0.616578947368421</v>
      </c>
      <c r="T124" t="str">
        <f t="shared" si="13"/>
        <v>Scenario 4: Hybrid Logic</v>
      </c>
    </row>
    <row r="125" spans="1:20" x14ac:dyDescent="0.35">
      <c r="A125" t="s">
        <v>204</v>
      </c>
      <c r="B125" s="1">
        <v>44225</v>
      </c>
      <c r="C125">
        <v>2021</v>
      </c>
      <c r="D125">
        <v>1</v>
      </c>
      <c r="E125" t="s">
        <v>14</v>
      </c>
      <c r="F125">
        <v>106</v>
      </c>
      <c r="G125" t="s">
        <v>34</v>
      </c>
      <c r="H125" t="s">
        <v>24</v>
      </c>
      <c r="I125">
        <v>0</v>
      </c>
      <c r="J125">
        <v>0</v>
      </c>
      <c r="K125">
        <v>6.2</v>
      </c>
      <c r="L125">
        <v>22830</v>
      </c>
      <c r="M125" t="s">
        <v>17</v>
      </c>
      <c r="N125" t="str">
        <f t="shared" si="7"/>
        <v>streaming</v>
      </c>
      <c r="O125" t="str">
        <f t="shared" si="8"/>
        <v>non-original</v>
      </c>
      <c r="P125" t="str">
        <f t="shared" si="9"/>
        <v>non-franchise</v>
      </c>
      <c r="Q125" t="str">
        <f t="shared" si="10"/>
        <v>new</v>
      </c>
      <c r="R125" s="2">
        <f t="shared" si="11"/>
        <v>9.0429682579400514E-3</v>
      </c>
      <c r="S125">
        <f t="shared" si="12"/>
        <v>0.55939849624060145</v>
      </c>
      <c r="T125" t="str">
        <f t="shared" si="13"/>
        <v>Scenario 3: Strong Convenience</v>
      </c>
    </row>
    <row r="126" spans="1:20" x14ac:dyDescent="0.35">
      <c r="A126" t="s">
        <v>205</v>
      </c>
      <c r="B126" s="1">
        <v>44232</v>
      </c>
      <c r="C126">
        <v>2021</v>
      </c>
      <c r="D126">
        <v>2</v>
      </c>
      <c r="E126" t="s">
        <v>14</v>
      </c>
      <c r="F126">
        <v>106</v>
      </c>
      <c r="G126" t="s">
        <v>90</v>
      </c>
      <c r="H126" t="s">
        <v>24</v>
      </c>
      <c r="I126">
        <v>0</v>
      </c>
      <c r="J126">
        <v>0</v>
      </c>
      <c r="K126">
        <v>6.6</v>
      </c>
      <c r="L126">
        <v>43258</v>
      </c>
      <c r="M126" t="s">
        <v>17</v>
      </c>
      <c r="N126" t="str">
        <f t="shared" si="7"/>
        <v>streaming</v>
      </c>
      <c r="O126" t="str">
        <f t="shared" si="8"/>
        <v>non-original</v>
      </c>
      <c r="P126" t="str">
        <f t="shared" si="9"/>
        <v>non-franchise</v>
      </c>
      <c r="Q126" t="str">
        <f t="shared" si="10"/>
        <v>new</v>
      </c>
      <c r="R126" s="2">
        <f t="shared" si="11"/>
        <v>1.7134503762679401E-2</v>
      </c>
      <c r="S126">
        <f t="shared" si="12"/>
        <v>0.59548872180451118</v>
      </c>
      <c r="T126" t="str">
        <f t="shared" si="13"/>
        <v>Scenario 3: Strong Convenience</v>
      </c>
    </row>
    <row r="127" spans="1:20" x14ac:dyDescent="0.35">
      <c r="A127" t="s">
        <v>206</v>
      </c>
      <c r="B127" s="1">
        <v>44232</v>
      </c>
      <c r="C127">
        <v>2021</v>
      </c>
      <c r="D127">
        <v>2</v>
      </c>
      <c r="E127" t="s">
        <v>14</v>
      </c>
      <c r="F127">
        <v>136</v>
      </c>
      <c r="G127" t="s">
        <v>192</v>
      </c>
      <c r="H127" t="s">
        <v>24</v>
      </c>
      <c r="I127">
        <v>0</v>
      </c>
      <c r="J127">
        <v>0</v>
      </c>
      <c r="K127">
        <v>6.5</v>
      </c>
      <c r="L127">
        <v>30938</v>
      </c>
      <c r="M127" t="s">
        <v>17</v>
      </c>
      <c r="N127" t="str">
        <f t="shared" si="7"/>
        <v>streaming</v>
      </c>
      <c r="O127" t="str">
        <f t="shared" si="8"/>
        <v>non-original</v>
      </c>
      <c r="P127" t="str">
        <f t="shared" si="9"/>
        <v>non-franchise</v>
      </c>
      <c r="Q127" t="str">
        <f t="shared" si="10"/>
        <v>new</v>
      </c>
      <c r="R127" s="2">
        <f t="shared" si="11"/>
        <v>1.5722817489038879E-2</v>
      </c>
      <c r="S127">
        <f t="shared" si="12"/>
        <v>0.47650375939849632</v>
      </c>
      <c r="T127" t="str">
        <f t="shared" si="13"/>
        <v>Scenario 2: Weak Commitment/Convenience</v>
      </c>
    </row>
    <row r="128" spans="1:20" x14ac:dyDescent="0.35">
      <c r="A128" t="s">
        <v>207</v>
      </c>
      <c r="B128" s="1">
        <v>44237</v>
      </c>
      <c r="C128">
        <v>2021</v>
      </c>
      <c r="D128">
        <v>2</v>
      </c>
      <c r="E128" t="s">
        <v>14</v>
      </c>
      <c r="F128">
        <v>99</v>
      </c>
      <c r="G128" t="s">
        <v>21</v>
      </c>
      <c r="H128" t="s">
        <v>16</v>
      </c>
      <c r="I128">
        <v>0</v>
      </c>
      <c r="J128">
        <v>0</v>
      </c>
      <c r="K128">
        <v>4.5</v>
      </c>
      <c r="L128">
        <v>838</v>
      </c>
      <c r="M128" t="s">
        <v>17</v>
      </c>
      <c r="N128" t="str">
        <f t="shared" si="7"/>
        <v>streaming</v>
      </c>
      <c r="O128" t="str">
        <f t="shared" si="8"/>
        <v>non-original</v>
      </c>
      <c r="P128" t="str">
        <f t="shared" si="9"/>
        <v>non-franchise</v>
      </c>
      <c r="Q128" t="str">
        <f t="shared" si="10"/>
        <v>new</v>
      </c>
      <c r="R128" s="2">
        <f t="shared" si="11"/>
        <v>3.1001195572493264E-4</v>
      </c>
      <c r="S128">
        <f t="shared" si="12"/>
        <v>0.42377819548872186</v>
      </c>
      <c r="T128" t="str">
        <f t="shared" si="13"/>
        <v>Scenario 2: Weak Commitment/Convenience</v>
      </c>
    </row>
    <row r="129" spans="1:20" x14ac:dyDescent="0.35">
      <c r="A129" t="s">
        <v>208</v>
      </c>
      <c r="B129" s="1">
        <v>44238</v>
      </c>
      <c r="C129">
        <v>2021</v>
      </c>
      <c r="D129">
        <v>2</v>
      </c>
      <c r="E129" t="s">
        <v>14</v>
      </c>
      <c r="F129">
        <v>86</v>
      </c>
      <c r="G129" t="s">
        <v>19</v>
      </c>
      <c r="H129" t="s">
        <v>16</v>
      </c>
      <c r="I129">
        <v>0</v>
      </c>
      <c r="J129">
        <v>0</v>
      </c>
      <c r="K129">
        <v>5.5</v>
      </c>
      <c r="L129">
        <v>15814</v>
      </c>
      <c r="M129" t="s">
        <v>17</v>
      </c>
      <c r="N129" t="str">
        <f t="shared" si="7"/>
        <v>streaming</v>
      </c>
      <c r="O129" t="str">
        <f t="shared" si="8"/>
        <v>non-original</v>
      </c>
      <c r="P129" t="str">
        <f t="shared" si="9"/>
        <v>non-franchise</v>
      </c>
      <c r="Q129" t="str">
        <f t="shared" si="10"/>
        <v>new</v>
      </c>
      <c r="R129" s="2">
        <f t="shared" si="11"/>
        <v>5.0820556379273804E-3</v>
      </c>
      <c r="S129">
        <f t="shared" si="12"/>
        <v>0.55827067669172947</v>
      </c>
      <c r="T129" t="str">
        <f t="shared" si="13"/>
        <v>Scenario 3: Strong Convenience</v>
      </c>
    </row>
    <row r="130" spans="1:20" x14ac:dyDescent="0.35">
      <c r="A130" t="s">
        <v>209</v>
      </c>
      <c r="B130" s="1">
        <v>44238</v>
      </c>
      <c r="C130">
        <v>2021</v>
      </c>
      <c r="D130">
        <v>2</v>
      </c>
      <c r="E130" t="s">
        <v>14</v>
      </c>
      <c r="F130">
        <v>102</v>
      </c>
      <c r="G130" t="s">
        <v>29</v>
      </c>
      <c r="H130" t="s">
        <v>16</v>
      </c>
      <c r="I130">
        <v>0</v>
      </c>
      <c r="J130">
        <v>0</v>
      </c>
      <c r="K130">
        <v>5.0999999999999996</v>
      </c>
      <c r="L130">
        <v>4073</v>
      </c>
      <c r="M130" t="s">
        <v>17</v>
      </c>
      <c r="N130" t="str">
        <f t="shared" si="7"/>
        <v>streaming</v>
      </c>
      <c r="O130" t="str">
        <f t="shared" si="8"/>
        <v>non-original</v>
      </c>
      <c r="P130" t="str">
        <f t="shared" si="9"/>
        <v>non-franchise</v>
      </c>
      <c r="Q130" t="str">
        <f t="shared" si="10"/>
        <v>new</v>
      </c>
      <c r="R130" s="2">
        <f t="shared" si="11"/>
        <v>1.5524363800065134E-3</v>
      </c>
      <c r="S130">
        <f t="shared" si="12"/>
        <v>0.47165413533834594</v>
      </c>
      <c r="T130" t="str">
        <f t="shared" si="13"/>
        <v>Scenario 2: Weak Commitment/Convenience</v>
      </c>
    </row>
    <row r="131" spans="1:20" x14ac:dyDescent="0.35">
      <c r="A131" t="s">
        <v>210</v>
      </c>
      <c r="B131" s="1">
        <v>44239</v>
      </c>
      <c r="C131">
        <v>2021</v>
      </c>
      <c r="D131">
        <v>2</v>
      </c>
      <c r="E131" t="s">
        <v>14</v>
      </c>
      <c r="F131">
        <v>115</v>
      </c>
      <c r="G131" t="s">
        <v>29</v>
      </c>
      <c r="H131" t="s">
        <v>27</v>
      </c>
      <c r="I131">
        <v>0</v>
      </c>
      <c r="J131">
        <v>0</v>
      </c>
      <c r="K131">
        <v>6.3</v>
      </c>
      <c r="L131">
        <v>39005</v>
      </c>
      <c r="M131" t="s">
        <v>17</v>
      </c>
      <c r="N131" t="str">
        <f t="shared" ref="N131:N194" si="14">IF(ISNUMBER(SEARCH("Streaming", M131)), "streaming", "cinema")</f>
        <v>streaming</v>
      </c>
      <c r="O131" t="str">
        <f t="shared" ref="O131:O194" si="15">IF(I131=1, "original", "non-original")</f>
        <v>non-original</v>
      </c>
      <c r="P131" t="str">
        <f t="shared" ref="P131:P194" si="16">IF(J131 = 1, "franchise", "non-franchise")</f>
        <v>non-franchise</v>
      </c>
      <c r="Q131" t="str">
        <f t="shared" ref="Q131:Q194" si="17">IF(OR(I131 = 1,J131 =1), "old", "new")</f>
        <v>new</v>
      </c>
      <c r="R131" s="2">
        <f t="shared" ref="R131:R194" si="18">IF(Q131="old", 1.5, 1) * (L131 / MAX($L$2:$L$1000)) * (F131 / MAX($F$2:$F$1000))</f>
        <v>1.6761672552504336E-2</v>
      </c>
      <c r="S131">
        <f t="shared" ref="S131:S194" si="19">IF(Q131="new", 1.5, 1) * (K131 / 10) * (1 - (F131 / MAX($F$2:$F$1000)))</f>
        <v>0.53644736842105267</v>
      </c>
      <c r="T131" t="str">
        <f t="shared" ref="T131:T194" si="20">IF(AND(R131&gt;=0.03, S131&gt;=0.5), "Scenario 4: Hybrid Logic",
 IF(AND(R131&gt;=0.03, S131&lt;0.5), "Scenario 1: Strong Commitment",
  IF(AND(R131&lt;0.03, S131&gt;=0.5), "Scenario 3: Strong Convenience",
   "Scenario 2: Weak Commitment/Convenience")))</f>
        <v>Scenario 3: Strong Convenience</v>
      </c>
    </row>
    <row r="132" spans="1:20" x14ac:dyDescent="0.35">
      <c r="A132" t="s">
        <v>211</v>
      </c>
      <c r="B132" s="1">
        <v>44252</v>
      </c>
      <c r="C132">
        <v>2021</v>
      </c>
      <c r="D132">
        <v>2</v>
      </c>
      <c r="E132" t="s">
        <v>14</v>
      </c>
      <c r="F132">
        <v>105</v>
      </c>
      <c r="G132" t="s">
        <v>90</v>
      </c>
      <c r="H132" t="s">
        <v>56</v>
      </c>
      <c r="I132">
        <v>0</v>
      </c>
      <c r="J132">
        <v>0</v>
      </c>
      <c r="K132">
        <v>5.2</v>
      </c>
      <c r="L132">
        <v>367</v>
      </c>
      <c r="M132" t="s">
        <v>17</v>
      </c>
      <c r="N132" t="str">
        <f t="shared" si="14"/>
        <v>streaming</v>
      </c>
      <c r="O132" t="str">
        <f t="shared" si="15"/>
        <v>non-original</v>
      </c>
      <c r="P132" t="str">
        <f t="shared" si="16"/>
        <v>non-franchise</v>
      </c>
      <c r="Q132" t="str">
        <f t="shared" si="17"/>
        <v>new</v>
      </c>
      <c r="R132" s="2">
        <f t="shared" si="18"/>
        <v>1.4399738089559413E-4</v>
      </c>
      <c r="S132">
        <f t="shared" si="19"/>
        <v>0.47210526315789475</v>
      </c>
      <c r="T132" t="str">
        <f t="shared" si="20"/>
        <v>Scenario 2: Weak Commitment/Convenience</v>
      </c>
    </row>
    <row r="133" spans="1:20" x14ac:dyDescent="0.35">
      <c r="A133" t="s">
        <v>212</v>
      </c>
      <c r="B133" s="1">
        <v>44253</v>
      </c>
      <c r="C133">
        <v>2021</v>
      </c>
      <c r="D133">
        <v>2</v>
      </c>
      <c r="E133" t="s">
        <v>14</v>
      </c>
      <c r="F133">
        <v>102</v>
      </c>
      <c r="G133" t="s">
        <v>29</v>
      </c>
      <c r="H133" t="s">
        <v>30</v>
      </c>
      <c r="I133">
        <v>0</v>
      </c>
      <c r="J133">
        <v>0</v>
      </c>
      <c r="K133">
        <v>6.6</v>
      </c>
      <c r="L133">
        <v>6906</v>
      </c>
      <c r="M133" t="s">
        <v>17</v>
      </c>
      <c r="N133" t="str">
        <f t="shared" si="14"/>
        <v>streaming</v>
      </c>
      <c r="O133" t="str">
        <f t="shared" si="15"/>
        <v>non-original</v>
      </c>
      <c r="P133" t="str">
        <f t="shared" si="16"/>
        <v>non-franchise</v>
      </c>
      <c r="Q133" t="str">
        <f t="shared" si="17"/>
        <v>new</v>
      </c>
      <c r="R133" s="2">
        <f t="shared" si="18"/>
        <v>2.6322429757733813E-3</v>
      </c>
      <c r="S133">
        <f t="shared" si="19"/>
        <v>0.61037593984962402</v>
      </c>
      <c r="T133" t="str">
        <f t="shared" si="20"/>
        <v>Scenario 3: Strong Convenience</v>
      </c>
    </row>
    <row r="134" spans="1:20" x14ac:dyDescent="0.35">
      <c r="A134" t="s">
        <v>213</v>
      </c>
      <c r="B134" s="1">
        <v>44253</v>
      </c>
      <c r="C134">
        <v>2021</v>
      </c>
      <c r="D134">
        <v>2</v>
      </c>
      <c r="E134" t="s">
        <v>14</v>
      </c>
      <c r="F134">
        <v>120</v>
      </c>
      <c r="G134" t="s">
        <v>19</v>
      </c>
      <c r="H134" t="s">
        <v>30</v>
      </c>
      <c r="I134">
        <v>1</v>
      </c>
      <c r="J134">
        <v>1</v>
      </c>
      <c r="K134">
        <v>4</v>
      </c>
      <c r="L134">
        <v>15344</v>
      </c>
      <c r="M134" t="s">
        <v>17</v>
      </c>
      <c r="N134" t="str">
        <f t="shared" si="14"/>
        <v>streaming</v>
      </c>
      <c r="O134" t="str">
        <f t="shared" si="15"/>
        <v>original</v>
      </c>
      <c r="P134" t="str">
        <f t="shared" si="16"/>
        <v>franchise</v>
      </c>
      <c r="Q134" t="str">
        <f t="shared" si="17"/>
        <v>old</v>
      </c>
      <c r="R134" s="2">
        <f t="shared" si="18"/>
        <v>1.0320727812200838E-2</v>
      </c>
      <c r="S134">
        <f t="shared" si="19"/>
        <v>0.21954887218045116</v>
      </c>
      <c r="T134" t="str">
        <f t="shared" si="20"/>
        <v>Scenario 2: Weak Commitment/Convenience</v>
      </c>
    </row>
    <row r="135" spans="1:20" x14ac:dyDescent="0.35">
      <c r="A135" t="s">
        <v>214</v>
      </c>
      <c r="B135" s="1">
        <v>44258</v>
      </c>
      <c r="C135">
        <v>2021</v>
      </c>
      <c r="D135">
        <v>3</v>
      </c>
      <c r="E135" t="s">
        <v>38</v>
      </c>
      <c r="F135">
        <v>111</v>
      </c>
      <c r="G135" t="s">
        <v>34</v>
      </c>
      <c r="H135" t="s">
        <v>27</v>
      </c>
      <c r="I135">
        <v>0</v>
      </c>
      <c r="J135">
        <v>0</v>
      </c>
      <c r="K135">
        <v>6.7</v>
      </c>
      <c r="L135">
        <v>30503</v>
      </c>
      <c r="M135" t="s">
        <v>17</v>
      </c>
      <c r="N135" t="str">
        <f t="shared" si="14"/>
        <v>streaming</v>
      </c>
      <c r="O135" t="str">
        <f t="shared" si="15"/>
        <v>non-original</v>
      </c>
      <c r="P135" t="str">
        <f t="shared" si="16"/>
        <v>non-franchise</v>
      </c>
      <c r="Q135" t="str">
        <f t="shared" si="17"/>
        <v>new</v>
      </c>
      <c r="R135" s="2">
        <f t="shared" si="18"/>
        <v>1.2652162557412021E-2</v>
      </c>
      <c r="S135">
        <f t="shared" si="19"/>
        <v>0.58562030075187965</v>
      </c>
      <c r="T135" t="str">
        <f t="shared" si="20"/>
        <v>Scenario 3: Strong Convenience</v>
      </c>
    </row>
    <row r="136" spans="1:20" x14ac:dyDescent="0.35">
      <c r="A136" t="s">
        <v>215</v>
      </c>
      <c r="B136" s="1">
        <v>44260</v>
      </c>
      <c r="C136">
        <v>2021</v>
      </c>
      <c r="D136">
        <v>3</v>
      </c>
      <c r="E136" t="s">
        <v>38</v>
      </c>
      <c r="F136">
        <v>80</v>
      </c>
      <c r="G136" t="s">
        <v>58</v>
      </c>
      <c r="H136" t="s">
        <v>16</v>
      </c>
      <c r="I136">
        <v>0</v>
      </c>
      <c r="J136">
        <v>0</v>
      </c>
      <c r="K136">
        <v>4.8</v>
      </c>
      <c r="L136">
        <v>9164</v>
      </c>
      <c r="M136" t="s">
        <v>17</v>
      </c>
      <c r="N136" t="str">
        <f t="shared" si="14"/>
        <v>streaming</v>
      </c>
      <c r="O136" t="str">
        <f t="shared" si="15"/>
        <v>non-original</v>
      </c>
      <c r="P136" t="str">
        <f t="shared" si="16"/>
        <v>non-franchise</v>
      </c>
      <c r="Q136" t="str">
        <f t="shared" si="17"/>
        <v>new</v>
      </c>
      <c r="R136" s="2">
        <f t="shared" si="18"/>
        <v>2.7395188758836887E-3</v>
      </c>
      <c r="S136">
        <f t="shared" si="19"/>
        <v>0.50345864661654138</v>
      </c>
      <c r="T136" t="str">
        <f t="shared" si="20"/>
        <v>Scenario 3: Strong Convenience</v>
      </c>
    </row>
    <row r="137" spans="1:20" x14ac:dyDescent="0.35">
      <c r="A137" t="s">
        <v>216</v>
      </c>
      <c r="B137" s="1">
        <v>44267</v>
      </c>
      <c r="C137">
        <v>2021</v>
      </c>
      <c r="D137">
        <v>3</v>
      </c>
      <c r="E137" t="s">
        <v>38</v>
      </c>
      <c r="F137">
        <v>89</v>
      </c>
      <c r="G137" t="s">
        <v>21</v>
      </c>
      <c r="H137" t="s">
        <v>56</v>
      </c>
      <c r="I137">
        <v>0</v>
      </c>
      <c r="J137">
        <v>0</v>
      </c>
      <c r="K137">
        <v>5.7</v>
      </c>
      <c r="L137">
        <v>34559</v>
      </c>
      <c r="M137" t="s">
        <v>17</v>
      </c>
      <c r="N137" t="str">
        <f t="shared" si="14"/>
        <v>streaming</v>
      </c>
      <c r="O137" t="str">
        <f t="shared" si="15"/>
        <v>non-original</v>
      </c>
      <c r="P137" t="str">
        <f t="shared" si="16"/>
        <v>non-franchise</v>
      </c>
      <c r="Q137" t="str">
        <f t="shared" si="17"/>
        <v>new</v>
      </c>
      <c r="R137" s="2">
        <f t="shared" si="18"/>
        <v>1.1493449806332023E-2</v>
      </c>
      <c r="S137">
        <f t="shared" si="19"/>
        <v>0.56892857142857145</v>
      </c>
      <c r="T137" t="str">
        <f t="shared" si="20"/>
        <v>Scenario 3: Strong Convenience</v>
      </c>
    </row>
    <row r="138" spans="1:20" x14ac:dyDescent="0.35">
      <c r="A138" t="s">
        <v>217</v>
      </c>
      <c r="B138" s="1">
        <v>44267</v>
      </c>
      <c r="C138">
        <v>2021</v>
      </c>
      <c r="D138">
        <v>3</v>
      </c>
      <c r="E138" t="s">
        <v>38</v>
      </c>
      <c r="F138">
        <v>97</v>
      </c>
      <c r="G138" t="s">
        <v>34</v>
      </c>
      <c r="H138" t="s">
        <v>16</v>
      </c>
      <c r="I138">
        <v>0</v>
      </c>
      <c r="J138">
        <v>0</v>
      </c>
      <c r="K138">
        <v>6.6</v>
      </c>
      <c r="L138">
        <v>14922</v>
      </c>
      <c r="M138" t="s">
        <v>17</v>
      </c>
      <c r="N138" t="str">
        <f t="shared" si="14"/>
        <v>streaming</v>
      </c>
      <c r="O138" t="str">
        <f t="shared" si="15"/>
        <v>non-original</v>
      </c>
      <c r="P138" t="str">
        <f t="shared" si="16"/>
        <v>non-franchise</v>
      </c>
      <c r="Q138" t="str">
        <f t="shared" si="17"/>
        <v>new</v>
      </c>
      <c r="R138" s="2">
        <f t="shared" si="18"/>
        <v>5.4087635920392731E-3</v>
      </c>
      <c r="S138">
        <f t="shared" si="19"/>
        <v>0.62898496240601498</v>
      </c>
      <c r="T138" t="str">
        <f t="shared" si="20"/>
        <v>Scenario 3: Strong Convenience</v>
      </c>
    </row>
    <row r="139" spans="1:20" x14ac:dyDescent="0.35">
      <c r="A139" t="s">
        <v>218</v>
      </c>
      <c r="B139" s="1">
        <v>44273</v>
      </c>
      <c r="C139">
        <v>2021</v>
      </c>
      <c r="D139">
        <v>3</v>
      </c>
      <c r="E139" t="s">
        <v>38</v>
      </c>
      <c r="F139">
        <v>98</v>
      </c>
      <c r="G139" t="s">
        <v>21</v>
      </c>
      <c r="H139" t="s">
        <v>16</v>
      </c>
      <c r="I139">
        <v>0</v>
      </c>
      <c r="J139">
        <v>0</v>
      </c>
      <c r="K139">
        <v>6</v>
      </c>
      <c r="L139">
        <v>2174</v>
      </c>
      <c r="M139" t="s">
        <v>17</v>
      </c>
      <c r="N139" t="str">
        <f t="shared" si="14"/>
        <v>streaming</v>
      </c>
      <c r="O139" t="str">
        <f t="shared" si="15"/>
        <v>non-original</v>
      </c>
      <c r="P139" t="str">
        <f t="shared" si="16"/>
        <v>non-franchise</v>
      </c>
      <c r="Q139" t="str">
        <f t="shared" si="17"/>
        <v>new</v>
      </c>
      <c r="R139" s="2">
        <f t="shared" si="18"/>
        <v>7.9613156856281613E-4</v>
      </c>
      <c r="S139">
        <f t="shared" si="19"/>
        <v>0.56842105263157883</v>
      </c>
      <c r="T139" t="str">
        <f t="shared" si="20"/>
        <v>Scenario 3: Strong Convenience</v>
      </c>
    </row>
    <row r="140" spans="1:20" x14ac:dyDescent="0.35">
      <c r="A140" t="s">
        <v>219</v>
      </c>
      <c r="B140" s="1">
        <v>44280</v>
      </c>
      <c r="C140">
        <v>2021</v>
      </c>
      <c r="D140">
        <v>3</v>
      </c>
      <c r="E140" t="s">
        <v>38</v>
      </c>
      <c r="F140">
        <v>99</v>
      </c>
      <c r="G140" t="s">
        <v>220</v>
      </c>
      <c r="H140" t="s">
        <v>16</v>
      </c>
      <c r="I140">
        <v>0</v>
      </c>
      <c r="J140">
        <v>0</v>
      </c>
      <c r="K140">
        <v>5.8</v>
      </c>
      <c r="L140">
        <v>1685</v>
      </c>
      <c r="M140" t="s">
        <v>17</v>
      </c>
      <c r="N140" t="str">
        <f t="shared" si="14"/>
        <v>streaming</v>
      </c>
      <c r="O140" t="str">
        <f t="shared" si="15"/>
        <v>non-original</v>
      </c>
      <c r="P140" t="str">
        <f t="shared" si="16"/>
        <v>non-franchise</v>
      </c>
      <c r="Q140" t="str">
        <f t="shared" si="17"/>
        <v>new</v>
      </c>
      <c r="R140" s="2">
        <f t="shared" si="18"/>
        <v>6.2335339546123103E-4</v>
      </c>
      <c r="S140">
        <f t="shared" si="19"/>
        <v>0.54620300751879691</v>
      </c>
      <c r="T140" t="str">
        <f t="shared" si="20"/>
        <v>Scenario 3: Strong Convenience</v>
      </c>
    </row>
    <row r="141" spans="1:20" x14ac:dyDescent="0.35">
      <c r="A141" t="s">
        <v>221</v>
      </c>
      <c r="B141" s="1">
        <v>44281</v>
      </c>
      <c r="C141">
        <v>2021</v>
      </c>
      <c r="D141">
        <v>3</v>
      </c>
      <c r="E141" t="s">
        <v>38</v>
      </c>
      <c r="F141">
        <v>97</v>
      </c>
      <c r="G141" t="s">
        <v>222</v>
      </c>
      <c r="H141" t="s">
        <v>16</v>
      </c>
      <c r="I141">
        <v>0</v>
      </c>
      <c r="J141">
        <v>0</v>
      </c>
      <c r="K141">
        <v>5.8</v>
      </c>
      <c r="L141">
        <v>5990</v>
      </c>
      <c r="M141" t="s">
        <v>17</v>
      </c>
      <c r="N141" t="str">
        <f t="shared" si="14"/>
        <v>streaming</v>
      </c>
      <c r="O141" t="str">
        <f t="shared" si="15"/>
        <v>non-original</v>
      </c>
      <c r="P141" t="str">
        <f t="shared" si="16"/>
        <v>non-franchise</v>
      </c>
      <c r="Q141" t="str">
        <f t="shared" si="17"/>
        <v>new</v>
      </c>
      <c r="R141" s="2">
        <f t="shared" si="18"/>
        <v>2.1711897812836918E-3</v>
      </c>
      <c r="S141">
        <f t="shared" si="19"/>
        <v>0.55274436090225554</v>
      </c>
      <c r="T141" t="str">
        <f t="shared" si="20"/>
        <v>Scenario 3: Strong Convenience</v>
      </c>
    </row>
    <row r="142" spans="1:20" x14ac:dyDescent="0.35">
      <c r="A142" t="s">
        <v>223</v>
      </c>
      <c r="B142" s="1">
        <v>44281</v>
      </c>
      <c r="C142">
        <v>2021</v>
      </c>
      <c r="D142">
        <v>3</v>
      </c>
      <c r="E142" t="s">
        <v>38</v>
      </c>
      <c r="F142">
        <v>86</v>
      </c>
      <c r="G142" t="s">
        <v>224</v>
      </c>
      <c r="H142" t="s">
        <v>24</v>
      </c>
      <c r="I142">
        <v>0</v>
      </c>
      <c r="J142">
        <v>0</v>
      </c>
      <c r="K142">
        <v>6.5</v>
      </c>
      <c r="L142">
        <v>28930</v>
      </c>
      <c r="M142" t="s">
        <v>17</v>
      </c>
      <c r="N142" t="str">
        <f t="shared" si="14"/>
        <v>streaming</v>
      </c>
      <c r="O142" t="str">
        <f t="shared" si="15"/>
        <v>non-original</v>
      </c>
      <c r="P142" t="str">
        <f t="shared" si="16"/>
        <v>non-franchise</v>
      </c>
      <c r="Q142" t="str">
        <f t="shared" si="17"/>
        <v>new</v>
      </c>
      <c r="R142" s="2">
        <f t="shared" si="18"/>
        <v>9.2970702924774946E-3</v>
      </c>
      <c r="S142">
        <f t="shared" si="19"/>
        <v>0.65977443609022568</v>
      </c>
      <c r="T142" t="str">
        <f t="shared" si="20"/>
        <v>Scenario 3: Strong Convenience</v>
      </c>
    </row>
    <row r="143" spans="1:20" x14ac:dyDescent="0.35">
      <c r="A143" t="s">
        <v>225</v>
      </c>
      <c r="B143" s="1">
        <v>44281</v>
      </c>
      <c r="C143">
        <v>2021</v>
      </c>
      <c r="D143">
        <v>3</v>
      </c>
      <c r="E143" t="s">
        <v>38</v>
      </c>
      <c r="F143">
        <v>114</v>
      </c>
      <c r="G143" t="s">
        <v>116</v>
      </c>
      <c r="H143" t="s">
        <v>16</v>
      </c>
      <c r="I143">
        <v>0</v>
      </c>
      <c r="J143">
        <v>0</v>
      </c>
      <c r="K143">
        <v>6.9</v>
      </c>
      <c r="L143">
        <v>11949</v>
      </c>
      <c r="M143" t="s">
        <v>17</v>
      </c>
      <c r="N143" t="str">
        <f t="shared" si="14"/>
        <v>streaming</v>
      </c>
      <c r="O143" t="str">
        <f t="shared" si="15"/>
        <v>non-original</v>
      </c>
      <c r="P143" t="str">
        <f t="shared" si="16"/>
        <v>non-franchise</v>
      </c>
      <c r="Q143" t="str">
        <f t="shared" si="17"/>
        <v>new</v>
      </c>
      <c r="R143" s="2">
        <f t="shared" si="18"/>
        <v>5.0902093238003321E-3</v>
      </c>
      <c r="S143">
        <f t="shared" si="19"/>
        <v>0.59142857142857153</v>
      </c>
      <c r="T143" t="str">
        <f t="shared" si="20"/>
        <v>Scenario 3: Strong Convenience</v>
      </c>
    </row>
    <row r="144" spans="1:20" x14ac:dyDescent="0.35">
      <c r="A144" t="s">
        <v>226</v>
      </c>
      <c r="B144" s="1">
        <v>44288</v>
      </c>
      <c r="C144">
        <v>2021</v>
      </c>
      <c r="D144">
        <v>4</v>
      </c>
      <c r="E144" t="s">
        <v>38</v>
      </c>
      <c r="F144">
        <v>97</v>
      </c>
      <c r="G144" t="s">
        <v>29</v>
      </c>
      <c r="H144" t="s">
        <v>16</v>
      </c>
      <c r="I144">
        <v>0</v>
      </c>
      <c r="J144">
        <v>0</v>
      </c>
      <c r="K144">
        <v>4.5999999999999996</v>
      </c>
      <c r="L144">
        <v>2247</v>
      </c>
      <c r="M144" t="s">
        <v>17</v>
      </c>
      <c r="N144" t="str">
        <f t="shared" si="14"/>
        <v>streaming</v>
      </c>
      <c r="O144" t="str">
        <f t="shared" si="15"/>
        <v>non-original</v>
      </c>
      <c r="P144" t="str">
        <f t="shared" si="16"/>
        <v>non-franchise</v>
      </c>
      <c r="Q144" t="str">
        <f t="shared" si="17"/>
        <v>new</v>
      </c>
      <c r="R144" s="2">
        <f t="shared" si="18"/>
        <v>8.1446801979039322E-4</v>
      </c>
      <c r="S144">
        <f t="shared" si="19"/>
        <v>0.43838345864661649</v>
      </c>
      <c r="T144" t="str">
        <f t="shared" si="20"/>
        <v>Scenario 2: Weak Commitment/Convenience</v>
      </c>
    </row>
    <row r="145" spans="1:20" x14ac:dyDescent="0.35">
      <c r="A145" t="s">
        <v>227</v>
      </c>
      <c r="B145" s="1">
        <v>44288</v>
      </c>
      <c r="C145">
        <v>2021</v>
      </c>
      <c r="D145">
        <v>4</v>
      </c>
      <c r="E145" t="s">
        <v>38</v>
      </c>
      <c r="F145">
        <v>112</v>
      </c>
      <c r="G145" t="s">
        <v>34</v>
      </c>
      <c r="H145" t="s">
        <v>16</v>
      </c>
      <c r="I145">
        <v>0</v>
      </c>
      <c r="J145">
        <v>0</v>
      </c>
      <c r="K145">
        <v>5.5</v>
      </c>
      <c r="L145">
        <v>4420</v>
      </c>
      <c r="M145" t="s">
        <v>17</v>
      </c>
      <c r="N145" t="str">
        <f t="shared" si="14"/>
        <v>streaming</v>
      </c>
      <c r="O145" t="str">
        <f t="shared" si="15"/>
        <v>non-original</v>
      </c>
      <c r="P145" t="str">
        <f t="shared" si="16"/>
        <v>non-franchise</v>
      </c>
      <c r="Q145" t="str">
        <f t="shared" si="17"/>
        <v>new</v>
      </c>
      <c r="R145" s="2">
        <f t="shared" si="18"/>
        <v>1.8498628114325918E-3</v>
      </c>
      <c r="S145">
        <f t="shared" si="19"/>
        <v>0.47763157894736846</v>
      </c>
      <c r="T145" t="str">
        <f t="shared" si="20"/>
        <v>Scenario 2: Weak Commitment/Convenience</v>
      </c>
    </row>
    <row r="146" spans="1:20" x14ac:dyDescent="0.35">
      <c r="A146" t="s">
        <v>228</v>
      </c>
      <c r="B146" s="1">
        <v>44295</v>
      </c>
      <c r="C146">
        <v>2021</v>
      </c>
      <c r="D146">
        <v>4</v>
      </c>
      <c r="E146" t="s">
        <v>38</v>
      </c>
      <c r="F146">
        <v>114</v>
      </c>
      <c r="G146" t="s">
        <v>21</v>
      </c>
      <c r="H146" t="s">
        <v>16</v>
      </c>
      <c r="I146">
        <v>0</v>
      </c>
      <c r="J146">
        <v>0</v>
      </c>
      <c r="K146">
        <v>6.2</v>
      </c>
      <c r="L146">
        <v>5991</v>
      </c>
      <c r="M146" t="s">
        <v>17</v>
      </c>
      <c r="N146" t="str">
        <f t="shared" si="14"/>
        <v>streaming</v>
      </c>
      <c r="O146" t="str">
        <f t="shared" si="15"/>
        <v>non-original</v>
      </c>
      <c r="P146" t="str">
        <f t="shared" si="16"/>
        <v>non-franchise</v>
      </c>
      <c r="Q146" t="str">
        <f t="shared" si="17"/>
        <v>new</v>
      </c>
      <c r="R146" s="2">
        <f t="shared" si="18"/>
        <v>2.5521335725908266E-3</v>
      </c>
      <c r="S146">
        <f t="shared" si="19"/>
        <v>0.53142857142857136</v>
      </c>
      <c r="T146" t="str">
        <f t="shared" si="20"/>
        <v>Scenario 3: Strong Convenience</v>
      </c>
    </row>
    <row r="147" spans="1:20" x14ac:dyDescent="0.35">
      <c r="A147" t="s">
        <v>229</v>
      </c>
      <c r="B147" s="1">
        <v>44295</v>
      </c>
      <c r="C147">
        <v>2021</v>
      </c>
      <c r="D147">
        <v>4</v>
      </c>
      <c r="E147" t="s">
        <v>38</v>
      </c>
      <c r="F147">
        <v>107</v>
      </c>
      <c r="G147" t="s">
        <v>230</v>
      </c>
      <c r="H147" t="s">
        <v>27</v>
      </c>
      <c r="I147">
        <v>0</v>
      </c>
      <c r="J147">
        <v>0</v>
      </c>
      <c r="K147">
        <v>4.5999999999999996</v>
      </c>
      <c r="L147">
        <v>48257</v>
      </c>
      <c r="M147" t="s">
        <v>17</v>
      </c>
      <c r="N147" t="str">
        <f t="shared" si="14"/>
        <v>streaming</v>
      </c>
      <c r="O147" t="str">
        <f t="shared" si="15"/>
        <v>non-original</v>
      </c>
      <c r="P147" t="str">
        <f t="shared" si="16"/>
        <v>non-franchise</v>
      </c>
      <c r="Q147" t="str">
        <f t="shared" si="17"/>
        <v>new</v>
      </c>
      <c r="R147" s="2">
        <f t="shared" si="18"/>
        <v>1.9294935312236132E-2</v>
      </c>
      <c r="S147">
        <f t="shared" si="19"/>
        <v>0.41244360902255639</v>
      </c>
      <c r="T147" t="str">
        <f t="shared" si="20"/>
        <v>Scenario 2: Weak Commitment/Convenience</v>
      </c>
    </row>
    <row r="148" spans="1:20" x14ac:dyDescent="0.35">
      <c r="A148" t="s">
        <v>231</v>
      </c>
      <c r="B148" s="1">
        <v>44300</v>
      </c>
      <c r="C148">
        <v>2021</v>
      </c>
      <c r="D148">
        <v>4</v>
      </c>
      <c r="E148" t="s">
        <v>38</v>
      </c>
      <c r="F148">
        <v>92</v>
      </c>
      <c r="G148" t="s">
        <v>19</v>
      </c>
      <c r="H148" t="s">
        <v>24</v>
      </c>
      <c r="I148">
        <v>0</v>
      </c>
      <c r="J148">
        <v>0</v>
      </c>
      <c r="K148">
        <v>5.2</v>
      </c>
      <c r="L148">
        <v>2083</v>
      </c>
      <c r="M148" t="s">
        <v>17</v>
      </c>
      <c r="N148" t="str">
        <f t="shared" si="14"/>
        <v>streaming</v>
      </c>
      <c r="O148" t="str">
        <f t="shared" si="15"/>
        <v>non-original</v>
      </c>
      <c r="P148" t="str">
        <f t="shared" si="16"/>
        <v>non-franchise</v>
      </c>
      <c r="Q148" t="str">
        <f t="shared" si="17"/>
        <v>new</v>
      </c>
      <c r="R148" s="2">
        <f t="shared" si="18"/>
        <v>7.1610437486202354E-4</v>
      </c>
      <c r="S148">
        <f t="shared" si="19"/>
        <v>0.51022556390977447</v>
      </c>
      <c r="T148" t="str">
        <f t="shared" si="20"/>
        <v>Scenario 3: Strong Convenience</v>
      </c>
    </row>
    <row r="149" spans="1:20" x14ac:dyDescent="0.35">
      <c r="A149" t="s">
        <v>232</v>
      </c>
      <c r="B149" s="1">
        <v>44301</v>
      </c>
      <c r="C149">
        <v>2021</v>
      </c>
      <c r="D149">
        <v>4</v>
      </c>
      <c r="E149" t="s">
        <v>38</v>
      </c>
      <c r="F149">
        <v>142</v>
      </c>
      <c r="G149" t="s">
        <v>233</v>
      </c>
      <c r="H149" t="s">
        <v>24</v>
      </c>
      <c r="I149">
        <v>0</v>
      </c>
      <c r="J149">
        <v>0</v>
      </c>
      <c r="K149">
        <v>5.6</v>
      </c>
      <c r="L149">
        <v>3001</v>
      </c>
      <c r="M149" t="s">
        <v>17</v>
      </c>
      <c r="N149" t="str">
        <f t="shared" si="14"/>
        <v>streaming</v>
      </c>
      <c r="O149" t="str">
        <f t="shared" si="15"/>
        <v>non-original</v>
      </c>
      <c r="P149" t="str">
        <f t="shared" si="16"/>
        <v>non-franchise</v>
      </c>
      <c r="Q149" t="str">
        <f t="shared" si="17"/>
        <v>new</v>
      </c>
      <c r="R149" s="2">
        <f t="shared" si="18"/>
        <v>1.5924051353214033E-3</v>
      </c>
      <c r="S149">
        <f t="shared" si="19"/>
        <v>0.39157894736842097</v>
      </c>
      <c r="T149" t="str">
        <f t="shared" si="20"/>
        <v>Scenario 2: Weak Commitment/Convenience</v>
      </c>
    </row>
    <row r="150" spans="1:20" x14ac:dyDescent="0.35">
      <c r="A150" t="s">
        <v>234</v>
      </c>
      <c r="B150" s="1">
        <v>44302</v>
      </c>
      <c r="C150">
        <v>2021</v>
      </c>
      <c r="D150">
        <v>4</v>
      </c>
      <c r="E150" t="s">
        <v>38</v>
      </c>
      <c r="F150">
        <v>142</v>
      </c>
      <c r="G150" t="s">
        <v>34</v>
      </c>
      <c r="H150" t="s">
        <v>16</v>
      </c>
      <c r="I150">
        <v>0</v>
      </c>
      <c r="J150">
        <v>0</v>
      </c>
      <c r="K150">
        <v>6.7</v>
      </c>
      <c r="L150">
        <v>7187</v>
      </c>
      <c r="M150" t="s">
        <v>17</v>
      </c>
      <c r="N150" t="str">
        <f t="shared" si="14"/>
        <v>streaming</v>
      </c>
      <c r="O150" t="str">
        <f t="shared" si="15"/>
        <v>non-original</v>
      </c>
      <c r="P150" t="str">
        <f t="shared" si="16"/>
        <v>non-franchise</v>
      </c>
      <c r="Q150" t="str">
        <f t="shared" si="17"/>
        <v>new</v>
      </c>
      <c r="R150" s="2">
        <f t="shared" si="18"/>
        <v>3.8136007022842137E-3</v>
      </c>
      <c r="S150">
        <f t="shared" si="19"/>
        <v>0.4684962406015038</v>
      </c>
      <c r="T150" t="str">
        <f t="shared" si="20"/>
        <v>Scenario 2: Weak Commitment/Convenience</v>
      </c>
    </row>
    <row r="151" spans="1:20" x14ac:dyDescent="0.35">
      <c r="A151" t="s">
        <v>235</v>
      </c>
      <c r="B151" s="1">
        <v>44314</v>
      </c>
      <c r="C151">
        <v>2021</v>
      </c>
      <c r="D151">
        <v>4</v>
      </c>
      <c r="E151" t="s">
        <v>38</v>
      </c>
      <c r="F151">
        <v>95</v>
      </c>
      <c r="G151" t="s">
        <v>21</v>
      </c>
      <c r="H151" t="s">
        <v>16</v>
      </c>
      <c r="I151">
        <v>0</v>
      </c>
      <c r="J151">
        <v>0</v>
      </c>
      <c r="K151">
        <v>5.4</v>
      </c>
      <c r="L151">
        <v>932</v>
      </c>
      <c r="M151" t="s">
        <v>17</v>
      </c>
      <c r="N151" t="str">
        <f t="shared" si="14"/>
        <v>streaming</v>
      </c>
      <c r="O151" t="str">
        <f t="shared" si="15"/>
        <v>non-original</v>
      </c>
      <c r="P151" t="str">
        <f t="shared" si="16"/>
        <v>non-franchise</v>
      </c>
      <c r="Q151" t="str">
        <f t="shared" si="17"/>
        <v>new</v>
      </c>
      <c r="R151" s="2">
        <f t="shared" si="18"/>
        <v>3.3085579614625414E-4</v>
      </c>
      <c r="S151">
        <f t="shared" si="19"/>
        <v>0.52071428571428569</v>
      </c>
      <c r="T151" t="str">
        <f t="shared" si="20"/>
        <v>Scenario 3: Strong Convenience</v>
      </c>
    </row>
    <row r="152" spans="1:20" x14ac:dyDescent="0.35">
      <c r="A152" t="s">
        <v>236</v>
      </c>
      <c r="B152" s="1">
        <v>44315</v>
      </c>
      <c r="C152">
        <v>2021</v>
      </c>
      <c r="D152">
        <v>4</v>
      </c>
      <c r="E152" t="s">
        <v>38</v>
      </c>
      <c r="F152">
        <v>121</v>
      </c>
      <c r="G152" t="s">
        <v>92</v>
      </c>
      <c r="H152" t="s">
        <v>16</v>
      </c>
      <c r="I152">
        <v>0</v>
      </c>
      <c r="J152">
        <v>0</v>
      </c>
      <c r="K152">
        <v>5.3</v>
      </c>
      <c r="L152">
        <v>40218</v>
      </c>
      <c r="M152" t="s">
        <v>17</v>
      </c>
      <c r="N152" t="str">
        <f t="shared" si="14"/>
        <v>streaming</v>
      </c>
      <c r="O152" t="str">
        <f t="shared" si="15"/>
        <v>non-original</v>
      </c>
      <c r="P152" t="str">
        <f t="shared" si="16"/>
        <v>non-franchise</v>
      </c>
      <c r="Q152" t="str">
        <f t="shared" si="17"/>
        <v>new</v>
      </c>
      <c r="R152" s="2">
        <f t="shared" si="18"/>
        <v>1.8184655156297899E-2</v>
      </c>
      <c r="S152">
        <f t="shared" si="19"/>
        <v>0.43336466165413534</v>
      </c>
      <c r="T152" t="str">
        <f t="shared" si="20"/>
        <v>Scenario 2: Weak Commitment/Convenience</v>
      </c>
    </row>
    <row r="153" spans="1:20" x14ac:dyDescent="0.35">
      <c r="A153" t="s">
        <v>237</v>
      </c>
      <c r="B153" s="1">
        <v>44328</v>
      </c>
      <c r="C153">
        <v>2021</v>
      </c>
      <c r="D153">
        <v>5</v>
      </c>
      <c r="E153" t="s">
        <v>38</v>
      </c>
      <c r="F153">
        <v>101</v>
      </c>
      <c r="G153" t="s">
        <v>238</v>
      </c>
      <c r="H153" t="s">
        <v>30</v>
      </c>
      <c r="I153">
        <v>0</v>
      </c>
      <c r="J153">
        <v>0</v>
      </c>
      <c r="K153">
        <v>6.5</v>
      </c>
      <c r="L153">
        <v>47900</v>
      </c>
      <c r="M153" t="s">
        <v>17</v>
      </c>
      <c r="N153" t="str">
        <f t="shared" si="14"/>
        <v>streaming</v>
      </c>
      <c r="O153" t="str">
        <f t="shared" si="15"/>
        <v>non-original</v>
      </c>
      <c r="P153" t="str">
        <f t="shared" si="16"/>
        <v>non-franchise</v>
      </c>
      <c r="Q153" t="str">
        <f t="shared" si="17"/>
        <v>new</v>
      </c>
      <c r="R153" s="2">
        <f t="shared" si="18"/>
        <v>1.8078238718951471E-2</v>
      </c>
      <c r="S153">
        <f t="shared" si="19"/>
        <v>0.60479323308270683</v>
      </c>
      <c r="T153" t="str">
        <f t="shared" si="20"/>
        <v>Scenario 3: Strong Convenience</v>
      </c>
    </row>
    <row r="154" spans="1:20" x14ac:dyDescent="0.35">
      <c r="A154" t="s">
        <v>239</v>
      </c>
      <c r="B154" s="1">
        <v>44330</v>
      </c>
      <c r="C154">
        <v>2021</v>
      </c>
      <c r="D154">
        <v>5</v>
      </c>
      <c r="E154" t="s">
        <v>38</v>
      </c>
      <c r="F154">
        <v>107</v>
      </c>
      <c r="G154" t="s">
        <v>43</v>
      </c>
      <c r="H154" t="s">
        <v>24</v>
      </c>
      <c r="I154">
        <v>0</v>
      </c>
      <c r="J154">
        <v>0</v>
      </c>
      <c r="K154">
        <v>7</v>
      </c>
      <c r="L154">
        <v>15130</v>
      </c>
      <c r="M154" t="s">
        <v>17</v>
      </c>
      <c r="N154" t="str">
        <f t="shared" si="14"/>
        <v>streaming</v>
      </c>
      <c r="O154" t="str">
        <f t="shared" si="15"/>
        <v>non-original</v>
      </c>
      <c r="P154" t="str">
        <f t="shared" si="16"/>
        <v>non-franchise</v>
      </c>
      <c r="Q154" t="str">
        <f t="shared" si="17"/>
        <v>new</v>
      </c>
      <c r="R154" s="2">
        <f t="shared" si="18"/>
        <v>6.0495341872501959E-3</v>
      </c>
      <c r="S154">
        <f t="shared" si="19"/>
        <v>0.62763157894736832</v>
      </c>
      <c r="T154" t="str">
        <f t="shared" si="20"/>
        <v>Scenario 3: Strong Convenience</v>
      </c>
    </row>
    <row r="155" spans="1:20" x14ac:dyDescent="0.35">
      <c r="A155" t="s">
        <v>240</v>
      </c>
      <c r="B155" s="1">
        <v>44330</v>
      </c>
      <c r="C155">
        <v>2021</v>
      </c>
      <c r="D155">
        <v>5</v>
      </c>
      <c r="E155" t="s">
        <v>38</v>
      </c>
      <c r="F155">
        <v>107</v>
      </c>
      <c r="G155" t="s">
        <v>19</v>
      </c>
      <c r="H155" t="s">
        <v>16</v>
      </c>
      <c r="I155">
        <v>0</v>
      </c>
      <c r="J155">
        <v>0</v>
      </c>
      <c r="K155">
        <v>6</v>
      </c>
      <c r="L155">
        <v>7906</v>
      </c>
      <c r="M155" t="s">
        <v>17</v>
      </c>
      <c r="N155" t="str">
        <f t="shared" si="14"/>
        <v>streaming</v>
      </c>
      <c r="O155" t="str">
        <f t="shared" si="15"/>
        <v>non-original</v>
      </c>
      <c r="P155" t="str">
        <f t="shared" si="16"/>
        <v>non-franchise</v>
      </c>
      <c r="Q155" t="str">
        <f t="shared" si="17"/>
        <v>new</v>
      </c>
      <c r="R155" s="2">
        <f t="shared" si="18"/>
        <v>3.1611115191275642E-3</v>
      </c>
      <c r="S155">
        <f t="shared" si="19"/>
        <v>0.5379699248120301</v>
      </c>
      <c r="T155" t="str">
        <f t="shared" si="20"/>
        <v>Scenario 3: Strong Convenience</v>
      </c>
    </row>
    <row r="156" spans="1:20" x14ac:dyDescent="0.35">
      <c r="A156" t="s">
        <v>241</v>
      </c>
      <c r="B156" s="1">
        <v>44330</v>
      </c>
      <c r="C156">
        <v>2021</v>
      </c>
      <c r="D156">
        <v>5</v>
      </c>
      <c r="E156" t="s">
        <v>38</v>
      </c>
      <c r="F156">
        <v>101</v>
      </c>
      <c r="G156" t="s">
        <v>103</v>
      </c>
      <c r="H156" t="s">
        <v>24</v>
      </c>
      <c r="I156">
        <v>0</v>
      </c>
      <c r="J156">
        <v>0</v>
      </c>
      <c r="K156">
        <v>5.7</v>
      </c>
      <c r="L156">
        <v>89605</v>
      </c>
      <c r="M156" t="s">
        <v>17</v>
      </c>
      <c r="N156" t="str">
        <f t="shared" si="14"/>
        <v>streaming</v>
      </c>
      <c r="O156" t="str">
        <f t="shared" si="15"/>
        <v>non-original</v>
      </c>
      <c r="P156" t="str">
        <f t="shared" si="16"/>
        <v>non-franchise</v>
      </c>
      <c r="Q156" t="str">
        <f t="shared" si="17"/>
        <v>new</v>
      </c>
      <c r="R156" s="2">
        <f t="shared" si="18"/>
        <v>3.3818383724669027E-2</v>
      </c>
      <c r="S156">
        <f t="shared" si="19"/>
        <v>0.53035714285714286</v>
      </c>
      <c r="T156" t="str">
        <f t="shared" si="20"/>
        <v>Scenario 4: Hybrid Logic</v>
      </c>
    </row>
    <row r="157" spans="1:20" x14ac:dyDescent="0.35">
      <c r="A157" t="s">
        <v>242</v>
      </c>
      <c r="B157" s="1">
        <v>44334</v>
      </c>
      <c r="C157">
        <v>2021</v>
      </c>
      <c r="D157">
        <v>5</v>
      </c>
      <c r="E157" t="s">
        <v>38</v>
      </c>
      <c r="F157">
        <v>139</v>
      </c>
      <c r="G157" t="s">
        <v>21</v>
      </c>
      <c r="H157" t="s">
        <v>16</v>
      </c>
      <c r="I157">
        <v>0</v>
      </c>
      <c r="J157">
        <v>0</v>
      </c>
      <c r="K157">
        <v>4.3</v>
      </c>
      <c r="L157">
        <v>5505</v>
      </c>
      <c r="M157" t="s">
        <v>17</v>
      </c>
      <c r="N157" t="str">
        <f t="shared" si="14"/>
        <v>streaming</v>
      </c>
      <c r="O157" t="str">
        <f t="shared" si="15"/>
        <v>non-original</v>
      </c>
      <c r="P157" t="str">
        <f t="shared" si="16"/>
        <v>non-franchise</v>
      </c>
      <c r="Q157" t="str">
        <f t="shared" si="17"/>
        <v>new</v>
      </c>
      <c r="R157" s="2">
        <f t="shared" si="18"/>
        <v>2.8593765634982267E-3</v>
      </c>
      <c r="S157">
        <f t="shared" si="19"/>
        <v>0.30795112781954886</v>
      </c>
      <c r="T157" t="str">
        <f t="shared" si="20"/>
        <v>Scenario 2: Weak Commitment/Convenience</v>
      </c>
    </row>
    <row r="158" spans="1:20" x14ac:dyDescent="0.35">
      <c r="A158" t="s">
        <v>243</v>
      </c>
      <c r="B158" s="1">
        <v>44337</v>
      </c>
      <c r="C158">
        <v>2021</v>
      </c>
      <c r="D158">
        <v>5</v>
      </c>
      <c r="E158" t="s">
        <v>38</v>
      </c>
      <c r="F158">
        <v>148</v>
      </c>
      <c r="G158" t="s">
        <v>244</v>
      </c>
      <c r="H158" t="s">
        <v>24</v>
      </c>
      <c r="I158">
        <v>0</v>
      </c>
      <c r="J158">
        <v>0</v>
      </c>
      <c r="K158">
        <v>5.8</v>
      </c>
      <c r="L158">
        <v>199954</v>
      </c>
      <c r="M158" t="s">
        <v>17</v>
      </c>
      <c r="N158" t="str">
        <f t="shared" si="14"/>
        <v>streaming</v>
      </c>
      <c r="O158" t="str">
        <f t="shared" si="15"/>
        <v>non-original</v>
      </c>
      <c r="P158" t="str">
        <f t="shared" si="16"/>
        <v>non-franchise</v>
      </c>
      <c r="Q158" t="str">
        <f t="shared" si="17"/>
        <v>new</v>
      </c>
      <c r="R158" s="2">
        <f t="shared" si="18"/>
        <v>0.11058368081848835</v>
      </c>
      <c r="S158">
        <f t="shared" si="19"/>
        <v>0.38593984962406014</v>
      </c>
      <c r="T158" t="str">
        <f t="shared" si="20"/>
        <v>Scenario 1: Strong Commitment</v>
      </c>
    </row>
    <row r="159" spans="1:20" x14ac:dyDescent="0.35">
      <c r="A159" t="s">
        <v>245</v>
      </c>
      <c r="B159" s="1">
        <v>44342</v>
      </c>
      <c r="C159">
        <v>2021</v>
      </c>
      <c r="D159">
        <v>5</v>
      </c>
      <c r="E159" t="s">
        <v>38</v>
      </c>
      <c r="F159">
        <v>92</v>
      </c>
      <c r="G159" t="s">
        <v>62</v>
      </c>
      <c r="H159" t="s">
        <v>16</v>
      </c>
      <c r="I159">
        <v>0</v>
      </c>
      <c r="J159">
        <v>0</v>
      </c>
      <c r="K159">
        <v>6.1</v>
      </c>
      <c r="L159">
        <v>5646</v>
      </c>
      <c r="M159" t="s">
        <v>17</v>
      </c>
      <c r="N159" t="str">
        <f t="shared" si="14"/>
        <v>streaming</v>
      </c>
      <c r="O159" t="str">
        <f t="shared" si="15"/>
        <v>non-original</v>
      </c>
      <c r="P159" t="str">
        <f t="shared" si="16"/>
        <v>non-franchise</v>
      </c>
      <c r="Q159" t="str">
        <f t="shared" si="17"/>
        <v>new</v>
      </c>
      <c r="R159" s="2">
        <f t="shared" si="18"/>
        <v>1.9410107059390229E-3</v>
      </c>
      <c r="S159">
        <f t="shared" si="19"/>
        <v>0.59853383458646625</v>
      </c>
      <c r="T159" t="str">
        <f t="shared" si="20"/>
        <v>Scenario 3: Strong Convenience</v>
      </c>
    </row>
    <row r="160" spans="1:20" x14ac:dyDescent="0.35">
      <c r="A160" t="s">
        <v>246</v>
      </c>
      <c r="B160" s="1">
        <v>44342</v>
      </c>
      <c r="C160">
        <v>2021</v>
      </c>
      <c r="D160">
        <v>5</v>
      </c>
      <c r="E160" t="s">
        <v>38</v>
      </c>
      <c r="F160">
        <v>117</v>
      </c>
      <c r="G160" t="s">
        <v>92</v>
      </c>
      <c r="H160" t="s">
        <v>16</v>
      </c>
      <c r="I160">
        <v>0</v>
      </c>
      <c r="J160">
        <v>0</v>
      </c>
      <c r="K160">
        <v>5.2</v>
      </c>
      <c r="L160">
        <v>1837</v>
      </c>
      <c r="M160" t="s">
        <v>17</v>
      </c>
      <c r="N160" t="str">
        <f t="shared" si="14"/>
        <v>streaming</v>
      </c>
      <c r="O160" t="str">
        <f t="shared" si="15"/>
        <v>non-original</v>
      </c>
      <c r="P160" t="str">
        <f t="shared" si="16"/>
        <v>non-franchise</v>
      </c>
      <c r="Q160" t="str">
        <f t="shared" si="17"/>
        <v>new</v>
      </c>
      <c r="R160" s="2">
        <f t="shared" si="18"/>
        <v>8.0314553207497469E-4</v>
      </c>
      <c r="S160">
        <f t="shared" si="19"/>
        <v>0.4369172932330827</v>
      </c>
      <c r="T160" t="str">
        <f t="shared" si="20"/>
        <v>Scenario 2: Weak Commitment/Convenience</v>
      </c>
    </row>
    <row r="161" spans="1:20" x14ac:dyDescent="0.35">
      <c r="A161" t="s">
        <v>247</v>
      </c>
      <c r="B161" s="1">
        <v>44343</v>
      </c>
      <c r="C161">
        <v>2021</v>
      </c>
      <c r="D161">
        <v>5</v>
      </c>
      <c r="E161" t="s">
        <v>38</v>
      </c>
      <c r="F161">
        <v>96</v>
      </c>
      <c r="G161" t="s">
        <v>34</v>
      </c>
      <c r="H161" t="s">
        <v>16</v>
      </c>
      <c r="I161">
        <v>0</v>
      </c>
      <c r="J161">
        <v>0</v>
      </c>
      <c r="K161">
        <v>6.6</v>
      </c>
      <c r="L161">
        <v>8691</v>
      </c>
      <c r="M161" t="s">
        <v>17</v>
      </c>
      <c r="N161" t="str">
        <f t="shared" si="14"/>
        <v>streaming</v>
      </c>
      <c r="O161" t="str">
        <f t="shared" si="15"/>
        <v>non-original</v>
      </c>
      <c r="P161" t="str">
        <f t="shared" si="16"/>
        <v>non-franchise</v>
      </c>
      <c r="Q161" t="str">
        <f t="shared" si="17"/>
        <v>new</v>
      </c>
      <c r="R161" s="2">
        <f t="shared" si="18"/>
        <v>3.1177422807034238E-3</v>
      </c>
      <c r="S161">
        <f t="shared" si="19"/>
        <v>0.63270676691729322</v>
      </c>
      <c r="T161" t="str">
        <f t="shared" si="20"/>
        <v>Scenario 3: Strong Convenience</v>
      </c>
    </row>
    <row r="162" spans="1:20" x14ac:dyDescent="0.35">
      <c r="A162" t="s">
        <v>248</v>
      </c>
      <c r="B162" s="1">
        <v>44349</v>
      </c>
      <c r="C162">
        <v>2021</v>
      </c>
      <c r="D162">
        <v>6</v>
      </c>
      <c r="E162" t="s">
        <v>78</v>
      </c>
      <c r="F162">
        <v>95</v>
      </c>
      <c r="G162" t="s">
        <v>21</v>
      </c>
      <c r="H162" t="s">
        <v>16</v>
      </c>
      <c r="I162">
        <v>0</v>
      </c>
      <c r="J162">
        <v>0</v>
      </c>
      <c r="K162">
        <v>4.2</v>
      </c>
      <c r="L162">
        <v>1120</v>
      </c>
      <c r="M162" t="s">
        <v>17</v>
      </c>
      <c r="N162" t="str">
        <f t="shared" si="14"/>
        <v>streaming</v>
      </c>
      <c r="O162" t="str">
        <f t="shared" si="15"/>
        <v>non-original</v>
      </c>
      <c r="P162" t="str">
        <f t="shared" si="16"/>
        <v>non-franchise</v>
      </c>
      <c r="Q162" t="str">
        <f t="shared" si="17"/>
        <v>new</v>
      </c>
      <c r="R162" s="2">
        <f t="shared" si="18"/>
        <v>3.9759494815858873E-4</v>
      </c>
      <c r="S162">
        <f t="shared" si="19"/>
        <v>0.40500000000000003</v>
      </c>
      <c r="T162" t="str">
        <f t="shared" si="20"/>
        <v>Scenario 2: Weak Commitment/Convenience</v>
      </c>
    </row>
    <row r="163" spans="1:20" x14ac:dyDescent="0.35">
      <c r="A163" t="s">
        <v>249</v>
      </c>
      <c r="B163" s="1">
        <v>44350</v>
      </c>
      <c r="C163">
        <v>2021</v>
      </c>
      <c r="D163">
        <v>6</v>
      </c>
      <c r="E163" t="s">
        <v>78</v>
      </c>
      <c r="F163">
        <v>111</v>
      </c>
      <c r="G163" t="s">
        <v>34</v>
      </c>
      <c r="H163" t="s">
        <v>16</v>
      </c>
      <c r="I163">
        <v>0</v>
      </c>
      <c r="J163">
        <v>0</v>
      </c>
      <c r="K163">
        <v>5.8</v>
      </c>
      <c r="L163">
        <v>2361</v>
      </c>
      <c r="M163" t="s">
        <v>17</v>
      </c>
      <c r="N163" t="str">
        <f t="shared" si="14"/>
        <v>streaming</v>
      </c>
      <c r="O163" t="str">
        <f t="shared" si="15"/>
        <v>non-original</v>
      </c>
      <c r="P163" t="str">
        <f t="shared" si="16"/>
        <v>non-franchise</v>
      </c>
      <c r="Q163" t="str">
        <f t="shared" si="17"/>
        <v>new</v>
      </c>
      <c r="R163" s="2">
        <f t="shared" si="18"/>
        <v>9.7930550431268317E-4</v>
      </c>
      <c r="S163">
        <f t="shared" si="19"/>
        <v>0.50695488721804505</v>
      </c>
      <c r="T163" t="str">
        <f t="shared" si="20"/>
        <v>Scenario 3: Strong Convenience</v>
      </c>
    </row>
    <row r="164" spans="1:20" x14ac:dyDescent="0.35">
      <c r="A164" t="s">
        <v>250</v>
      </c>
      <c r="B164" s="1">
        <v>44351</v>
      </c>
      <c r="C164">
        <v>2021</v>
      </c>
      <c r="D164">
        <v>6</v>
      </c>
      <c r="E164" t="s">
        <v>78</v>
      </c>
      <c r="F164">
        <v>102</v>
      </c>
      <c r="G164" t="s">
        <v>90</v>
      </c>
      <c r="H164" t="s">
        <v>16</v>
      </c>
      <c r="I164">
        <v>0</v>
      </c>
      <c r="J164">
        <v>0</v>
      </c>
      <c r="K164">
        <v>6.6</v>
      </c>
      <c r="L164">
        <v>4000</v>
      </c>
      <c r="M164" t="s">
        <v>17</v>
      </c>
      <c r="N164" t="str">
        <f t="shared" si="14"/>
        <v>streaming</v>
      </c>
      <c r="O164" t="str">
        <f t="shared" si="15"/>
        <v>non-original</v>
      </c>
      <c r="P164" t="str">
        <f t="shared" si="16"/>
        <v>non-franchise</v>
      </c>
      <c r="Q164" t="str">
        <f t="shared" si="17"/>
        <v>new</v>
      </c>
      <c r="R164" s="2">
        <f t="shared" si="18"/>
        <v>1.5246122072246633E-3</v>
      </c>
      <c r="S164">
        <f t="shared" si="19"/>
        <v>0.61037593984962402</v>
      </c>
      <c r="T164" t="str">
        <f t="shared" si="20"/>
        <v>Scenario 3: Strong Convenience</v>
      </c>
    </row>
    <row r="165" spans="1:20" x14ac:dyDescent="0.35">
      <c r="A165" t="s">
        <v>251</v>
      </c>
      <c r="B165" s="1">
        <v>44351</v>
      </c>
      <c r="C165">
        <v>2021</v>
      </c>
      <c r="D165">
        <v>6</v>
      </c>
      <c r="E165" t="s">
        <v>78</v>
      </c>
      <c r="F165">
        <v>93</v>
      </c>
      <c r="G165" t="s">
        <v>21</v>
      </c>
      <c r="H165" t="s">
        <v>16</v>
      </c>
      <c r="I165">
        <v>0</v>
      </c>
      <c r="J165">
        <v>0</v>
      </c>
      <c r="K165">
        <v>5.3</v>
      </c>
      <c r="L165">
        <v>479</v>
      </c>
      <c r="M165" t="s">
        <v>17</v>
      </c>
      <c r="N165" t="str">
        <f t="shared" si="14"/>
        <v>streaming</v>
      </c>
      <c r="O165" t="str">
        <f t="shared" si="15"/>
        <v>non-original</v>
      </c>
      <c r="P165" t="str">
        <f t="shared" si="16"/>
        <v>non-franchise</v>
      </c>
      <c r="Q165" t="str">
        <f t="shared" si="17"/>
        <v>new</v>
      </c>
      <c r="R165" s="2">
        <f t="shared" si="18"/>
        <v>1.6646299018440461E-4</v>
      </c>
      <c r="S165">
        <f t="shared" si="19"/>
        <v>0.51704887218045115</v>
      </c>
      <c r="T165" t="str">
        <f t="shared" si="20"/>
        <v>Scenario 3: Strong Convenience</v>
      </c>
    </row>
    <row r="166" spans="1:20" x14ac:dyDescent="0.35">
      <c r="A166" t="s">
        <v>252</v>
      </c>
      <c r="B166" s="1">
        <v>44351</v>
      </c>
      <c r="C166">
        <v>2021</v>
      </c>
      <c r="D166">
        <v>6</v>
      </c>
      <c r="E166" t="s">
        <v>78</v>
      </c>
      <c r="F166">
        <v>112</v>
      </c>
      <c r="G166" t="s">
        <v>58</v>
      </c>
      <c r="H166" t="s">
        <v>16</v>
      </c>
      <c r="I166">
        <v>0</v>
      </c>
      <c r="J166">
        <v>0</v>
      </c>
      <c r="K166">
        <v>5.8</v>
      </c>
      <c r="L166">
        <v>5578</v>
      </c>
      <c r="M166" t="s">
        <v>88</v>
      </c>
      <c r="N166" t="str">
        <f t="shared" si="14"/>
        <v>streaming</v>
      </c>
      <c r="O166" t="str">
        <f t="shared" si="15"/>
        <v>non-original</v>
      </c>
      <c r="P166" t="str">
        <f t="shared" si="16"/>
        <v>non-franchise</v>
      </c>
      <c r="Q166" t="str">
        <f t="shared" si="17"/>
        <v>new</v>
      </c>
      <c r="R166" s="2">
        <f t="shared" si="18"/>
        <v>2.3345101271880081E-3</v>
      </c>
      <c r="S166">
        <f t="shared" si="19"/>
        <v>0.50368421052631573</v>
      </c>
      <c r="T166" t="str">
        <f t="shared" si="20"/>
        <v>Scenario 3: Strong Convenience</v>
      </c>
    </row>
    <row r="167" spans="1:20" x14ac:dyDescent="0.35">
      <c r="A167" t="s">
        <v>253</v>
      </c>
      <c r="B167" s="1">
        <v>44356</v>
      </c>
      <c r="C167">
        <v>2021</v>
      </c>
      <c r="D167">
        <v>6</v>
      </c>
      <c r="E167" t="s">
        <v>78</v>
      </c>
      <c r="F167">
        <v>97</v>
      </c>
      <c r="G167" t="s">
        <v>238</v>
      </c>
      <c r="H167" t="s">
        <v>24</v>
      </c>
      <c r="I167">
        <v>0</v>
      </c>
      <c r="J167">
        <v>0</v>
      </c>
      <c r="K167">
        <v>4.9000000000000004</v>
      </c>
      <c r="L167">
        <v>28697</v>
      </c>
      <c r="M167" t="s">
        <v>17</v>
      </c>
      <c r="N167" t="str">
        <f t="shared" si="14"/>
        <v>streaming</v>
      </c>
      <c r="O167" t="str">
        <f t="shared" si="15"/>
        <v>non-original</v>
      </c>
      <c r="P167" t="str">
        <f t="shared" si="16"/>
        <v>non-franchise</v>
      </c>
      <c r="Q167" t="str">
        <f t="shared" si="17"/>
        <v>new</v>
      </c>
      <c r="R167" s="2">
        <f t="shared" si="18"/>
        <v>1.0401775150834408E-2</v>
      </c>
      <c r="S167">
        <f t="shared" si="19"/>
        <v>0.46697368421052637</v>
      </c>
      <c r="T167" t="str">
        <f t="shared" si="20"/>
        <v>Scenario 2: Weak Commitment/Convenience</v>
      </c>
    </row>
    <row r="168" spans="1:20" x14ac:dyDescent="0.35">
      <c r="A168" t="s">
        <v>254</v>
      </c>
      <c r="B168" s="1">
        <v>44358</v>
      </c>
      <c r="C168">
        <v>2021</v>
      </c>
      <c r="D168">
        <v>6</v>
      </c>
      <c r="E168" t="s">
        <v>78</v>
      </c>
      <c r="F168">
        <v>109</v>
      </c>
      <c r="G168" t="s">
        <v>255</v>
      </c>
      <c r="H168" t="s">
        <v>56</v>
      </c>
      <c r="I168">
        <v>0</v>
      </c>
      <c r="J168">
        <v>0</v>
      </c>
      <c r="K168">
        <v>6.7</v>
      </c>
      <c r="L168">
        <v>8272</v>
      </c>
      <c r="M168" t="s">
        <v>17</v>
      </c>
      <c r="N168" t="str">
        <f t="shared" si="14"/>
        <v>streaming</v>
      </c>
      <c r="O168" t="str">
        <f t="shared" si="15"/>
        <v>non-original</v>
      </c>
      <c r="P168" t="str">
        <f t="shared" si="16"/>
        <v>non-franchise</v>
      </c>
      <c r="Q168" t="str">
        <f t="shared" si="17"/>
        <v>new</v>
      </c>
      <c r="R168" s="2">
        <f t="shared" si="18"/>
        <v>3.369273400538489E-3</v>
      </c>
      <c r="S168">
        <f t="shared" si="19"/>
        <v>0.59317669172932341</v>
      </c>
      <c r="T168" t="str">
        <f t="shared" si="20"/>
        <v>Scenario 3: Strong Convenience</v>
      </c>
    </row>
    <row r="169" spans="1:20" x14ac:dyDescent="0.35">
      <c r="A169" t="s">
        <v>256</v>
      </c>
      <c r="B169" s="1">
        <v>44365</v>
      </c>
      <c r="C169">
        <v>2021</v>
      </c>
      <c r="D169">
        <v>6</v>
      </c>
      <c r="E169" t="s">
        <v>78</v>
      </c>
      <c r="F169">
        <v>158</v>
      </c>
      <c r="G169" t="s">
        <v>49</v>
      </c>
      <c r="H169" t="s">
        <v>30</v>
      </c>
      <c r="I169">
        <v>0</v>
      </c>
      <c r="J169">
        <v>0</v>
      </c>
      <c r="K169">
        <v>5.8</v>
      </c>
      <c r="L169">
        <v>13058</v>
      </c>
      <c r="M169" t="s">
        <v>17</v>
      </c>
      <c r="N169" t="str">
        <f t="shared" si="14"/>
        <v>streaming</v>
      </c>
      <c r="O169" t="str">
        <f t="shared" si="15"/>
        <v>non-original</v>
      </c>
      <c r="P169" t="str">
        <f t="shared" si="16"/>
        <v>non-franchise</v>
      </c>
      <c r="Q169" t="str">
        <f t="shared" si="17"/>
        <v>new</v>
      </c>
      <c r="R169" s="2">
        <f t="shared" si="18"/>
        <v>7.7096201468295723E-3</v>
      </c>
      <c r="S169">
        <f t="shared" si="19"/>
        <v>0.35323308270676684</v>
      </c>
      <c r="T169" t="str">
        <f t="shared" si="20"/>
        <v>Scenario 2: Weak Commitment/Convenience</v>
      </c>
    </row>
    <row r="170" spans="1:20" x14ac:dyDescent="0.35">
      <c r="A170" t="s">
        <v>257</v>
      </c>
      <c r="B170" s="1">
        <v>44370</v>
      </c>
      <c r="C170">
        <v>2021</v>
      </c>
      <c r="D170">
        <v>6</v>
      </c>
      <c r="E170" t="s">
        <v>78</v>
      </c>
      <c r="F170">
        <v>94</v>
      </c>
      <c r="G170" t="s">
        <v>21</v>
      </c>
      <c r="H170" t="s">
        <v>24</v>
      </c>
      <c r="I170">
        <v>0</v>
      </c>
      <c r="J170">
        <v>0</v>
      </c>
      <c r="K170">
        <v>5.6</v>
      </c>
      <c r="L170">
        <v>15082</v>
      </c>
      <c r="M170" t="s">
        <v>17</v>
      </c>
      <c r="N170" t="str">
        <f t="shared" si="14"/>
        <v>streaming</v>
      </c>
      <c r="O170" t="str">
        <f t="shared" si="15"/>
        <v>non-original</v>
      </c>
      <c r="P170" t="str">
        <f t="shared" si="16"/>
        <v>non-franchise</v>
      </c>
      <c r="Q170" t="str">
        <f t="shared" si="17"/>
        <v>new</v>
      </c>
      <c r="R170" s="2">
        <f t="shared" si="18"/>
        <v>5.2976836350001541E-3</v>
      </c>
      <c r="S170">
        <f t="shared" si="19"/>
        <v>0.54315789473684206</v>
      </c>
      <c r="T170" t="str">
        <f t="shared" si="20"/>
        <v>Scenario 3: Strong Convenience</v>
      </c>
    </row>
    <row r="171" spans="1:20" x14ac:dyDescent="0.35">
      <c r="A171" t="s">
        <v>258</v>
      </c>
      <c r="B171" s="1">
        <v>44377</v>
      </c>
      <c r="C171">
        <v>2021</v>
      </c>
      <c r="D171">
        <v>6</v>
      </c>
      <c r="E171" t="s">
        <v>78</v>
      </c>
      <c r="F171">
        <v>98</v>
      </c>
      <c r="G171" t="s">
        <v>259</v>
      </c>
      <c r="H171" t="s">
        <v>24</v>
      </c>
      <c r="I171">
        <v>0</v>
      </c>
      <c r="J171">
        <v>0</v>
      </c>
      <c r="K171">
        <v>5.6</v>
      </c>
      <c r="L171">
        <v>8001</v>
      </c>
      <c r="M171" t="s">
        <v>17</v>
      </c>
      <c r="N171" t="str">
        <f t="shared" si="14"/>
        <v>streaming</v>
      </c>
      <c r="O171" t="str">
        <f t="shared" si="15"/>
        <v>non-original</v>
      </c>
      <c r="P171" t="str">
        <f t="shared" si="16"/>
        <v>non-franchise</v>
      </c>
      <c r="Q171" t="str">
        <f t="shared" si="17"/>
        <v>new</v>
      </c>
      <c r="R171" s="2">
        <f t="shared" si="18"/>
        <v>2.93001319230501E-3</v>
      </c>
      <c r="S171">
        <f t="shared" si="19"/>
        <v>0.53052631578947351</v>
      </c>
      <c r="T171" t="str">
        <f t="shared" si="20"/>
        <v>Scenario 3: Strong Convenience</v>
      </c>
    </row>
    <row r="172" spans="1:20" x14ac:dyDescent="0.35">
      <c r="A172" t="s">
        <v>260</v>
      </c>
      <c r="B172" s="1">
        <v>44379</v>
      </c>
      <c r="C172">
        <v>2021</v>
      </c>
      <c r="D172">
        <v>7</v>
      </c>
      <c r="E172" t="s">
        <v>78</v>
      </c>
      <c r="F172">
        <v>115</v>
      </c>
      <c r="G172" t="s">
        <v>261</v>
      </c>
      <c r="H172" t="s">
        <v>30</v>
      </c>
      <c r="I172">
        <v>0</v>
      </c>
      <c r="J172">
        <v>0</v>
      </c>
      <c r="K172">
        <v>5.4</v>
      </c>
      <c r="L172">
        <v>5292</v>
      </c>
      <c r="M172" t="s">
        <v>17</v>
      </c>
      <c r="N172" t="str">
        <f t="shared" si="14"/>
        <v>streaming</v>
      </c>
      <c r="O172" t="str">
        <f t="shared" si="15"/>
        <v>non-original</v>
      </c>
      <c r="P172" t="str">
        <f t="shared" si="16"/>
        <v>non-franchise</v>
      </c>
      <c r="Q172" t="str">
        <f t="shared" si="17"/>
        <v>new</v>
      </c>
      <c r="R172" s="2">
        <f t="shared" si="18"/>
        <v>2.274138473217612E-3</v>
      </c>
      <c r="S172">
        <f t="shared" si="19"/>
        <v>0.45981203007518806</v>
      </c>
      <c r="T172" t="str">
        <f t="shared" si="20"/>
        <v>Scenario 2: Weak Commitment/Convenience</v>
      </c>
    </row>
    <row r="173" spans="1:20" x14ac:dyDescent="0.35">
      <c r="A173" t="s">
        <v>262</v>
      </c>
      <c r="B173" s="1">
        <v>44379</v>
      </c>
      <c r="C173">
        <v>2021</v>
      </c>
      <c r="D173">
        <v>7</v>
      </c>
      <c r="E173" t="s">
        <v>78</v>
      </c>
      <c r="F173">
        <v>135</v>
      </c>
      <c r="G173" t="s">
        <v>151</v>
      </c>
      <c r="H173" t="s">
        <v>24</v>
      </c>
      <c r="I173">
        <v>0</v>
      </c>
      <c r="J173">
        <v>0</v>
      </c>
      <c r="K173">
        <v>6.9</v>
      </c>
      <c r="L173">
        <v>34939</v>
      </c>
      <c r="M173" t="s">
        <v>88</v>
      </c>
      <c r="N173" t="str">
        <f t="shared" si="14"/>
        <v>streaming</v>
      </c>
      <c r="O173" t="str">
        <f t="shared" si="15"/>
        <v>non-original</v>
      </c>
      <c r="P173" t="str">
        <f t="shared" si="16"/>
        <v>non-franchise</v>
      </c>
      <c r="Q173" t="str">
        <f t="shared" si="17"/>
        <v>new</v>
      </c>
      <c r="R173" s="2">
        <f t="shared" si="18"/>
        <v>1.7625582101985393E-2</v>
      </c>
      <c r="S173">
        <f t="shared" si="19"/>
        <v>0.50971804511278196</v>
      </c>
      <c r="T173" t="str">
        <f t="shared" si="20"/>
        <v>Scenario 3: Strong Convenience</v>
      </c>
    </row>
    <row r="174" spans="1:20" x14ac:dyDescent="0.35">
      <c r="A174" t="s">
        <v>263</v>
      </c>
      <c r="B174" s="1">
        <v>44386</v>
      </c>
      <c r="C174">
        <v>2021</v>
      </c>
      <c r="D174">
        <v>7</v>
      </c>
      <c r="E174" t="s">
        <v>78</v>
      </c>
      <c r="F174">
        <v>101</v>
      </c>
      <c r="G174" t="s">
        <v>90</v>
      </c>
      <c r="H174" t="s">
        <v>30</v>
      </c>
      <c r="I174">
        <v>0</v>
      </c>
      <c r="J174">
        <v>0</v>
      </c>
      <c r="K174">
        <v>6.2</v>
      </c>
      <c r="L174">
        <v>4209</v>
      </c>
      <c r="M174" t="s">
        <v>17</v>
      </c>
      <c r="N174" t="str">
        <f t="shared" si="14"/>
        <v>streaming</v>
      </c>
      <c r="O174" t="str">
        <f t="shared" si="15"/>
        <v>non-original</v>
      </c>
      <c r="P174" t="str">
        <f t="shared" si="16"/>
        <v>non-franchise</v>
      </c>
      <c r="Q174" t="str">
        <f t="shared" si="17"/>
        <v>new</v>
      </c>
      <c r="R174" s="2">
        <f t="shared" si="18"/>
        <v>1.5885450264732095E-3</v>
      </c>
      <c r="S174">
        <f t="shared" si="19"/>
        <v>0.57687969924812021</v>
      </c>
      <c r="T174" t="str">
        <f t="shared" si="20"/>
        <v>Scenario 3: Strong Convenience</v>
      </c>
    </row>
    <row r="175" spans="1:20" x14ac:dyDescent="0.35">
      <c r="A175" t="s">
        <v>264</v>
      </c>
      <c r="B175" s="1">
        <v>44391</v>
      </c>
      <c r="C175">
        <v>2021</v>
      </c>
      <c r="D175">
        <v>7</v>
      </c>
      <c r="E175" t="s">
        <v>78</v>
      </c>
      <c r="F175">
        <v>95</v>
      </c>
      <c r="G175" t="s">
        <v>92</v>
      </c>
      <c r="H175" t="s">
        <v>265</v>
      </c>
      <c r="I175">
        <v>0</v>
      </c>
      <c r="J175">
        <v>0</v>
      </c>
      <c r="K175">
        <v>5.7</v>
      </c>
      <c r="L175">
        <v>24556</v>
      </c>
      <c r="M175" t="s">
        <v>17</v>
      </c>
      <c r="N175" t="str">
        <f t="shared" si="14"/>
        <v>streaming</v>
      </c>
      <c r="O175" t="str">
        <f t="shared" si="15"/>
        <v>non-original</v>
      </c>
      <c r="P175" t="str">
        <f t="shared" si="16"/>
        <v>non-franchise</v>
      </c>
      <c r="Q175" t="str">
        <f t="shared" si="17"/>
        <v>new</v>
      </c>
      <c r="R175" s="2">
        <f t="shared" si="18"/>
        <v>8.7172692383770574E-3</v>
      </c>
      <c r="S175">
        <f t="shared" si="19"/>
        <v>0.5496428571428571</v>
      </c>
      <c r="T175" t="str">
        <f t="shared" si="20"/>
        <v>Scenario 3: Strong Convenience</v>
      </c>
    </row>
    <row r="176" spans="1:20" x14ac:dyDescent="0.35">
      <c r="A176" t="s">
        <v>266</v>
      </c>
      <c r="B176" s="1">
        <v>44392</v>
      </c>
      <c r="C176">
        <v>2021</v>
      </c>
      <c r="D176">
        <v>7</v>
      </c>
      <c r="E176" t="s">
        <v>78</v>
      </c>
      <c r="F176">
        <v>112</v>
      </c>
      <c r="G176" t="s">
        <v>267</v>
      </c>
      <c r="H176" t="s">
        <v>30</v>
      </c>
      <c r="I176">
        <v>0</v>
      </c>
      <c r="J176">
        <v>0</v>
      </c>
      <c r="K176">
        <v>5.4</v>
      </c>
      <c r="L176">
        <v>792</v>
      </c>
      <c r="M176" t="s">
        <v>17</v>
      </c>
      <c r="N176" t="str">
        <f t="shared" si="14"/>
        <v>streaming</v>
      </c>
      <c r="O176" t="str">
        <f t="shared" si="15"/>
        <v>non-original</v>
      </c>
      <c r="P176" t="str">
        <f t="shared" si="16"/>
        <v>non-franchise</v>
      </c>
      <c r="Q176" t="str">
        <f t="shared" si="17"/>
        <v>new</v>
      </c>
      <c r="R176" s="2">
        <f t="shared" si="18"/>
        <v>3.3146863046484441E-4</v>
      </c>
      <c r="S176">
        <f t="shared" si="19"/>
        <v>0.46894736842105267</v>
      </c>
      <c r="T176" t="str">
        <f t="shared" si="20"/>
        <v>Scenario 2: Weak Commitment/Convenience</v>
      </c>
    </row>
    <row r="177" spans="1:20" x14ac:dyDescent="0.35">
      <c r="A177" t="s">
        <v>268</v>
      </c>
      <c r="B177" s="1">
        <v>44392</v>
      </c>
      <c r="C177">
        <v>2021</v>
      </c>
      <c r="D177">
        <v>7</v>
      </c>
      <c r="E177" t="s">
        <v>78</v>
      </c>
      <c r="F177">
        <v>89</v>
      </c>
      <c r="G177" t="s">
        <v>269</v>
      </c>
      <c r="H177" t="s">
        <v>30</v>
      </c>
      <c r="I177">
        <v>0</v>
      </c>
      <c r="J177">
        <v>0</v>
      </c>
      <c r="K177">
        <v>5.9</v>
      </c>
      <c r="L177">
        <v>420</v>
      </c>
      <c r="M177" t="s">
        <v>17</v>
      </c>
      <c r="N177" t="str">
        <f t="shared" si="14"/>
        <v>streaming</v>
      </c>
      <c r="O177" t="str">
        <f t="shared" si="15"/>
        <v>non-original</v>
      </c>
      <c r="P177" t="str">
        <f t="shared" si="16"/>
        <v>non-franchise</v>
      </c>
      <c r="Q177" t="str">
        <f t="shared" si="17"/>
        <v>new</v>
      </c>
      <c r="R177" s="2">
        <f t="shared" si="18"/>
        <v>1.3968138310308314E-4</v>
      </c>
      <c r="S177">
        <f t="shared" si="19"/>
        <v>0.58889097744360908</v>
      </c>
      <c r="T177" t="str">
        <f t="shared" si="20"/>
        <v>Scenario 3: Strong Convenience</v>
      </c>
    </row>
    <row r="178" spans="1:20" x14ac:dyDescent="0.35">
      <c r="A178" t="s">
        <v>270</v>
      </c>
      <c r="B178" s="1">
        <v>44393</v>
      </c>
      <c r="C178">
        <v>2021</v>
      </c>
      <c r="D178">
        <v>7</v>
      </c>
      <c r="E178" t="s">
        <v>78</v>
      </c>
      <c r="F178">
        <v>101</v>
      </c>
      <c r="G178" t="s">
        <v>192</v>
      </c>
      <c r="H178" t="s">
        <v>30</v>
      </c>
      <c r="I178">
        <v>0</v>
      </c>
      <c r="J178">
        <v>0</v>
      </c>
      <c r="K178">
        <v>5</v>
      </c>
      <c r="L178">
        <v>2053</v>
      </c>
      <c r="M178" t="s">
        <v>17</v>
      </c>
      <c r="N178" t="str">
        <f t="shared" si="14"/>
        <v>streaming</v>
      </c>
      <c r="O178" t="str">
        <f t="shared" si="15"/>
        <v>non-original</v>
      </c>
      <c r="P178" t="str">
        <f t="shared" si="16"/>
        <v>non-franchise</v>
      </c>
      <c r="Q178" t="str">
        <f t="shared" si="17"/>
        <v>new</v>
      </c>
      <c r="R178" s="2">
        <f t="shared" si="18"/>
        <v>7.7483557599180306E-4</v>
      </c>
      <c r="S178">
        <f t="shared" si="19"/>
        <v>0.46522556390977443</v>
      </c>
      <c r="T178" t="str">
        <f t="shared" si="20"/>
        <v>Scenario 2: Weak Commitment/Convenience</v>
      </c>
    </row>
    <row r="179" spans="1:20" x14ac:dyDescent="0.35">
      <c r="A179" t="s">
        <v>271</v>
      </c>
      <c r="B179" s="1">
        <v>44400</v>
      </c>
      <c r="C179">
        <v>2021</v>
      </c>
      <c r="D179">
        <v>7</v>
      </c>
      <c r="E179" t="s">
        <v>78</v>
      </c>
      <c r="F179">
        <v>123</v>
      </c>
      <c r="G179" t="s">
        <v>19</v>
      </c>
      <c r="H179" t="s">
        <v>30</v>
      </c>
      <c r="I179">
        <v>0</v>
      </c>
      <c r="J179">
        <v>0</v>
      </c>
      <c r="K179">
        <v>6.1</v>
      </c>
      <c r="L179">
        <v>60080</v>
      </c>
      <c r="M179" t="s">
        <v>88</v>
      </c>
      <c r="N179" t="str">
        <f t="shared" si="14"/>
        <v>streaming</v>
      </c>
      <c r="O179" t="str">
        <f t="shared" si="15"/>
        <v>non-original</v>
      </c>
      <c r="P179" t="str">
        <f t="shared" si="16"/>
        <v>non-franchise</v>
      </c>
      <c r="Q179" t="str">
        <f t="shared" si="17"/>
        <v>new</v>
      </c>
      <c r="R179" s="2">
        <f t="shared" si="18"/>
        <v>2.7614314395679181E-2</v>
      </c>
      <c r="S179">
        <f t="shared" si="19"/>
        <v>0.49189849624060156</v>
      </c>
      <c r="T179" t="str">
        <f t="shared" si="20"/>
        <v>Scenario 2: Weak Commitment/Convenience</v>
      </c>
    </row>
    <row r="180" spans="1:20" x14ac:dyDescent="0.35">
      <c r="A180" t="s">
        <v>272</v>
      </c>
      <c r="B180" s="1">
        <v>44400</v>
      </c>
      <c r="C180">
        <v>2021</v>
      </c>
      <c r="D180">
        <v>7</v>
      </c>
      <c r="E180" t="s">
        <v>78</v>
      </c>
      <c r="F180">
        <v>97</v>
      </c>
      <c r="G180" t="s">
        <v>21</v>
      </c>
      <c r="H180" t="s">
        <v>30</v>
      </c>
      <c r="I180">
        <v>0</v>
      </c>
      <c r="J180">
        <v>0</v>
      </c>
      <c r="K180">
        <v>4.2</v>
      </c>
      <c r="L180">
        <v>376</v>
      </c>
      <c r="M180" t="s">
        <v>17</v>
      </c>
      <c r="N180" t="str">
        <f t="shared" si="14"/>
        <v>streaming</v>
      </c>
      <c r="O180" t="str">
        <f t="shared" si="15"/>
        <v>non-original</v>
      </c>
      <c r="P180" t="str">
        <f t="shared" si="16"/>
        <v>non-franchise</v>
      </c>
      <c r="Q180" t="str">
        <f t="shared" si="17"/>
        <v>new</v>
      </c>
      <c r="R180" s="2">
        <f t="shared" si="18"/>
        <v>1.3628837358308315E-4</v>
      </c>
      <c r="S180">
        <f t="shared" si="19"/>
        <v>0.40026315789473693</v>
      </c>
      <c r="T180" t="str">
        <f t="shared" si="20"/>
        <v>Scenario 2: Weak Commitment/Convenience</v>
      </c>
    </row>
    <row r="181" spans="1:20" x14ac:dyDescent="0.35">
      <c r="A181" t="s">
        <v>273</v>
      </c>
      <c r="B181" s="1">
        <v>44405</v>
      </c>
      <c r="C181">
        <v>2021</v>
      </c>
      <c r="D181">
        <v>7</v>
      </c>
      <c r="E181" t="s">
        <v>78</v>
      </c>
      <c r="F181">
        <v>91</v>
      </c>
      <c r="G181" t="s">
        <v>58</v>
      </c>
      <c r="H181" t="s">
        <v>30</v>
      </c>
      <c r="I181">
        <v>0</v>
      </c>
      <c r="J181">
        <v>0</v>
      </c>
      <c r="K181">
        <v>5.0999999999999996</v>
      </c>
      <c r="L181">
        <v>1553</v>
      </c>
      <c r="M181" t="s">
        <v>17</v>
      </c>
      <c r="N181" t="str">
        <f t="shared" si="14"/>
        <v>streaming</v>
      </c>
      <c r="O181" t="str">
        <f t="shared" si="15"/>
        <v>non-original</v>
      </c>
      <c r="P181" t="str">
        <f t="shared" si="16"/>
        <v>non-franchise</v>
      </c>
      <c r="Q181" t="str">
        <f t="shared" si="17"/>
        <v>new</v>
      </c>
      <c r="R181" s="2">
        <f t="shared" si="18"/>
        <v>5.2809502686669389E-4</v>
      </c>
      <c r="S181">
        <f t="shared" si="19"/>
        <v>0.50328947368421062</v>
      </c>
      <c r="T181" t="str">
        <f t="shared" si="20"/>
        <v>Scenario 3: Strong Convenience</v>
      </c>
    </row>
    <row r="182" spans="1:20" x14ac:dyDescent="0.35">
      <c r="A182" t="s">
        <v>274</v>
      </c>
      <c r="B182" s="1">
        <v>44406</v>
      </c>
      <c r="C182">
        <v>2021</v>
      </c>
      <c r="D182">
        <v>7</v>
      </c>
      <c r="E182" t="s">
        <v>78</v>
      </c>
      <c r="F182">
        <v>101</v>
      </c>
      <c r="G182" t="s">
        <v>29</v>
      </c>
      <c r="H182" t="s">
        <v>30</v>
      </c>
      <c r="I182">
        <v>0</v>
      </c>
      <c r="J182">
        <v>0</v>
      </c>
      <c r="K182">
        <v>5.7</v>
      </c>
      <c r="L182">
        <v>7402</v>
      </c>
      <c r="M182" t="s">
        <v>88</v>
      </c>
      <c r="N182" t="str">
        <f t="shared" si="14"/>
        <v>streaming</v>
      </c>
      <c r="O182" t="str">
        <f t="shared" si="15"/>
        <v>non-original</v>
      </c>
      <c r="P182" t="str">
        <f t="shared" si="16"/>
        <v>non-franchise</v>
      </c>
      <c r="Q182" t="str">
        <f t="shared" si="17"/>
        <v>new</v>
      </c>
      <c r="R182" s="2">
        <f t="shared" si="18"/>
        <v>2.7936351356509137E-3</v>
      </c>
      <c r="S182">
        <f t="shared" si="19"/>
        <v>0.53035714285714286</v>
      </c>
      <c r="T182" t="str">
        <f t="shared" si="20"/>
        <v>Scenario 3: Strong Convenience</v>
      </c>
    </row>
    <row r="183" spans="1:20" x14ac:dyDescent="0.35">
      <c r="A183" t="s">
        <v>275</v>
      </c>
      <c r="B183" s="1">
        <v>44407</v>
      </c>
      <c r="C183">
        <v>2021</v>
      </c>
      <c r="D183">
        <v>7</v>
      </c>
      <c r="E183" t="s">
        <v>78</v>
      </c>
      <c r="F183">
        <v>112</v>
      </c>
      <c r="G183" t="s">
        <v>41</v>
      </c>
      <c r="H183" t="s">
        <v>30</v>
      </c>
      <c r="I183">
        <v>0</v>
      </c>
      <c r="J183">
        <v>0</v>
      </c>
      <c r="K183">
        <v>5.3</v>
      </c>
      <c r="L183">
        <v>10404</v>
      </c>
      <c r="M183" t="s">
        <v>88</v>
      </c>
      <c r="N183" t="str">
        <f t="shared" si="14"/>
        <v>streaming</v>
      </c>
      <c r="O183" t="str">
        <f t="shared" si="15"/>
        <v>non-original</v>
      </c>
      <c r="P183" t="str">
        <f t="shared" si="16"/>
        <v>non-franchise</v>
      </c>
      <c r="Q183" t="str">
        <f t="shared" si="17"/>
        <v>new</v>
      </c>
      <c r="R183" s="2">
        <f t="shared" si="18"/>
        <v>4.3542924638336391E-3</v>
      </c>
      <c r="S183">
        <f t="shared" si="19"/>
        <v>0.46026315789473687</v>
      </c>
      <c r="T183" t="str">
        <f>IF(AND(R183&gt;=0.03, S183&gt;=0.5), "Scenario 4: Hybrid Logic",
 IF(AND(R183&gt;=0.03, S183&lt;0.5), "Scenario 1: Strong Commitment",
  IF(AND(R183&lt;0.03, S183&gt;=0.5), "Scenario 3: Strong Convenience",
   "Scenario 2: Weak Commitment/Convenience")))</f>
        <v>Scenario 2: Weak Commitment/Convenience</v>
      </c>
    </row>
    <row r="184" spans="1:20" x14ac:dyDescent="0.35">
      <c r="A184" t="s">
        <v>276</v>
      </c>
      <c r="B184" s="1">
        <v>44419</v>
      </c>
      <c r="C184">
        <v>2021</v>
      </c>
      <c r="D184">
        <v>8</v>
      </c>
      <c r="E184" t="s">
        <v>78</v>
      </c>
      <c r="F184">
        <v>113</v>
      </c>
      <c r="G184" t="s">
        <v>116</v>
      </c>
      <c r="H184" t="s">
        <v>27</v>
      </c>
      <c r="I184">
        <v>0</v>
      </c>
      <c r="J184">
        <v>1</v>
      </c>
      <c r="K184">
        <v>4.8</v>
      </c>
      <c r="L184">
        <v>26538</v>
      </c>
      <c r="M184" t="s">
        <v>17</v>
      </c>
      <c r="N184" t="str">
        <f t="shared" si="14"/>
        <v>streaming</v>
      </c>
      <c r="O184" t="str">
        <f t="shared" si="15"/>
        <v>non-original</v>
      </c>
      <c r="P184" t="str">
        <f t="shared" si="16"/>
        <v>franchise</v>
      </c>
      <c r="Q184" t="str">
        <f t="shared" si="17"/>
        <v>old</v>
      </c>
      <c r="R184" s="2">
        <f t="shared" si="18"/>
        <v>1.6808815953500283E-2</v>
      </c>
      <c r="S184">
        <f t="shared" si="19"/>
        <v>0.27609022556390977</v>
      </c>
      <c r="T184" t="str">
        <f t="shared" si="20"/>
        <v>Scenario 2: Weak Commitment/Convenience</v>
      </c>
    </row>
    <row r="185" spans="1:20" x14ac:dyDescent="0.35">
      <c r="A185" t="s">
        <v>277</v>
      </c>
      <c r="B185" s="1">
        <v>44421</v>
      </c>
      <c r="C185">
        <v>2021</v>
      </c>
      <c r="D185">
        <v>8</v>
      </c>
      <c r="E185" t="s">
        <v>78</v>
      </c>
      <c r="F185">
        <v>110</v>
      </c>
      <c r="G185" t="s">
        <v>49</v>
      </c>
      <c r="H185" t="s">
        <v>24</v>
      </c>
      <c r="I185">
        <v>0</v>
      </c>
      <c r="J185">
        <v>0</v>
      </c>
      <c r="K185">
        <v>5.7</v>
      </c>
      <c r="L185">
        <v>30468</v>
      </c>
      <c r="M185" t="s">
        <v>17</v>
      </c>
      <c r="N185" t="str">
        <f t="shared" si="14"/>
        <v>streaming</v>
      </c>
      <c r="O185" t="str">
        <f t="shared" si="15"/>
        <v>non-original</v>
      </c>
      <c r="P185" t="str">
        <f t="shared" si="16"/>
        <v>non-franchise</v>
      </c>
      <c r="Q185" t="str">
        <f t="shared" si="17"/>
        <v>new</v>
      </c>
      <c r="R185" s="2">
        <f t="shared" si="18"/>
        <v>1.2523792451640477E-2</v>
      </c>
      <c r="S185">
        <f t="shared" si="19"/>
        <v>0.50142857142857156</v>
      </c>
      <c r="T185" t="str">
        <f t="shared" si="20"/>
        <v>Scenario 3: Strong Convenience</v>
      </c>
    </row>
    <row r="186" spans="1:20" x14ac:dyDescent="0.35">
      <c r="A186" t="s">
        <v>278</v>
      </c>
      <c r="B186" s="1">
        <v>44426</v>
      </c>
      <c r="C186">
        <v>2021</v>
      </c>
      <c r="D186">
        <v>8</v>
      </c>
      <c r="E186" t="s">
        <v>78</v>
      </c>
      <c r="F186">
        <v>104</v>
      </c>
      <c r="G186" t="s">
        <v>19</v>
      </c>
      <c r="H186" t="s">
        <v>30</v>
      </c>
      <c r="I186">
        <v>0</v>
      </c>
      <c r="J186">
        <v>0</v>
      </c>
      <c r="K186">
        <v>5.2</v>
      </c>
      <c r="L186">
        <v>3707</v>
      </c>
      <c r="M186" t="s">
        <v>17</v>
      </c>
      <c r="N186" t="str">
        <f t="shared" si="14"/>
        <v>streaming</v>
      </c>
      <c r="O186" t="str">
        <f t="shared" si="15"/>
        <v>non-original</v>
      </c>
      <c r="P186" t="str">
        <f t="shared" si="16"/>
        <v>non-franchise</v>
      </c>
      <c r="Q186" t="str">
        <f t="shared" si="17"/>
        <v>new</v>
      </c>
      <c r="R186" s="2">
        <f t="shared" si="18"/>
        <v>1.4406389583992893E-3</v>
      </c>
      <c r="S186">
        <f t="shared" si="19"/>
        <v>0.47503759398496243</v>
      </c>
      <c r="T186" t="str">
        <f t="shared" si="20"/>
        <v>Scenario 2: Weak Commitment/Convenience</v>
      </c>
    </row>
    <row r="187" spans="1:20" x14ac:dyDescent="0.35">
      <c r="A187" t="s">
        <v>279</v>
      </c>
      <c r="B187" s="1">
        <v>44426</v>
      </c>
      <c r="C187">
        <v>2021</v>
      </c>
      <c r="D187">
        <v>8</v>
      </c>
      <c r="E187" t="s">
        <v>78</v>
      </c>
      <c r="F187">
        <v>96</v>
      </c>
      <c r="G187" t="s">
        <v>29</v>
      </c>
      <c r="H187" t="s">
        <v>30</v>
      </c>
      <c r="I187">
        <v>0</v>
      </c>
      <c r="J187">
        <v>0</v>
      </c>
      <c r="K187">
        <v>5.5</v>
      </c>
      <c r="L187">
        <v>1202</v>
      </c>
      <c r="M187" t="s">
        <v>88</v>
      </c>
      <c r="N187" t="str">
        <f t="shared" si="14"/>
        <v>streaming</v>
      </c>
      <c r="O187" t="str">
        <f t="shared" si="15"/>
        <v>non-original</v>
      </c>
      <c r="P187" t="str">
        <f t="shared" si="16"/>
        <v>non-franchise</v>
      </c>
      <c r="Q187" t="str">
        <f t="shared" si="17"/>
        <v>new</v>
      </c>
      <c r="R187" s="2">
        <f t="shared" si="18"/>
        <v>4.3119620543154006E-4</v>
      </c>
      <c r="S187">
        <f t="shared" si="19"/>
        <v>0.52725563909774442</v>
      </c>
      <c r="T187" t="str">
        <f t="shared" si="20"/>
        <v>Scenario 3: Strong Convenience</v>
      </c>
    </row>
    <row r="188" spans="1:20" x14ac:dyDescent="0.35">
      <c r="A188" t="s">
        <v>280</v>
      </c>
      <c r="B188" s="1">
        <v>44428</v>
      </c>
      <c r="C188">
        <v>2021</v>
      </c>
      <c r="D188">
        <v>8</v>
      </c>
      <c r="E188" t="s">
        <v>78</v>
      </c>
      <c r="F188">
        <v>110</v>
      </c>
      <c r="G188" t="s">
        <v>58</v>
      </c>
      <c r="H188" t="s">
        <v>24</v>
      </c>
      <c r="I188">
        <v>0</v>
      </c>
      <c r="J188">
        <v>0</v>
      </c>
      <c r="K188">
        <v>5.5</v>
      </c>
      <c r="L188">
        <v>37965</v>
      </c>
      <c r="M188" t="s">
        <v>88</v>
      </c>
      <c r="N188" t="str">
        <f t="shared" si="14"/>
        <v>streaming</v>
      </c>
      <c r="O188" t="str">
        <f t="shared" si="15"/>
        <v>non-original</v>
      </c>
      <c r="P188" t="str">
        <f t="shared" si="16"/>
        <v>non-franchise</v>
      </c>
      <c r="Q188" t="str">
        <f t="shared" si="17"/>
        <v>new</v>
      </c>
      <c r="R188" s="2">
        <f t="shared" si="18"/>
        <v>1.5605414875493329E-2</v>
      </c>
      <c r="S188">
        <f t="shared" si="19"/>
        <v>0.48383458646616551</v>
      </c>
      <c r="T188" t="str">
        <f t="shared" si="20"/>
        <v>Scenario 2: Weak Commitment/Convenience</v>
      </c>
    </row>
    <row r="189" spans="1:20" x14ac:dyDescent="0.35">
      <c r="A189" t="s">
        <v>281</v>
      </c>
      <c r="B189" s="1">
        <v>44428</v>
      </c>
      <c r="C189">
        <v>2021</v>
      </c>
      <c r="D189">
        <v>8</v>
      </c>
      <c r="E189" t="s">
        <v>78</v>
      </c>
      <c r="F189">
        <v>87</v>
      </c>
      <c r="G189" t="s">
        <v>282</v>
      </c>
      <c r="H189" t="s">
        <v>86</v>
      </c>
      <c r="I189">
        <v>0</v>
      </c>
      <c r="J189">
        <v>0</v>
      </c>
      <c r="K189">
        <v>6</v>
      </c>
      <c r="L189">
        <v>3454</v>
      </c>
      <c r="M189" t="s">
        <v>17</v>
      </c>
      <c r="N189" t="str">
        <f t="shared" si="14"/>
        <v>streaming</v>
      </c>
      <c r="O189" t="str">
        <f t="shared" si="15"/>
        <v>non-original</v>
      </c>
      <c r="P189" t="str">
        <f t="shared" si="16"/>
        <v>non-franchise</v>
      </c>
      <c r="Q189" t="str">
        <f t="shared" si="17"/>
        <v>new</v>
      </c>
      <c r="R189" s="2">
        <f t="shared" si="18"/>
        <v>1.1228993113887179E-3</v>
      </c>
      <c r="S189">
        <f t="shared" si="19"/>
        <v>0.60563909774436075</v>
      </c>
      <c r="T189" t="str">
        <f t="shared" si="20"/>
        <v>Scenario 3: Strong Convenience</v>
      </c>
    </row>
    <row r="190" spans="1:20" x14ac:dyDescent="0.35">
      <c r="A190" t="s">
        <v>283</v>
      </c>
      <c r="B190" s="1">
        <v>44431</v>
      </c>
      <c r="C190">
        <v>2021</v>
      </c>
      <c r="D190">
        <v>8</v>
      </c>
      <c r="E190" t="s">
        <v>78</v>
      </c>
      <c r="F190">
        <v>83</v>
      </c>
      <c r="G190" t="s">
        <v>284</v>
      </c>
      <c r="H190" t="s">
        <v>24</v>
      </c>
      <c r="I190">
        <v>0</v>
      </c>
      <c r="J190">
        <v>0</v>
      </c>
      <c r="K190">
        <v>7.2</v>
      </c>
      <c r="L190">
        <v>54885</v>
      </c>
      <c r="M190" t="s">
        <v>17</v>
      </c>
      <c r="N190" t="str">
        <f t="shared" si="14"/>
        <v>streaming</v>
      </c>
      <c r="O190" t="str">
        <f t="shared" si="15"/>
        <v>non-original</v>
      </c>
      <c r="P190" t="str">
        <f t="shared" si="16"/>
        <v>non-franchise</v>
      </c>
      <c r="Q190" t="str">
        <f t="shared" si="17"/>
        <v>new</v>
      </c>
      <c r="R190" s="2">
        <f t="shared" si="18"/>
        <v>1.7022799760937818E-2</v>
      </c>
      <c r="S190">
        <f t="shared" si="19"/>
        <v>0.74300751879699256</v>
      </c>
      <c r="T190" t="str">
        <f t="shared" si="20"/>
        <v>Scenario 3: Strong Convenience</v>
      </c>
    </row>
    <row r="191" spans="1:20" x14ac:dyDescent="0.35">
      <c r="A191" t="s">
        <v>285</v>
      </c>
      <c r="B191" s="1">
        <v>44435</v>
      </c>
      <c r="C191">
        <v>2021</v>
      </c>
      <c r="D191">
        <v>8</v>
      </c>
      <c r="E191" t="s">
        <v>78</v>
      </c>
      <c r="F191">
        <v>91</v>
      </c>
      <c r="G191" t="s">
        <v>26</v>
      </c>
      <c r="H191" t="s">
        <v>30</v>
      </c>
      <c r="I191">
        <v>1</v>
      </c>
      <c r="J191">
        <v>1</v>
      </c>
      <c r="K191">
        <v>4.4000000000000004</v>
      </c>
      <c r="L191">
        <v>32215</v>
      </c>
      <c r="M191" t="s">
        <v>17</v>
      </c>
      <c r="N191" t="str">
        <f t="shared" si="14"/>
        <v>streaming</v>
      </c>
      <c r="O191" t="str">
        <f t="shared" si="15"/>
        <v>original</v>
      </c>
      <c r="P191" t="str">
        <f t="shared" si="16"/>
        <v>franchise</v>
      </c>
      <c r="Q191" t="str">
        <f t="shared" si="17"/>
        <v>old</v>
      </c>
      <c r="R191" s="2">
        <f t="shared" si="18"/>
        <v>1.6431984504678566E-2</v>
      </c>
      <c r="S191">
        <f t="shared" si="19"/>
        <v>0.28947368421052638</v>
      </c>
      <c r="T191" t="str">
        <f t="shared" si="20"/>
        <v>Scenario 2: Weak Commitment/Convenience</v>
      </c>
    </row>
    <row r="192" spans="1:20" x14ac:dyDescent="0.35">
      <c r="A192" t="s">
        <v>286</v>
      </c>
      <c r="B192" s="1">
        <v>44441</v>
      </c>
      <c r="C192">
        <v>2021</v>
      </c>
      <c r="D192">
        <v>9</v>
      </c>
      <c r="E192" t="s">
        <v>125</v>
      </c>
      <c r="F192">
        <v>109</v>
      </c>
      <c r="G192" t="s">
        <v>21</v>
      </c>
      <c r="H192" t="s">
        <v>30</v>
      </c>
      <c r="I192">
        <v>0</v>
      </c>
      <c r="J192">
        <v>0</v>
      </c>
      <c r="K192">
        <v>5.8</v>
      </c>
      <c r="L192">
        <v>11657</v>
      </c>
      <c r="M192" t="s">
        <v>17</v>
      </c>
      <c r="N192" t="str">
        <f t="shared" si="14"/>
        <v>streaming</v>
      </c>
      <c r="O192" t="str">
        <f t="shared" si="15"/>
        <v>non-original</v>
      </c>
      <c r="P192" t="str">
        <f t="shared" si="16"/>
        <v>non-franchise</v>
      </c>
      <c r="Q192" t="str">
        <f t="shared" si="17"/>
        <v>new</v>
      </c>
      <c r="R192" s="2">
        <f t="shared" si="18"/>
        <v>4.7480198295547825E-3</v>
      </c>
      <c r="S192">
        <f t="shared" si="19"/>
        <v>0.51349624060150367</v>
      </c>
      <c r="T192" t="str">
        <f t="shared" si="20"/>
        <v>Scenario 3: Strong Convenience</v>
      </c>
    </row>
    <row r="193" spans="1:20" x14ac:dyDescent="0.35">
      <c r="A193" t="s">
        <v>287</v>
      </c>
      <c r="B193" s="1">
        <v>44447</v>
      </c>
      <c r="C193">
        <v>2021</v>
      </c>
      <c r="D193">
        <v>9</v>
      </c>
      <c r="E193" t="s">
        <v>125</v>
      </c>
      <c r="F193">
        <v>91</v>
      </c>
      <c r="G193" t="s">
        <v>269</v>
      </c>
      <c r="H193" t="s">
        <v>30</v>
      </c>
      <c r="I193">
        <v>0</v>
      </c>
      <c r="J193">
        <v>0</v>
      </c>
      <c r="K193">
        <v>5.4</v>
      </c>
      <c r="L193">
        <v>2911</v>
      </c>
      <c r="M193" t="s">
        <v>17</v>
      </c>
      <c r="N193" t="str">
        <f t="shared" si="14"/>
        <v>streaming</v>
      </c>
      <c r="O193" t="str">
        <f t="shared" si="15"/>
        <v>non-original</v>
      </c>
      <c r="P193" t="str">
        <f t="shared" si="16"/>
        <v>non-franchise</v>
      </c>
      <c r="Q193" t="str">
        <f t="shared" si="17"/>
        <v>new</v>
      </c>
      <c r="R193" s="2">
        <f t="shared" si="18"/>
        <v>9.8988063310299153E-4</v>
      </c>
      <c r="S193">
        <f t="shared" si="19"/>
        <v>0.53289473684210531</v>
      </c>
      <c r="T193" t="str">
        <f t="shared" si="20"/>
        <v>Scenario 3: Strong Convenience</v>
      </c>
    </row>
    <row r="194" spans="1:20" x14ac:dyDescent="0.35">
      <c r="A194" t="s">
        <v>288</v>
      </c>
      <c r="B194" s="1">
        <v>44449</v>
      </c>
      <c r="C194">
        <v>2021</v>
      </c>
      <c r="D194">
        <v>9</v>
      </c>
      <c r="E194" t="s">
        <v>125</v>
      </c>
      <c r="F194">
        <v>106</v>
      </c>
      <c r="G194" t="s">
        <v>49</v>
      </c>
      <c r="H194" t="s">
        <v>24</v>
      </c>
      <c r="I194">
        <v>0</v>
      </c>
      <c r="J194">
        <v>0</v>
      </c>
      <c r="K194">
        <v>6.3</v>
      </c>
      <c r="L194">
        <v>76505</v>
      </c>
      <c r="M194" t="s">
        <v>88</v>
      </c>
      <c r="N194" t="str">
        <f t="shared" si="14"/>
        <v>streaming</v>
      </c>
      <c r="O194" t="str">
        <f t="shared" si="15"/>
        <v>non-original</v>
      </c>
      <c r="P194" t="str">
        <f t="shared" si="16"/>
        <v>non-franchise</v>
      </c>
      <c r="Q194" t="str">
        <f t="shared" si="17"/>
        <v>new</v>
      </c>
      <c r="R194" s="2">
        <f t="shared" si="18"/>
        <v>3.0303648119741726E-2</v>
      </c>
      <c r="S194">
        <f t="shared" si="19"/>
        <v>0.56842105263157894</v>
      </c>
      <c r="T194" t="str">
        <f t="shared" si="20"/>
        <v>Scenario 4: Hybrid Logic</v>
      </c>
    </row>
    <row r="195" spans="1:20" x14ac:dyDescent="0.35">
      <c r="A195" t="s">
        <v>289</v>
      </c>
      <c r="B195" s="1">
        <v>44449</v>
      </c>
      <c r="C195">
        <v>2021</v>
      </c>
      <c r="D195">
        <v>9</v>
      </c>
      <c r="E195" t="s">
        <v>125</v>
      </c>
      <c r="F195">
        <v>87</v>
      </c>
      <c r="G195" t="s">
        <v>19</v>
      </c>
      <c r="H195" t="s">
        <v>30</v>
      </c>
      <c r="I195">
        <v>0</v>
      </c>
      <c r="J195">
        <v>0</v>
      </c>
      <c r="K195">
        <v>4.4000000000000004</v>
      </c>
      <c r="L195">
        <v>10282</v>
      </c>
      <c r="M195" t="s">
        <v>17</v>
      </c>
      <c r="N195" t="str">
        <f t="shared" ref="N195:N258" si="21">IF(ISNUMBER(SEARCH("Streaming", M195)), "streaming", "cinema")</f>
        <v>streaming</v>
      </c>
      <c r="O195" t="str">
        <f t="shared" ref="O195:O258" si="22">IF(I195=1, "original", "non-original")</f>
        <v>non-original</v>
      </c>
      <c r="P195" t="str">
        <f t="shared" ref="P195:P258" si="23">IF(J195 = 1, "franchise", "non-franchise")</f>
        <v>non-franchise</v>
      </c>
      <c r="Q195" t="str">
        <f t="shared" ref="Q195:Q258" si="24">IF(OR(I195 = 1,J195 =1), "old", "new")</f>
        <v>new</v>
      </c>
      <c r="R195" s="2">
        <f t="shared" ref="R195:R258" si="25">IF(Q195="old", 1.5, 1) * (L195 / MAX($L$2:$L$1000)) * (F195 / MAX($F$2:$F$1000))</f>
        <v>3.3426898435723216E-3</v>
      </c>
      <c r="S195">
        <f t="shared" ref="S195:S258" si="26">IF(Q195="new", 1.5, 1) * (K195 / 10) * (1 - (F195 / MAX($F$2:$F$1000)))</f>
        <v>0.44413533834586472</v>
      </c>
      <c r="T195" t="str">
        <f t="shared" ref="T195:T258" si="27">IF(AND(R195&gt;=0.03, S195&gt;=0.5), "Scenario 4: Hybrid Logic",
 IF(AND(R195&gt;=0.03, S195&lt;0.5), "Scenario 1: Strong Commitment",
  IF(AND(R195&lt;0.03, S195&gt;=0.5), "Scenario 3: Strong Convenience",
   "Scenario 2: Weak Commitment/Convenience")))</f>
        <v>Scenario 2: Weak Commitment/Convenience</v>
      </c>
    </row>
    <row r="196" spans="1:20" x14ac:dyDescent="0.35">
      <c r="A196" t="s">
        <v>290</v>
      </c>
      <c r="B196" s="1">
        <v>44454</v>
      </c>
      <c r="C196">
        <v>2021</v>
      </c>
      <c r="D196">
        <v>9</v>
      </c>
      <c r="E196" t="s">
        <v>125</v>
      </c>
      <c r="F196">
        <v>100</v>
      </c>
      <c r="G196" t="s">
        <v>291</v>
      </c>
      <c r="H196" t="s">
        <v>16</v>
      </c>
      <c r="I196">
        <v>0</v>
      </c>
      <c r="J196">
        <v>0</v>
      </c>
      <c r="K196">
        <v>5.8</v>
      </c>
      <c r="L196">
        <v>11480</v>
      </c>
      <c r="M196" t="s">
        <v>17</v>
      </c>
      <c r="N196" t="str">
        <f t="shared" si="21"/>
        <v>streaming</v>
      </c>
      <c r="O196" t="str">
        <f t="shared" si="22"/>
        <v>non-original</v>
      </c>
      <c r="P196" t="str">
        <f t="shared" si="23"/>
        <v>non-franchise</v>
      </c>
      <c r="Q196" t="str">
        <f t="shared" si="24"/>
        <v>new</v>
      </c>
      <c r="R196" s="2">
        <f t="shared" si="25"/>
        <v>4.2898402301321413E-3</v>
      </c>
      <c r="S196">
        <f t="shared" si="26"/>
        <v>0.5429323308270676</v>
      </c>
      <c r="T196" t="str">
        <f t="shared" si="27"/>
        <v>Scenario 3: Strong Convenience</v>
      </c>
    </row>
    <row r="197" spans="1:20" x14ac:dyDescent="0.35">
      <c r="A197" t="s">
        <v>292</v>
      </c>
      <c r="B197" s="1">
        <v>44456</v>
      </c>
      <c r="C197">
        <v>2021</v>
      </c>
      <c r="D197">
        <v>9</v>
      </c>
      <c r="E197" t="s">
        <v>125</v>
      </c>
      <c r="F197">
        <v>110</v>
      </c>
      <c r="G197" t="s">
        <v>293</v>
      </c>
      <c r="H197" t="s">
        <v>30</v>
      </c>
      <c r="I197">
        <v>0</v>
      </c>
      <c r="J197">
        <v>0</v>
      </c>
      <c r="K197">
        <v>5.6</v>
      </c>
      <c r="L197">
        <v>1070</v>
      </c>
      <c r="M197" t="s">
        <v>17</v>
      </c>
      <c r="N197" t="str">
        <f t="shared" si="21"/>
        <v>streaming</v>
      </c>
      <c r="O197" t="str">
        <f t="shared" si="22"/>
        <v>non-original</v>
      </c>
      <c r="P197" t="str">
        <f t="shared" si="23"/>
        <v>non-franchise</v>
      </c>
      <c r="Q197" t="str">
        <f t="shared" si="24"/>
        <v>new</v>
      </c>
      <c r="R197" s="2">
        <f t="shared" si="25"/>
        <v>4.3982072742731099E-4</v>
      </c>
      <c r="S197">
        <f t="shared" si="26"/>
        <v>0.49263157894736842</v>
      </c>
      <c r="T197" t="str">
        <f t="shared" si="27"/>
        <v>Scenario 2: Weak Commitment/Convenience</v>
      </c>
    </row>
    <row r="198" spans="1:20" x14ac:dyDescent="0.35">
      <c r="A198" t="s">
        <v>294</v>
      </c>
      <c r="B198" s="1">
        <v>44461</v>
      </c>
      <c r="C198">
        <v>2021</v>
      </c>
      <c r="D198">
        <v>9</v>
      </c>
      <c r="E198" t="s">
        <v>125</v>
      </c>
      <c r="F198">
        <v>91</v>
      </c>
      <c r="G198" t="s">
        <v>34</v>
      </c>
      <c r="H198" t="s">
        <v>30</v>
      </c>
      <c r="I198">
        <v>0</v>
      </c>
      <c r="J198">
        <v>0</v>
      </c>
      <c r="K198">
        <v>5.3</v>
      </c>
      <c r="L198">
        <v>1603</v>
      </c>
      <c r="M198" t="s">
        <v>88</v>
      </c>
      <c r="N198" t="str">
        <f t="shared" si="21"/>
        <v>streaming</v>
      </c>
      <c r="O198" t="str">
        <f t="shared" si="22"/>
        <v>non-original</v>
      </c>
      <c r="P198" t="str">
        <f t="shared" si="23"/>
        <v>non-franchise</v>
      </c>
      <c r="Q198" t="str">
        <f t="shared" si="24"/>
        <v>new</v>
      </c>
      <c r="R198" s="2">
        <f t="shared" si="25"/>
        <v>5.450974424129494E-4</v>
      </c>
      <c r="S198">
        <f t="shared" si="26"/>
        <v>0.52302631578947378</v>
      </c>
      <c r="T198" t="str">
        <f t="shared" si="27"/>
        <v>Scenario 3: Strong Convenience</v>
      </c>
    </row>
    <row r="199" spans="1:20" x14ac:dyDescent="0.35">
      <c r="A199" t="s">
        <v>295</v>
      </c>
      <c r="B199" s="1">
        <v>44461</v>
      </c>
      <c r="C199">
        <v>2021</v>
      </c>
      <c r="D199">
        <v>9</v>
      </c>
      <c r="E199" t="s">
        <v>125</v>
      </c>
      <c r="F199">
        <v>93</v>
      </c>
      <c r="G199" t="s">
        <v>19</v>
      </c>
      <c r="H199" t="s">
        <v>30</v>
      </c>
      <c r="I199">
        <v>0</v>
      </c>
      <c r="J199">
        <v>0</v>
      </c>
      <c r="K199">
        <v>5.3</v>
      </c>
      <c r="L199">
        <v>24484</v>
      </c>
      <c r="M199" t="s">
        <v>17</v>
      </c>
      <c r="N199" t="str">
        <f t="shared" si="21"/>
        <v>streaming</v>
      </c>
      <c r="O199" t="str">
        <f t="shared" si="22"/>
        <v>non-original</v>
      </c>
      <c r="P199" t="str">
        <f t="shared" si="23"/>
        <v>non-franchise</v>
      </c>
      <c r="Q199" t="str">
        <f t="shared" si="24"/>
        <v>new</v>
      </c>
      <c r="R199" s="2">
        <f t="shared" si="25"/>
        <v>8.5087262039143276E-3</v>
      </c>
      <c r="S199">
        <f t="shared" si="26"/>
        <v>0.51704887218045115</v>
      </c>
      <c r="T199" t="str">
        <f t="shared" si="27"/>
        <v>Scenario 3: Strong Convenience</v>
      </c>
    </row>
    <row r="200" spans="1:20" x14ac:dyDescent="0.35">
      <c r="A200" t="s">
        <v>296</v>
      </c>
      <c r="B200" s="1">
        <v>44463</v>
      </c>
      <c r="C200">
        <v>2021</v>
      </c>
      <c r="D200">
        <v>9</v>
      </c>
      <c r="E200" t="s">
        <v>125</v>
      </c>
      <c r="F200">
        <v>104</v>
      </c>
      <c r="G200" t="s">
        <v>116</v>
      </c>
      <c r="H200" t="s">
        <v>27</v>
      </c>
      <c r="I200">
        <v>0</v>
      </c>
      <c r="J200">
        <v>0</v>
      </c>
      <c r="K200">
        <v>6.4</v>
      </c>
      <c r="L200">
        <v>16954</v>
      </c>
      <c r="M200" t="s">
        <v>17</v>
      </c>
      <c r="N200" t="str">
        <f t="shared" si="21"/>
        <v>streaming</v>
      </c>
      <c r="O200" t="str">
        <f t="shared" si="22"/>
        <v>non-original</v>
      </c>
      <c r="P200" t="str">
        <f t="shared" si="23"/>
        <v>non-franchise</v>
      </c>
      <c r="Q200" t="str">
        <f t="shared" si="24"/>
        <v>new</v>
      </c>
      <c r="R200" s="2">
        <f t="shared" si="25"/>
        <v>6.5887760724849063E-3</v>
      </c>
      <c r="S200">
        <f t="shared" si="26"/>
        <v>0.58466165413533833</v>
      </c>
      <c r="T200" t="str">
        <f t="shared" si="27"/>
        <v>Scenario 3: Strong Convenience</v>
      </c>
    </row>
    <row r="201" spans="1:20" x14ac:dyDescent="0.35">
      <c r="A201" t="s">
        <v>297</v>
      </c>
      <c r="B201" s="1">
        <v>44468</v>
      </c>
      <c r="C201">
        <v>2021</v>
      </c>
      <c r="D201">
        <v>9</v>
      </c>
      <c r="E201" t="s">
        <v>125</v>
      </c>
      <c r="F201">
        <v>88</v>
      </c>
      <c r="G201" t="s">
        <v>29</v>
      </c>
      <c r="H201" t="s">
        <v>30</v>
      </c>
      <c r="I201">
        <v>0</v>
      </c>
      <c r="J201">
        <v>0</v>
      </c>
      <c r="K201">
        <v>5.9</v>
      </c>
      <c r="L201">
        <v>4857</v>
      </c>
      <c r="M201" t="s">
        <v>88</v>
      </c>
      <c r="N201" t="str">
        <f t="shared" si="21"/>
        <v>streaming</v>
      </c>
      <c r="O201" t="str">
        <f t="shared" si="22"/>
        <v>non-original</v>
      </c>
      <c r="P201" t="str">
        <f t="shared" si="23"/>
        <v>non-franchise</v>
      </c>
      <c r="Q201" t="str">
        <f t="shared" si="24"/>
        <v>new</v>
      </c>
      <c r="R201" s="2">
        <f t="shared" si="25"/>
        <v>1.5971658116743547E-3</v>
      </c>
      <c r="S201">
        <f t="shared" si="26"/>
        <v>0.59221804511278209</v>
      </c>
      <c r="T201" t="str">
        <f t="shared" si="27"/>
        <v>Scenario 3: Strong Convenience</v>
      </c>
    </row>
    <row r="202" spans="1:20" x14ac:dyDescent="0.35">
      <c r="A202" t="s">
        <v>298</v>
      </c>
      <c r="B202" s="1">
        <v>44468</v>
      </c>
      <c r="C202">
        <v>2021</v>
      </c>
      <c r="D202">
        <v>9</v>
      </c>
      <c r="E202" t="s">
        <v>125</v>
      </c>
      <c r="F202">
        <v>85</v>
      </c>
      <c r="G202" t="s">
        <v>92</v>
      </c>
      <c r="H202" t="s">
        <v>24</v>
      </c>
      <c r="I202">
        <v>0</v>
      </c>
      <c r="J202">
        <v>0</v>
      </c>
      <c r="K202">
        <v>5.4</v>
      </c>
      <c r="L202">
        <v>24348</v>
      </c>
      <c r="M202" t="s">
        <v>17</v>
      </c>
      <c r="N202" t="str">
        <f t="shared" si="21"/>
        <v>streaming</v>
      </c>
      <c r="O202" t="str">
        <f t="shared" si="22"/>
        <v>non-original</v>
      </c>
      <c r="P202" t="str">
        <f t="shared" si="23"/>
        <v>non-franchise</v>
      </c>
      <c r="Q202" t="str">
        <f t="shared" si="24"/>
        <v>new</v>
      </c>
      <c r="R202" s="2">
        <f t="shared" si="25"/>
        <v>7.7335954211471053E-3</v>
      </c>
      <c r="S202">
        <f t="shared" si="26"/>
        <v>0.55116541353383464</v>
      </c>
      <c r="T202" t="str">
        <f t="shared" si="27"/>
        <v>Scenario 3: Strong Convenience</v>
      </c>
    </row>
    <row r="203" spans="1:20" x14ac:dyDescent="0.35">
      <c r="A203" t="s">
        <v>299</v>
      </c>
      <c r="B203" s="1">
        <v>44468</v>
      </c>
      <c r="C203">
        <v>2021</v>
      </c>
      <c r="D203">
        <v>9</v>
      </c>
      <c r="E203" t="s">
        <v>125</v>
      </c>
      <c r="F203">
        <v>110</v>
      </c>
      <c r="G203" t="s">
        <v>29</v>
      </c>
      <c r="H203" t="s">
        <v>30</v>
      </c>
      <c r="I203">
        <v>0</v>
      </c>
      <c r="J203">
        <v>0</v>
      </c>
      <c r="K203">
        <v>5.4</v>
      </c>
      <c r="L203">
        <v>3013</v>
      </c>
      <c r="M203" t="s">
        <v>17</v>
      </c>
      <c r="N203" t="str">
        <f t="shared" si="21"/>
        <v>streaming</v>
      </c>
      <c r="O203" t="str">
        <f t="shared" si="22"/>
        <v>non-original</v>
      </c>
      <c r="P203" t="str">
        <f t="shared" si="23"/>
        <v>non-franchise</v>
      </c>
      <c r="Q203" t="str">
        <f t="shared" si="24"/>
        <v>new</v>
      </c>
      <c r="R203" s="2">
        <f t="shared" si="25"/>
        <v>1.2384858427462503E-3</v>
      </c>
      <c r="S203">
        <f t="shared" si="26"/>
        <v>0.47503759398496248</v>
      </c>
      <c r="T203" t="str">
        <f t="shared" si="27"/>
        <v>Scenario 2: Weak Commitment/Convenience</v>
      </c>
    </row>
    <row r="204" spans="1:20" x14ac:dyDescent="0.35">
      <c r="A204" t="s">
        <v>300</v>
      </c>
      <c r="B204" s="1">
        <v>44470</v>
      </c>
      <c r="C204">
        <v>2021</v>
      </c>
      <c r="D204">
        <v>10</v>
      </c>
      <c r="E204" t="s">
        <v>125</v>
      </c>
      <c r="F204">
        <v>90</v>
      </c>
      <c r="G204" t="s">
        <v>19</v>
      </c>
      <c r="H204" t="s">
        <v>24</v>
      </c>
      <c r="I204">
        <v>0</v>
      </c>
      <c r="J204">
        <v>0</v>
      </c>
      <c r="K204">
        <v>5.6</v>
      </c>
      <c r="L204">
        <v>1827</v>
      </c>
      <c r="M204" t="s">
        <v>17</v>
      </c>
      <c r="N204" t="str">
        <f t="shared" si="21"/>
        <v>streaming</v>
      </c>
      <c r="O204" t="str">
        <f t="shared" si="22"/>
        <v>non-original</v>
      </c>
      <c r="P204" t="str">
        <f t="shared" si="23"/>
        <v>non-franchise</v>
      </c>
      <c r="Q204" t="str">
        <f t="shared" si="24"/>
        <v>new</v>
      </c>
      <c r="R204" s="2">
        <f t="shared" si="25"/>
        <v>6.144411402792926E-4</v>
      </c>
      <c r="S204">
        <f t="shared" si="26"/>
        <v>0.55578947368421039</v>
      </c>
      <c r="T204" t="str">
        <f t="shared" si="27"/>
        <v>Scenario 3: Strong Convenience</v>
      </c>
    </row>
    <row r="205" spans="1:20" x14ac:dyDescent="0.35">
      <c r="A205" t="s">
        <v>301</v>
      </c>
      <c r="B205" s="1">
        <v>44470</v>
      </c>
      <c r="C205">
        <v>2021</v>
      </c>
      <c r="D205">
        <v>10</v>
      </c>
      <c r="E205" t="s">
        <v>125</v>
      </c>
      <c r="F205">
        <v>128</v>
      </c>
      <c r="G205" t="s">
        <v>34</v>
      </c>
      <c r="H205" t="s">
        <v>30</v>
      </c>
      <c r="I205">
        <v>0</v>
      </c>
      <c r="J205">
        <v>0</v>
      </c>
      <c r="K205">
        <v>4.0999999999999996</v>
      </c>
      <c r="L205">
        <v>246</v>
      </c>
      <c r="M205" t="s">
        <v>17</v>
      </c>
      <c r="N205" t="str">
        <f t="shared" si="21"/>
        <v>streaming</v>
      </c>
      <c r="O205" t="str">
        <f t="shared" si="22"/>
        <v>non-original</v>
      </c>
      <c r="P205" t="str">
        <f t="shared" si="23"/>
        <v>non-franchise</v>
      </c>
      <c r="Q205" t="str">
        <f t="shared" si="24"/>
        <v>new</v>
      </c>
      <c r="R205" s="2">
        <f t="shared" si="25"/>
        <v>1.1766418916933873E-4</v>
      </c>
      <c r="S205">
        <f t="shared" si="26"/>
        <v>0.31906015037593988</v>
      </c>
      <c r="T205" t="str">
        <f t="shared" si="27"/>
        <v>Scenario 2: Weak Commitment/Convenience</v>
      </c>
    </row>
    <row r="206" spans="1:20" x14ac:dyDescent="0.35">
      <c r="A206" t="s">
        <v>302</v>
      </c>
      <c r="B206" s="1">
        <v>44470</v>
      </c>
      <c r="C206">
        <v>2021</v>
      </c>
      <c r="D206">
        <v>10</v>
      </c>
      <c r="E206" t="s">
        <v>125</v>
      </c>
      <c r="F206">
        <v>91</v>
      </c>
      <c r="G206" t="s">
        <v>19</v>
      </c>
      <c r="H206" t="s">
        <v>24</v>
      </c>
      <c r="I206">
        <v>1</v>
      </c>
      <c r="J206">
        <v>1</v>
      </c>
      <c r="K206">
        <v>6.3</v>
      </c>
      <c r="L206">
        <v>173014</v>
      </c>
      <c r="M206" t="s">
        <v>88</v>
      </c>
      <c r="N206" t="str">
        <f t="shared" si="21"/>
        <v>streaming</v>
      </c>
      <c r="O206" t="str">
        <f t="shared" si="22"/>
        <v>original</v>
      </c>
      <c r="P206" t="str">
        <f t="shared" si="23"/>
        <v>franchise</v>
      </c>
      <c r="Q206" t="str">
        <f t="shared" si="24"/>
        <v>old</v>
      </c>
      <c r="R206" s="2">
        <f t="shared" si="25"/>
        <v>8.8249677699595158E-2</v>
      </c>
      <c r="S206">
        <f t="shared" si="26"/>
        <v>0.41447368421052633</v>
      </c>
      <c r="T206" t="str">
        <f t="shared" si="27"/>
        <v>Scenario 1: Strong Commitment</v>
      </c>
    </row>
    <row r="207" spans="1:20" x14ac:dyDescent="0.35">
      <c r="A207" t="s">
        <v>303</v>
      </c>
      <c r="B207" s="1">
        <v>44475</v>
      </c>
      <c r="C207">
        <v>2021</v>
      </c>
      <c r="D207">
        <v>10</v>
      </c>
      <c r="E207" t="s">
        <v>125</v>
      </c>
      <c r="F207">
        <v>96</v>
      </c>
      <c r="G207" t="s">
        <v>304</v>
      </c>
      <c r="H207" t="s">
        <v>16</v>
      </c>
      <c r="I207">
        <v>0</v>
      </c>
      <c r="J207">
        <v>0</v>
      </c>
      <c r="K207">
        <v>4.9000000000000004</v>
      </c>
      <c r="L207">
        <v>22332</v>
      </c>
      <c r="M207" t="s">
        <v>17</v>
      </c>
      <c r="N207" t="str">
        <f t="shared" si="21"/>
        <v>streaming</v>
      </c>
      <c r="O207" t="str">
        <f t="shared" si="22"/>
        <v>non-original</v>
      </c>
      <c r="P207" t="str">
        <f t="shared" si="23"/>
        <v>non-franchise</v>
      </c>
      <c r="Q207" t="str">
        <f t="shared" si="24"/>
        <v>new</v>
      </c>
      <c r="R207" s="2">
        <f t="shared" si="25"/>
        <v>8.011209367468514E-3</v>
      </c>
      <c r="S207">
        <f t="shared" si="26"/>
        <v>0.46973684210526323</v>
      </c>
      <c r="T207" t="str">
        <f t="shared" si="27"/>
        <v>Scenario 2: Weak Commitment/Convenience</v>
      </c>
    </row>
    <row r="208" spans="1:20" x14ac:dyDescent="0.35">
      <c r="A208" t="s">
        <v>305</v>
      </c>
      <c r="B208" s="1">
        <v>44477</v>
      </c>
      <c r="C208">
        <v>2021</v>
      </c>
      <c r="D208">
        <v>10</v>
      </c>
      <c r="E208" t="s">
        <v>125</v>
      </c>
      <c r="F208">
        <v>106</v>
      </c>
      <c r="G208" t="s">
        <v>19</v>
      </c>
      <c r="H208" t="s">
        <v>30</v>
      </c>
      <c r="I208">
        <v>0</v>
      </c>
      <c r="J208">
        <v>0</v>
      </c>
      <c r="K208">
        <v>5.5</v>
      </c>
      <c r="L208">
        <v>5216</v>
      </c>
      <c r="M208" t="s">
        <v>88</v>
      </c>
      <c r="N208" t="str">
        <f t="shared" si="21"/>
        <v>streaming</v>
      </c>
      <c r="O208" t="str">
        <f t="shared" si="22"/>
        <v>non-original</v>
      </c>
      <c r="P208" t="str">
        <f t="shared" si="23"/>
        <v>non-franchise</v>
      </c>
      <c r="Q208" t="str">
        <f t="shared" si="24"/>
        <v>new</v>
      </c>
      <c r="R208" s="2">
        <f t="shared" si="25"/>
        <v>2.0660588012884496E-3</v>
      </c>
      <c r="S208">
        <f t="shared" si="26"/>
        <v>0.49624060150375943</v>
      </c>
      <c r="T208" t="str">
        <f t="shared" si="27"/>
        <v>Scenario 2: Weak Commitment/Convenience</v>
      </c>
    </row>
    <row r="209" spans="1:20" x14ac:dyDescent="0.35">
      <c r="A209" t="s">
        <v>306</v>
      </c>
      <c r="B209" s="1">
        <v>44477</v>
      </c>
      <c r="C209">
        <v>2021</v>
      </c>
      <c r="D209">
        <v>10</v>
      </c>
      <c r="E209" t="s">
        <v>125</v>
      </c>
      <c r="F209">
        <v>110</v>
      </c>
      <c r="G209" t="s">
        <v>34</v>
      </c>
      <c r="H209" t="s">
        <v>30</v>
      </c>
      <c r="I209">
        <v>0</v>
      </c>
      <c r="J209">
        <v>0</v>
      </c>
      <c r="K209">
        <v>6.1</v>
      </c>
      <c r="L209">
        <v>1294</v>
      </c>
      <c r="M209" t="s">
        <v>17</v>
      </c>
      <c r="N209" t="str">
        <f t="shared" si="21"/>
        <v>streaming</v>
      </c>
      <c r="O209" t="str">
        <f t="shared" si="22"/>
        <v>non-original</v>
      </c>
      <c r="P209" t="str">
        <f t="shared" si="23"/>
        <v>non-franchise</v>
      </c>
      <c r="Q209" t="str">
        <f t="shared" si="24"/>
        <v>new</v>
      </c>
      <c r="R209" s="2">
        <f t="shared" si="25"/>
        <v>5.3189534700087888E-4</v>
      </c>
      <c r="S209">
        <f t="shared" si="26"/>
        <v>0.53661654135338355</v>
      </c>
      <c r="T209" t="str">
        <f t="shared" si="27"/>
        <v>Scenario 3: Strong Convenience</v>
      </c>
    </row>
    <row r="210" spans="1:20" x14ac:dyDescent="0.35">
      <c r="A210" t="s">
        <v>307</v>
      </c>
      <c r="B210" s="1">
        <v>44481</v>
      </c>
      <c r="C210">
        <v>2021</v>
      </c>
      <c r="D210">
        <v>10</v>
      </c>
      <c r="E210" t="s">
        <v>125</v>
      </c>
      <c r="F210">
        <v>80</v>
      </c>
      <c r="G210" t="s">
        <v>308</v>
      </c>
      <c r="H210" t="s">
        <v>27</v>
      </c>
      <c r="I210">
        <v>0</v>
      </c>
      <c r="J210">
        <v>0</v>
      </c>
      <c r="K210">
        <v>5.5</v>
      </c>
      <c r="L210">
        <v>1253</v>
      </c>
      <c r="M210" t="s">
        <v>17</v>
      </c>
      <c r="N210" t="str">
        <f t="shared" si="21"/>
        <v>streaming</v>
      </c>
      <c r="O210" t="str">
        <f t="shared" si="22"/>
        <v>non-original</v>
      </c>
      <c r="P210" t="str">
        <f t="shared" si="23"/>
        <v>non-franchise</v>
      </c>
      <c r="Q210" t="str">
        <f t="shared" si="24"/>
        <v>new</v>
      </c>
      <c r="R210" s="2">
        <f t="shared" si="25"/>
        <v>3.7457629326519669E-4</v>
      </c>
      <c r="S210">
        <f t="shared" si="26"/>
        <v>0.57687969924812033</v>
      </c>
      <c r="T210" t="str">
        <f t="shared" si="27"/>
        <v>Scenario 3: Strong Convenience</v>
      </c>
    </row>
    <row r="211" spans="1:20" x14ac:dyDescent="0.35">
      <c r="A211" t="s">
        <v>309</v>
      </c>
      <c r="B211" s="1">
        <v>44482</v>
      </c>
      <c r="C211">
        <v>2021</v>
      </c>
      <c r="D211">
        <v>10</v>
      </c>
      <c r="E211" t="s">
        <v>125</v>
      </c>
      <c r="F211">
        <v>93</v>
      </c>
      <c r="G211" t="s">
        <v>34</v>
      </c>
      <c r="H211" t="s">
        <v>24</v>
      </c>
      <c r="I211">
        <v>0</v>
      </c>
      <c r="J211">
        <v>0</v>
      </c>
      <c r="K211">
        <v>5.4</v>
      </c>
      <c r="L211">
        <v>2686</v>
      </c>
      <c r="M211" t="s">
        <v>17</v>
      </c>
      <c r="N211" t="str">
        <f t="shared" si="21"/>
        <v>streaming</v>
      </c>
      <c r="O211" t="str">
        <f t="shared" si="22"/>
        <v>non-original</v>
      </c>
      <c r="P211" t="str">
        <f t="shared" si="23"/>
        <v>non-franchise</v>
      </c>
      <c r="Q211" t="str">
        <f t="shared" si="24"/>
        <v>new</v>
      </c>
      <c r="R211" s="2">
        <f t="shared" si="25"/>
        <v>9.3344382387330015E-4</v>
      </c>
      <c r="S211">
        <f t="shared" si="26"/>
        <v>0.5268045112781955</v>
      </c>
      <c r="T211" t="str">
        <f t="shared" si="27"/>
        <v>Scenario 3: Strong Convenience</v>
      </c>
    </row>
    <row r="212" spans="1:20" x14ac:dyDescent="0.35">
      <c r="A212" t="s">
        <v>310</v>
      </c>
      <c r="B212" s="1">
        <v>44482</v>
      </c>
      <c r="C212">
        <v>2021</v>
      </c>
      <c r="D212">
        <v>10</v>
      </c>
      <c r="E212" t="s">
        <v>125</v>
      </c>
      <c r="F212">
        <v>112</v>
      </c>
      <c r="G212" t="s">
        <v>34</v>
      </c>
      <c r="H212" t="s">
        <v>30</v>
      </c>
      <c r="I212">
        <v>0</v>
      </c>
      <c r="J212">
        <v>0</v>
      </c>
      <c r="K212">
        <v>6.8</v>
      </c>
      <c r="L212">
        <v>4984</v>
      </c>
      <c r="M212" t="s">
        <v>17</v>
      </c>
      <c r="N212" t="str">
        <f t="shared" si="21"/>
        <v>streaming</v>
      </c>
      <c r="O212" t="str">
        <f t="shared" si="22"/>
        <v>non-original</v>
      </c>
      <c r="P212" t="str">
        <f t="shared" si="23"/>
        <v>non-franchise</v>
      </c>
      <c r="Q212" t="str">
        <f t="shared" si="24"/>
        <v>new</v>
      </c>
      <c r="R212" s="2">
        <f t="shared" si="25"/>
        <v>2.0859086543393744E-3</v>
      </c>
      <c r="S212">
        <f t="shared" si="26"/>
        <v>0.59052631578947368</v>
      </c>
      <c r="T212" t="str">
        <f t="shared" si="27"/>
        <v>Scenario 3: Strong Convenience</v>
      </c>
    </row>
    <row r="213" spans="1:20" x14ac:dyDescent="0.35">
      <c r="A213" t="s">
        <v>311</v>
      </c>
      <c r="B213" s="1">
        <v>44483</v>
      </c>
      <c r="C213">
        <v>2021</v>
      </c>
      <c r="D213">
        <v>10</v>
      </c>
      <c r="E213" t="s">
        <v>125</v>
      </c>
      <c r="F213">
        <v>107</v>
      </c>
      <c r="G213" t="s">
        <v>312</v>
      </c>
      <c r="H213" t="s">
        <v>30</v>
      </c>
      <c r="I213">
        <v>0</v>
      </c>
      <c r="J213">
        <v>0</v>
      </c>
      <c r="K213">
        <v>3.9</v>
      </c>
      <c r="L213">
        <v>484</v>
      </c>
      <c r="M213" t="s">
        <v>17</v>
      </c>
      <c r="N213" t="str">
        <f t="shared" si="21"/>
        <v>streaming</v>
      </c>
      <c r="O213" t="str">
        <f t="shared" si="22"/>
        <v>non-original</v>
      </c>
      <c r="P213" t="str">
        <f t="shared" si="23"/>
        <v>non-franchise</v>
      </c>
      <c r="Q213" t="str">
        <f t="shared" si="24"/>
        <v>new</v>
      </c>
      <c r="R213" s="2">
        <f t="shared" si="25"/>
        <v>1.9352112006801683E-4</v>
      </c>
      <c r="S213">
        <f t="shared" si="26"/>
        <v>0.34968045112781954</v>
      </c>
      <c r="T213" t="str">
        <f t="shared" si="27"/>
        <v>Scenario 2: Weak Commitment/Convenience</v>
      </c>
    </row>
    <row r="214" spans="1:20" x14ac:dyDescent="0.35">
      <c r="A214" t="s">
        <v>313</v>
      </c>
      <c r="B214" s="1">
        <v>44484</v>
      </c>
      <c r="C214">
        <v>2021</v>
      </c>
      <c r="D214">
        <v>10</v>
      </c>
      <c r="E214" t="s">
        <v>125</v>
      </c>
      <c r="F214">
        <v>88</v>
      </c>
      <c r="G214" t="s">
        <v>21</v>
      </c>
      <c r="H214" t="s">
        <v>30</v>
      </c>
      <c r="I214">
        <v>0</v>
      </c>
      <c r="J214">
        <v>0</v>
      </c>
      <c r="K214">
        <v>5.4</v>
      </c>
      <c r="L214">
        <v>1683</v>
      </c>
      <c r="M214" t="s">
        <v>17</v>
      </c>
      <c r="N214" t="str">
        <f t="shared" si="21"/>
        <v>streaming</v>
      </c>
      <c r="O214" t="str">
        <f t="shared" si="22"/>
        <v>non-original</v>
      </c>
      <c r="P214" t="str">
        <f t="shared" si="23"/>
        <v>non-franchise</v>
      </c>
      <c r="Q214" t="str">
        <f t="shared" si="24"/>
        <v>new</v>
      </c>
      <c r="R214" s="2">
        <f t="shared" si="25"/>
        <v>5.5343423122255282E-4</v>
      </c>
      <c r="S214">
        <f t="shared" si="26"/>
        <v>0.54203007518796997</v>
      </c>
      <c r="T214" t="str">
        <f t="shared" si="27"/>
        <v>Scenario 3: Strong Convenience</v>
      </c>
    </row>
    <row r="215" spans="1:20" x14ac:dyDescent="0.35">
      <c r="A215" t="s">
        <v>314</v>
      </c>
      <c r="B215" s="1">
        <v>44489</v>
      </c>
      <c r="C215">
        <v>2021</v>
      </c>
      <c r="D215">
        <v>10</v>
      </c>
      <c r="E215" t="s">
        <v>125</v>
      </c>
      <c r="F215">
        <v>108</v>
      </c>
      <c r="G215" t="s">
        <v>19</v>
      </c>
      <c r="H215" t="s">
        <v>24</v>
      </c>
      <c r="I215">
        <v>0</v>
      </c>
      <c r="J215">
        <v>0</v>
      </c>
      <c r="K215">
        <v>5.7</v>
      </c>
      <c r="L215">
        <v>24208</v>
      </c>
      <c r="M215" t="s">
        <v>17</v>
      </c>
      <c r="N215" t="str">
        <f t="shared" si="21"/>
        <v>streaming</v>
      </c>
      <c r="O215" t="str">
        <f t="shared" si="22"/>
        <v>non-original</v>
      </c>
      <c r="P215" t="str">
        <f t="shared" si="23"/>
        <v>non-franchise</v>
      </c>
      <c r="Q215" t="str">
        <f t="shared" si="24"/>
        <v>new</v>
      </c>
      <c r="R215" s="2">
        <f t="shared" si="25"/>
        <v>9.7697150238956424E-3</v>
      </c>
      <c r="S215">
        <f t="shared" si="26"/>
        <v>0.5078571428571429</v>
      </c>
      <c r="T215" t="str">
        <f t="shared" si="27"/>
        <v>Scenario 3: Strong Convenience</v>
      </c>
    </row>
    <row r="216" spans="1:20" x14ac:dyDescent="0.35">
      <c r="A216" t="s">
        <v>315</v>
      </c>
      <c r="B216" s="1">
        <v>44489</v>
      </c>
      <c r="C216">
        <v>2021</v>
      </c>
      <c r="D216">
        <v>10</v>
      </c>
      <c r="E216" t="s">
        <v>125</v>
      </c>
      <c r="F216">
        <v>126</v>
      </c>
      <c r="G216" t="s">
        <v>21</v>
      </c>
      <c r="H216" t="s">
        <v>30</v>
      </c>
      <c r="I216">
        <v>0</v>
      </c>
      <c r="J216">
        <v>0</v>
      </c>
      <c r="K216">
        <v>6.3</v>
      </c>
      <c r="L216">
        <v>8439</v>
      </c>
      <c r="M216" t="s">
        <v>88</v>
      </c>
      <c r="N216" t="str">
        <f t="shared" si="21"/>
        <v>streaming</v>
      </c>
      <c r="O216" t="str">
        <f t="shared" si="22"/>
        <v>non-original</v>
      </c>
      <c r="P216" t="str">
        <f t="shared" si="23"/>
        <v>non-franchise</v>
      </c>
      <c r="Q216" t="str">
        <f t="shared" si="24"/>
        <v>new</v>
      </c>
      <c r="R216" s="2">
        <f t="shared" si="25"/>
        <v>3.9733860404727595E-3</v>
      </c>
      <c r="S216">
        <f t="shared" si="26"/>
        <v>0.49736842105263168</v>
      </c>
      <c r="T216" t="str">
        <f t="shared" si="27"/>
        <v>Scenario 2: Weak Commitment/Convenience</v>
      </c>
    </row>
    <row r="217" spans="1:20" x14ac:dyDescent="0.35">
      <c r="A217" t="s">
        <v>316</v>
      </c>
      <c r="B217" s="1">
        <v>44491</v>
      </c>
      <c r="C217">
        <v>2021</v>
      </c>
      <c r="D217">
        <v>10</v>
      </c>
      <c r="E217" t="s">
        <v>125</v>
      </c>
      <c r="F217">
        <v>94</v>
      </c>
      <c r="G217" t="s">
        <v>29</v>
      </c>
      <c r="H217" t="s">
        <v>30</v>
      </c>
      <c r="I217">
        <v>0</v>
      </c>
      <c r="J217">
        <v>0</v>
      </c>
      <c r="K217">
        <v>4.3</v>
      </c>
      <c r="L217">
        <v>228</v>
      </c>
      <c r="M217" t="s">
        <v>17</v>
      </c>
      <c r="N217" t="str">
        <f t="shared" si="21"/>
        <v>streaming</v>
      </c>
      <c r="O217" t="str">
        <f t="shared" si="22"/>
        <v>non-original</v>
      </c>
      <c r="P217" t="str">
        <f t="shared" si="23"/>
        <v>non-franchise</v>
      </c>
      <c r="Q217" t="str">
        <f t="shared" si="24"/>
        <v>new</v>
      </c>
      <c r="R217" s="2">
        <f t="shared" si="25"/>
        <v>8.0086982414801438E-5</v>
      </c>
      <c r="S217">
        <f t="shared" si="26"/>
        <v>0.41706766917293236</v>
      </c>
      <c r="T217" t="str">
        <f t="shared" si="27"/>
        <v>Scenario 2: Weak Commitment/Convenience</v>
      </c>
    </row>
    <row r="218" spans="1:20" x14ac:dyDescent="0.35">
      <c r="A218" t="s">
        <v>317</v>
      </c>
      <c r="B218" s="1">
        <v>44496</v>
      </c>
      <c r="C218">
        <v>2021</v>
      </c>
      <c r="D218">
        <v>10</v>
      </c>
      <c r="E218" t="s">
        <v>125</v>
      </c>
      <c r="F218">
        <v>89</v>
      </c>
      <c r="G218" t="s">
        <v>19</v>
      </c>
      <c r="H218" t="s">
        <v>30</v>
      </c>
      <c r="I218">
        <v>0</v>
      </c>
      <c r="J218">
        <v>0</v>
      </c>
      <c r="K218">
        <v>5.3</v>
      </c>
      <c r="L218">
        <v>22061</v>
      </c>
      <c r="M218" t="s">
        <v>17</v>
      </c>
      <c r="N218" t="str">
        <f t="shared" si="21"/>
        <v>streaming</v>
      </c>
      <c r="O218" t="str">
        <f t="shared" si="22"/>
        <v>non-original</v>
      </c>
      <c r="P218" t="str">
        <f t="shared" si="23"/>
        <v>non-franchise</v>
      </c>
      <c r="Q218" t="str">
        <f t="shared" si="24"/>
        <v>new</v>
      </c>
      <c r="R218" s="2">
        <f t="shared" si="25"/>
        <v>7.3369309348502781E-3</v>
      </c>
      <c r="S218">
        <f t="shared" si="26"/>
        <v>0.52900375939849631</v>
      </c>
      <c r="T218" t="str">
        <f t="shared" si="27"/>
        <v>Scenario 3: Strong Convenience</v>
      </c>
    </row>
    <row r="219" spans="1:20" x14ac:dyDescent="0.35">
      <c r="A219" t="s">
        <v>318</v>
      </c>
      <c r="B219" s="1">
        <v>44498</v>
      </c>
      <c r="C219">
        <v>2021</v>
      </c>
      <c r="D219">
        <v>10</v>
      </c>
      <c r="E219" t="s">
        <v>125</v>
      </c>
      <c r="F219">
        <v>129</v>
      </c>
      <c r="G219" t="s">
        <v>319</v>
      </c>
      <c r="H219" t="s">
        <v>24</v>
      </c>
      <c r="I219">
        <v>0</v>
      </c>
      <c r="J219">
        <v>0</v>
      </c>
      <c r="K219">
        <v>6.4</v>
      </c>
      <c r="L219">
        <v>97270</v>
      </c>
      <c r="M219" t="s">
        <v>88</v>
      </c>
      <c r="N219" t="str">
        <f t="shared" si="21"/>
        <v>streaming</v>
      </c>
      <c r="O219" t="str">
        <f t="shared" si="22"/>
        <v>non-original</v>
      </c>
      <c r="P219" t="str">
        <f t="shared" si="23"/>
        <v>non-franchise</v>
      </c>
      <c r="Q219" t="str">
        <f t="shared" si="24"/>
        <v>new</v>
      </c>
      <c r="R219" s="2">
        <f t="shared" si="25"/>
        <v>4.6888663706323157E-2</v>
      </c>
      <c r="S219">
        <f t="shared" si="26"/>
        <v>0.4944360902255639</v>
      </c>
      <c r="T219" t="str">
        <f t="shared" si="27"/>
        <v>Scenario 1: Strong Commitment</v>
      </c>
    </row>
    <row r="220" spans="1:20" x14ac:dyDescent="0.35">
      <c r="A220" t="s">
        <v>320</v>
      </c>
      <c r="B220" s="1">
        <v>44503</v>
      </c>
      <c r="C220">
        <v>2021</v>
      </c>
      <c r="D220">
        <v>11</v>
      </c>
      <c r="E220" t="s">
        <v>125</v>
      </c>
      <c r="F220">
        <v>139</v>
      </c>
      <c r="G220" t="s">
        <v>321</v>
      </c>
      <c r="H220" t="s">
        <v>24</v>
      </c>
      <c r="I220">
        <v>0</v>
      </c>
      <c r="J220">
        <v>0</v>
      </c>
      <c r="K220">
        <v>6.6</v>
      </c>
      <c r="L220">
        <v>77109</v>
      </c>
      <c r="M220" t="s">
        <v>17</v>
      </c>
      <c r="N220" t="str">
        <f t="shared" si="21"/>
        <v>streaming</v>
      </c>
      <c r="O220" t="str">
        <f t="shared" si="22"/>
        <v>non-original</v>
      </c>
      <c r="P220" t="str">
        <f t="shared" si="23"/>
        <v>non-franchise</v>
      </c>
      <c r="Q220" t="str">
        <f t="shared" si="24"/>
        <v>new</v>
      </c>
      <c r="R220" s="2">
        <f t="shared" si="25"/>
        <v>4.0051529052640276E-2</v>
      </c>
      <c r="S220">
        <f t="shared" si="26"/>
        <v>0.47266917293233074</v>
      </c>
      <c r="T220" t="str">
        <f t="shared" si="27"/>
        <v>Scenario 1: Strong Commitment</v>
      </c>
    </row>
    <row r="221" spans="1:20" x14ac:dyDescent="0.35">
      <c r="A221" t="s">
        <v>322</v>
      </c>
      <c r="B221" s="1">
        <v>44505</v>
      </c>
      <c r="C221">
        <v>2021</v>
      </c>
      <c r="D221">
        <v>11</v>
      </c>
      <c r="E221" t="s">
        <v>125</v>
      </c>
      <c r="F221">
        <v>106</v>
      </c>
      <c r="G221" t="s">
        <v>29</v>
      </c>
      <c r="H221" t="s">
        <v>30</v>
      </c>
      <c r="I221">
        <v>0</v>
      </c>
      <c r="J221">
        <v>0</v>
      </c>
      <c r="K221">
        <v>6.3</v>
      </c>
      <c r="L221">
        <v>68436</v>
      </c>
      <c r="M221" t="s">
        <v>88</v>
      </c>
      <c r="N221" t="str">
        <f t="shared" si="21"/>
        <v>streaming</v>
      </c>
      <c r="O221" t="str">
        <f t="shared" si="22"/>
        <v>non-original</v>
      </c>
      <c r="P221" t="str">
        <f t="shared" si="23"/>
        <v>non-franchise</v>
      </c>
      <c r="Q221" t="str">
        <f t="shared" si="24"/>
        <v>new</v>
      </c>
      <c r="R221" s="2">
        <f t="shared" si="25"/>
        <v>2.7107515361383498E-2</v>
      </c>
      <c r="S221">
        <f t="shared" si="26"/>
        <v>0.56842105263157894</v>
      </c>
      <c r="T221" t="str">
        <f t="shared" si="27"/>
        <v>Scenario 3: Strong Convenience</v>
      </c>
    </row>
    <row r="222" spans="1:20" x14ac:dyDescent="0.35">
      <c r="A222" t="s">
        <v>323</v>
      </c>
      <c r="B222" s="1">
        <v>44505</v>
      </c>
      <c r="C222">
        <v>2021</v>
      </c>
      <c r="D222">
        <v>11</v>
      </c>
      <c r="E222" t="s">
        <v>125</v>
      </c>
      <c r="F222">
        <v>141</v>
      </c>
      <c r="G222" t="s">
        <v>29</v>
      </c>
      <c r="H222" t="s">
        <v>30</v>
      </c>
      <c r="I222">
        <v>0</v>
      </c>
      <c r="J222">
        <v>0</v>
      </c>
      <c r="K222">
        <v>6.6</v>
      </c>
      <c r="L222">
        <v>18995</v>
      </c>
      <c r="M222" t="s">
        <v>17</v>
      </c>
      <c r="N222" t="str">
        <f t="shared" si="21"/>
        <v>streaming</v>
      </c>
      <c r="O222" t="str">
        <f t="shared" si="22"/>
        <v>non-original</v>
      </c>
      <c r="P222" t="str">
        <f t="shared" si="23"/>
        <v>non-franchise</v>
      </c>
      <c r="Q222" t="str">
        <f t="shared" si="24"/>
        <v>new</v>
      </c>
      <c r="R222" s="2">
        <f t="shared" si="25"/>
        <v>1.0008238361639167E-2</v>
      </c>
      <c r="S222">
        <f t="shared" si="26"/>
        <v>0.46522556390977438</v>
      </c>
      <c r="T222" t="str">
        <f t="shared" si="27"/>
        <v>Scenario 2: Weak Commitment/Convenience</v>
      </c>
    </row>
    <row r="223" spans="1:20" x14ac:dyDescent="0.35">
      <c r="A223" t="s">
        <v>324</v>
      </c>
      <c r="B223" s="1">
        <v>44505</v>
      </c>
      <c r="C223">
        <v>2021</v>
      </c>
      <c r="D223">
        <v>11</v>
      </c>
      <c r="E223" t="s">
        <v>125</v>
      </c>
      <c r="F223">
        <v>124</v>
      </c>
      <c r="G223" t="s">
        <v>34</v>
      </c>
      <c r="H223" t="s">
        <v>30</v>
      </c>
      <c r="I223">
        <v>0</v>
      </c>
      <c r="J223">
        <v>0</v>
      </c>
      <c r="K223">
        <v>6.5</v>
      </c>
      <c r="L223">
        <v>1203</v>
      </c>
      <c r="M223" t="s">
        <v>17</v>
      </c>
      <c r="N223" t="str">
        <f t="shared" si="21"/>
        <v>streaming</v>
      </c>
      <c r="O223" t="str">
        <f t="shared" si="22"/>
        <v>non-original</v>
      </c>
      <c r="P223" t="str">
        <f t="shared" si="23"/>
        <v>non-franchise</v>
      </c>
      <c r="Q223" t="str">
        <f t="shared" si="24"/>
        <v>new</v>
      </c>
      <c r="R223" s="2">
        <f t="shared" si="25"/>
        <v>5.5742512788264085E-4</v>
      </c>
      <c r="S223">
        <f t="shared" si="26"/>
        <v>0.52048872180451133</v>
      </c>
      <c r="T223" t="str">
        <f t="shared" si="27"/>
        <v>Scenario 3: Strong Convenience</v>
      </c>
    </row>
    <row r="224" spans="1:20" x14ac:dyDescent="0.35">
      <c r="A224" t="s">
        <v>325</v>
      </c>
      <c r="B224" s="1">
        <v>44505</v>
      </c>
      <c r="C224">
        <v>2021</v>
      </c>
      <c r="D224">
        <v>11</v>
      </c>
      <c r="E224" t="s">
        <v>125</v>
      </c>
      <c r="F224">
        <v>96</v>
      </c>
      <c r="G224" t="s">
        <v>34</v>
      </c>
      <c r="H224" t="s">
        <v>30</v>
      </c>
      <c r="I224">
        <v>0</v>
      </c>
      <c r="J224">
        <v>0</v>
      </c>
      <c r="K224">
        <v>6.3</v>
      </c>
      <c r="L224">
        <v>7447</v>
      </c>
      <c r="M224" t="s">
        <v>88</v>
      </c>
      <c r="N224" t="str">
        <f t="shared" si="21"/>
        <v>streaming</v>
      </c>
      <c r="O224" t="str">
        <f t="shared" si="22"/>
        <v>non-original</v>
      </c>
      <c r="P224" t="str">
        <f t="shared" si="23"/>
        <v>non-franchise</v>
      </c>
      <c r="Q224" t="str">
        <f t="shared" si="24"/>
        <v>new</v>
      </c>
      <c r="R224" s="2">
        <f t="shared" si="25"/>
        <v>2.671479319341663E-3</v>
      </c>
      <c r="S224">
        <f t="shared" si="26"/>
        <v>0.60394736842105268</v>
      </c>
      <c r="T224" t="str">
        <f t="shared" si="27"/>
        <v>Scenario 3: Strong Convenience</v>
      </c>
    </row>
    <row r="225" spans="1:20" x14ac:dyDescent="0.35">
      <c r="A225" t="s">
        <v>326</v>
      </c>
      <c r="B225" s="1">
        <v>44507</v>
      </c>
      <c r="C225">
        <v>2021</v>
      </c>
      <c r="D225">
        <v>11</v>
      </c>
      <c r="E225" t="s">
        <v>125</v>
      </c>
      <c r="F225">
        <v>105</v>
      </c>
      <c r="G225" t="s">
        <v>21</v>
      </c>
      <c r="H225" t="s">
        <v>30</v>
      </c>
      <c r="I225">
        <v>0</v>
      </c>
      <c r="J225">
        <v>0</v>
      </c>
      <c r="K225">
        <v>4.5999999999999996</v>
      </c>
      <c r="L225">
        <v>8240</v>
      </c>
      <c r="M225" t="s">
        <v>17</v>
      </c>
      <c r="N225" t="str">
        <f t="shared" si="21"/>
        <v>streaming</v>
      </c>
      <c r="O225" t="str">
        <f t="shared" si="22"/>
        <v>non-original</v>
      </c>
      <c r="P225" t="str">
        <f t="shared" si="23"/>
        <v>non-franchise</v>
      </c>
      <c r="Q225" t="str">
        <f t="shared" si="24"/>
        <v>new</v>
      </c>
      <c r="R225" s="2">
        <f t="shared" si="25"/>
        <v>3.2330747100264181E-3</v>
      </c>
      <c r="S225">
        <f t="shared" si="26"/>
        <v>0.41763157894736841</v>
      </c>
      <c r="T225" t="str">
        <f t="shared" si="27"/>
        <v>Scenario 2: Weak Commitment/Convenience</v>
      </c>
    </row>
    <row r="226" spans="1:20" x14ac:dyDescent="0.35">
      <c r="A226" t="s">
        <v>327</v>
      </c>
      <c r="B226" s="1">
        <v>44510</v>
      </c>
      <c r="C226">
        <v>2021</v>
      </c>
      <c r="D226">
        <v>11</v>
      </c>
      <c r="E226" t="s">
        <v>125</v>
      </c>
      <c r="F226">
        <v>99</v>
      </c>
      <c r="G226" t="s">
        <v>90</v>
      </c>
      <c r="H226" t="s">
        <v>24</v>
      </c>
      <c r="I226">
        <v>0</v>
      </c>
      <c r="J226">
        <v>1</v>
      </c>
      <c r="K226">
        <v>4.7</v>
      </c>
      <c r="L226">
        <v>221</v>
      </c>
      <c r="M226" t="s">
        <v>17</v>
      </c>
      <c r="N226" t="str">
        <f t="shared" si="21"/>
        <v>streaming</v>
      </c>
      <c r="O226" t="str">
        <f t="shared" si="22"/>
        <v>non-original</v>
      </c>
      <c r="P226" t="str">
        <f t="shared" si="23"/>
        <v>franchise</v>
      </c>
      <c r="Q226" t="str">
        <f t="shared" si="24"/>
        <v>old</v>
      </c>
      <c r="R226" s="2">
        <f t="shared" si="25"/>
        <v>1.2263599441863387E-4</v>
      </c>
      <c r="S226">
        <f t="shared" si="26"/>
        <v>0.29507518796992488</v>
      </c>
      <c r="T226" t="str">
        <f t="shared" si="27"/>
        <v>Scenario 2: Weak Commitment/Convenience</v>
      </c>
    </row>
    <row r="227" spans="1:20" x14ac:dyDescent="0.35">
      <c r="A227" t="s">
        <v>328</v>
      </c>
      <c r="B227" s="1">
        <v>44510</v>
      </c>
      <c r="C227">
        <v>2021</v>
      </c>
      <c r="D227">
        <v>11</v>
      </c>
      <c r="E227" t="s">
        <v>125</v>
      </c>
      <c r="F227">
        <v>99</v>
      </c>
      <c r="G227" t="s">
        <v>34</v>
      </c>
      <c r="H227" t="s">
        <v>27</v>
      </c>
      <c r="I227">
        <v>0</v>
      </c>
      <c r="J227">
        <v>0</v>
      </c>
      <c r="K227">
        <v>6.6</v>
      </c>
      <c r="L227">
        <v>17588</v>
      </c>
      <c r="M227" t="s">
        <v>17</v>
      </c>
      <c r="N227" t="str">
        <f t="shared" si="21"/>
        <v>streaming</v>
      </c>
      <c r="O227" t="str">
        <f t="shared" si="22"/>
        <v>non-original</v>
      </c>
      <c r="P227" t="str">
        <f t="shared" si="23"/>
        <v>non-franchise</v>
      </c>
      <c r="Q227" t="str">
        <f t="shared" si="24"/>
        <v>new</v>
      </c>
      <c r="R227" s="2">
        <f t="shared" si="25"/>
        <v>6.5065516435442909E-3</v>
      </c>
      <c r="S227">
        <f t="shared" si="26"/>
        <v>0.62154135338345862</v>
      </c>
      <c r="T227" t="str">
        <f t="shared" si="27"/>
        <v>Scenario 3: Strong Convenience</v>
      </c>
    </row>
    <row r="228" spans="1:20" x14ac:dyDescent="0.35">
      <c r="A228" t="s">
        <v>329</v>
      </c>
      <c r="B228" s="1">
        <v>44511</v>
      </c>
      <c r="C228">
        <v>2021</v>
      </c>
      <c r="D228">
        <v>11</v>
      </c>
      <c r="E228" t="s">
        <v>125</v>
      </c>
      <c r="F228">
        <v>94</v>
      </c>
      <c r="G228" t="s">
        <v>34</v>
      </c>
      <c r="H228" t="s">
        <v>30</v>
      </c>
      <c r="I228">
        <v>0</v>
      </c>
      <c r="J228">
        <v>0</v>
      </c>
      <c r="K228">
        <v>7.1</v>
      </c>
      <c r="L228">
        <v>10310</v>
      </c>
      <c r="M228" t="s">
        <v>17</v>
      </c>
      <c r="N228" t="str">
        <f t="shared" si="21"/>
        <v>streaming</v>
      </c>
      <c r="O228" t="str">
        <f t="shared" si="22"/>
        <v>non-original</v>
      </c>
      <c r="P228" t="str">
        <f t="shared" si="23"/>
        <v>non-franchise</v>
      </c>
      <c r="Q228" t="str">
        <f t="shared" si="24"/>
        <v>new</v>
      </c>
      <c r="R228" s="2">
        <f t="shared" si="25"/>
        <v>3.621477143406153E-3</v>
      </c>
      <c r="S228">
        <f t="shared" si="26"/>
        <v>0.6886466165413534</v>
      </c>
      <c r="T228" t="str">
        <f t="shared" si="27"/>
        <v>Scenario 3: Strong Convenience</v>
      </c>
    </row>
    <row r="229" spans="1:20" x14ac:dyDescent="0.35">
      <c r="A229" t="s">
        <v>330</v>
      </c>
      <c r="B229" s="1">
        <v>44512</v>
      </c>
      <c r="C229">
        <v>2021</v>
      </c>
      <c r="D229">
        <v>11</v>
      </c>
      <c r="E229" t="s">
        <v>125</v>
      </c>
      <c r="F229">
        <v>117</v>
      </c>
      <c r="G229" t="s">
        <v>41</v>
      </c>
      <c r="H229" t="s">
        <v>27</v>
      </c>
      <c r="I229">
        <v>0</v>
      </c>
      <c r="J229">
        <v>0</v>
      </c>
      <c r="K229">
        <v>6.3</v>
      </c>
      <c r="L229">
        <v>351936</v>
      </c>
      <c r="M229" t="s">
        <v>88</v>
      </c>
      <c r="N229" t="str">
        <f t="shared" si="21"/>
        <v>streaming</v>
      </c>
      <c r="O229" t="str">
        <f t="shared" si="22"/>
        <v>non-original</v>
      </c>
      <c r="P229" t="str">
        <f t="shared" si="23"/>
        <v>non-franchise</v>
      </c>
      <c r="Q229" t="str">
        <f t="shared" si="24"/>
        <v>new</v>
      </c>
      <c r="R229" s="2">
        <f t="shared" si="25"/>
        <v>0.15386816874052167</v>
      </c>
      <c r="S229">
        <f t="shared" si="26"/>
        <v>0.52934210526315795</v>
      </c>
      <c r="T229" t="str">
        <f t="shared" si="27"/>
        <v>Scenario 4: Hybrid Logic</v>
      </c>
    </row>
    <row r="230" spans="1:20" x14ac:dyDescent="0.35">
      <c r="A230" t="s">
        <v>331</v>
      </c>
      <c r="B230" s="1">
        <v>44518</v>
      </c>
      <c r="C230">
        <v>2021</v>
      </c>
      <c r="D230">
        <v>11</v>
      </c>
      <c r="E230" t="s">
        <v>125</v>
      </c>
      <c r="F230">
        <v>94</v>
      </c>
      <c r="G230" t="s">
        <v>29</v>
      </c>
      <c r="H230" t="s">
        <v>30</v>
      </c>
      <c r="I230">
        <v>0</v>
      </c>
      <c r="J230">
        <v>0</v>
      </c>
      <c r="K230">
        <v>5.5</v>
      </c>
      <c r="L230">
        <v>1408</v>
      </c>
      <c r="M230" t="s">
        <v>17</v>
      </c>
      <c r="N230" t="str">
        <f t="shared" si="21"/>
        <v>streaming</v>
      </c>
      <c r="O230" t="str">
        <f t="shared" si="22"/>
        <v>non-original</v>
      </c>
      <c r="P230" t="str">
        <f t="shared" si="23"/>
        <v>non-franchise</v>
      </c>
      <c r="Q230" t="str">
        <f t="shared" si="24"/>
        <v>new</v>
      </c>
      <c r="R230" s="2">
        <f t="shared" si="25"/>
        <v>4.9457224228087904E-4</v>
      </c>
      <c r="S230">
        <f t="shared" si="26"/>
        <v>0.53345864661654141</v>
      </c>
      <c r="T230" t="str">
        <f t="shared" si="27"/>
        <v>Scenario 3: Strong Convenience</v>
      </c>
    </row>
    <row r="231" spans="1:20" x14ac:dyDescent="0.35">
      <c r="A231" t="s">
        <v>332</v>
      </c>
      <c r="B231" s="1">
        <v>44519</v>
      </c>
      <c r="C231">
        <v>2021</v>
      </c>
      <c r="D231">
        <v>11</v>
      </c>
      <c r="E231" t="s">
        <v>125</v>
      </c>
      <c r="F231">
        <v>104</v>
      </c>
      <c r="G231" t="s">
        <v>49</v>
      </c>
      <c r="H231" t="s">
        <v>30</v>
      </c>
      <c r="I231">
        <v>1</v>
      </c>
      <c r="J231">
        <v>1</v>
      </c>
      <c r="K231">
        <v>6.7</v>
      </c>
      <c r="L231">
        <v>43940</v>
      </c>
      <c r="M231" t="s">
        <v>17</v>
      </c>
      <c r="N231" t="str">
        <f t="shared" si="21"/>
        <v>streaming</v>
      </c>
      <c r="O231" t="str">
        <f t="shared" si="22"/>
        <v>original</v>
      </c>
      <c r="P231" t="str">
        <f t="shared" si="23"/>
        <v>franchise</v>
      </c>
      <c r="Q231" t="str">
        <f t="shared" si="24"/>
        <v>old</v>
      </c>
      <c r="R231" s="2">
        <f t="shared" si="25"/>
        <v>2.5614381912084476E-2</v>
      </c>
      <c r="S231">
        <f t="shared" si="26"/>
        <v>0.40804511278195493</v>
      </c>
      <c r="T231" t="str">
        <f t="shared" si="27"/>
        <v>Scenario 2: Weak Commitment/Convenience</v>
      </c>
    </row>
    <row r="232" spans="1:20" x14ac:dyDescent="0.35">
      <c r="A232" t="s">
        <v>333</v>
      </c>
      <c r="B232" s="1">
        <v>44519</v>
      </c>
      <c r="C232">
        <v>2021</v>
      </c>
      <c r="D232">
        <v>11</v>
      </c>
      <c r="E232" t="s">
        <v>125</v>
      </c>
      <c r="F232">
        <v>124</v>
      </c>
      <c r="G232" t="s">
        <v>34</v>
      </c>
      <c r="H232" t="s">
        <v>30</v>
      </c>
      <c r="I232">
        <v>0</v>
      </c>
      <c r="J232">
        <v>0</v>
      </c>
      <c r="K232">
        <v>7</v>
      </c>
      <c r="L232">
        <v>3582</v>
      </c>
      <c r="M232" t="s">
        <v>17</v>
      </c>
      <c r="N232" t="str">
        <f t="shared" si="21"/>
        <v>streaming</v>
      </c>
      <c r="O232" t="str">
        <f t="shared" si="22"/>
        <v>non-original</v>
      </c>
      <c r="P232" t="str">
        <f t="shared" si="23"/>
        <v>non-franchise</v>
      </c>
      <c r="Q232" t="str">
        <f t="shared" si="24"/>
        <v>new</v>
      </c>
      <c r="R232" s="2">
        <f t="shared" si="25"/>
        <v>1.6597645952415791E-3</v>
      </c>
      <c r="S232">
        <f t="shared" si="26"/>
        <v>0.56052631578947365</v>
      </c>
      <c r="T232" t="str">
        <f t="shared" si="27"/>
        <v>Scenario 3: Strong Convenience</v>
      </c>
    </row>
    <row r="233" spans="1:20" x14ac:dyDescent="0.35">
      <c r="A233" t="s">
        <v>334</v>
      </c>
      <c r="B233" s="1">
        <v>44519</v>
      </c>
      <c r="C233">
        <v>2021</v>
      </c>
      <c r="D233">
        <v>11</v>
      </c>
      <c r="E233" t="s">
        <v>125</v>
      </c>
      <c r="F233">
        <v>115</v>
      </c>
      <c r="G233" t="s">
        <v>188</v>
      </c>
      <c r="H233" t="s">
        <v>27</v>
      </c>
      <c r="I233">
        <v>0</v>
      </c>
      <c r="J233">
        <v>0</v>
      </c>
      <c r="K233">
        <v>7.5</v>
      </c>
      <c r="L233">
        <v>128041</v>
      </c>
      <c r="M233" t="s">
        <v>17</v>
      </c>
      <c r="N233" t="str">
        <f t="shared" si="21"/>
        <v>streaming</v>
      </c>
      <c r="O233" t="str">
        <f t="shared" si="22"/>
        <v>non-original</v>
      </c>
      <c r="P233" t="str">
        <f t="shared" si="23"/>
        <v>non-franchise</v>
      </c>
      <c r="Q233" t="str">
        <f t="shared" si="24"/>
        <v>new</v>
      </c>
      <c r="R233" s="2">
        <f t="shared" si="25"/>
        <v>5.5023235874764979E-2</v>
      </c>
      <c r="S233">
        <f t="shared" si="26"/>
        <v>0.63862781954887227</v>
      </c>
      <c r="T233" t="str">
        <f t="shared" si="27"/>
        <v>Scenario 4: Hybrid Logic</v>
      </c>
    </row>
    <row r="234" spans="1:20" x14ac:dyDescent="0.35">
      <c r="A234" t="s">
        <v>335</v>
      </c>
      <c r="B234" s="1">
        <v>44526</v>
      </c>
      <c r="C234">
        <v>2021</v>
      </c>
      <c r="D234">
        <v>11</v>
      </c>
      <c r="E234" t="s">
        <v>125</v>
      </c>
      <c r="F234">
        <v>99</v>
      </c>
      <c r="G234" t="s">
        <v>29</v>
      </c>
      <c r="H234" t="s">
        <v>86</v>
      </c>
      <c r="I234">
        <v>0</v>
      </c>
      <c r="J234">
        <v>0</v>
      </c>
      <c r="K234">
        <v>5.6</v>
      </c>
      <c r="L234">
        <v>17240</v>
      </c>
      <c r="M234" t="s">
        <v>17</v>
      </c>
      <c r="N234" t="str">
        <f t="shared" si="21"/>
        <v>streaming</v>
      </c>
      <c r="O234" t="str">
        <f t="shared" si="22"/>
        <v>non-original</v>
      </c>
      <c r="P234" t="str">
        <f t="shared" si="23"/>
        <v>non-franchise</v>
      </c>
      <c r="Q234" t="str">
        <f t="shared" si="24"/>
        <v>new</v>
      </c>
      <c r="R234" s="2">
        <f t="shared" si="25"/>
        <v>6.3778115951048202E-3</v>
      </c>
      <c r="S234">
        <f t="shared" si="26"/>
        <v>0.52736842105263149</v>
      </c>
      <c r="T234" t="str">
        <f t="shared" si="27"/>
        <v>Scenario 3: Strong Convenience</v>
      </c>
    </row>
    <row r="235" spans="1:20" x14ac:dyDescent="0.35">
      <c r="A235" t="s">
        <v>336</v>
      </c>
      <c r="B235" s="1">
        <v>44531</v>
      </c>
      <c r="C235">
        <v>2021</v>
      </c>
      <c r="D235">
        <v>12</v>
      </c>
      <c r="E235" t="s">
        <v>14</v>
      </c>
      <c r="F235">
        <v>128</v>
      </c>
      <c r="G235" t="s">
        <v>34</v>
      </c>
      <c r="H235" t="s">
        <v>24</v>
      </c>
      <c r="I235">
        <v>0</v>
      </c>
      <c r="J235">
        <v>0</v>
      </c>
      <c r="K235">
        <v>6.8</v>
      </c>
      <c r="L235">
        <v>221465</v>
      </c>
      <c r="M235" t="s">
        <v>17</v>
      </c>
      <c r="N235" t="str">
        <f t="shared" si="21"/>
        <v>streaming</v>
      </c>
      <c r="O235" t="str">
        <f t="shared" si="22"/>
        <v>non-original</v>
      </c>
      <c r="P235" t="str">
        <f t="shared" si="23"/>
        <v>non-franchise</v>
      </c>
      <c r="Q235" t="str">
        <f t="shared" si="24"/>
        <v>new</v>
      </c>
      <c r="R235" s="2">
        <f t="shared" si="25"/>
        <v>0.10592886038368943</v>
      </c>
      <c r="S235">
        <f t="shared" si="26"/>
        <v>0.52917293233082707</v>
      </c>
      <c r="T235" t="str">
        <f t="shared" si="27"/>
        <v>Scenario 4: Hybrid Logic</v>
      </c>
    </row>
    <row r="236" spans="1:20" x14ac:dyDescent="0.35">
      <c r="A236" t="s">
        <v>337</v>
      </c>
      <c r="B236" s="1">
        <v>44532</v>
      </c>
      <c r="C236">
        <v>2021</v>
      </c>
      <c r="D236">
        <v>12</v>
      </c>
      <c r="E236" t="s">
        <v>14</v>
      </c>
      <c r="F236">
        <v>101</v>
      </c>
      <c r="G236" t="s">
        <v>338</v>
      </c>
      <c r="H236" t="s">
        <v>30</v>
      </c>
      <c r="I236">
        <v>0</v>
      </c>
      <c r="J236">
        <v>0</v>
      </c>
      <c r="K236">
        <v>6.2</v>
      </c>
      <c r="L236">
        <v>21789</v>
      </c>
      <c r="M236" t="s">
        <v>17</v>
      </c>
      <c r="N236" t="str">
        <f t="shared" si="21"/>
        <v>streaming</v>
      </c>
      <c r="O236" t="str">
        <f t="shared" si="22"/>
        <v>non-original</v>
      </c>
      <c r="P236" t="str">
        <f t="shared" si="23"/>
        <v>non-franchise</v>
      </c>
      <c r="Q236" t="str">
        <f t="shared" si="24"/>
        <v>new</v>
      </c>
      <c r="R236" s="2">
        <f t="shared" si="25"/>
        <v>8.2235228277084248E-3</v>
      </c>
      <c r="S236">
        <f t="shared" si="26"/>
        <v>0.57687969924812021</v>
      </c>
      <c r="T236" t="str">
        <f t="shared" si="27"/>
        <v>Scenario 3: Strong Convenience</v>
      </c>
    </row>
    <row r="237" spans="1:20" x14ac:dyDescent="0.35">
      <c r="A237" t="s">
        <v>339</v>
      </c>
      <c r="B237" s="1">
        <v>44532</v>
      </c>
      <c r="C237">
        <v>2021</v>
      </c>
      <c r="D237">
        <v>12</v>
      </c>
      <c r="E237" t="s">
        <v>14</v>
      </c>
      <c r="F237">
        <v>125</v>
      </c>
      <c r="G237" t="s">
        <v>92</v>
      </c>
      <c r="H237" t="s">
        <v>24</v>
      </c>
      <c r="I237">
        <v>0</v>
      </c>
      <c r="J237">
        <v>0</v>
      </c>
      <c r="K237">
        <v>5.3</v>
      </c>
      <c r="L237">
        <v>5084</v>
      </c>
      <c r="M237" t="s">
        <v>88</v>
      </c>
      <c r="N237" t="str">
        <f t="shared" si="21"/>
        <v>streaming</v>
      </c>
      <c r="O237" t="str">
        <f t="shared" si="22"/>
        <v>non-original</v>
      </c>
      <c r="P237" t="str">
        <f t="shared" si="23"/>
        <v>non-franchise</v>
      </c>
      <c r="Q237" t="str">
        <f t="shared" si="24"/>
        <v>new</v>
      </c>
      <c r="R237" s="2">
        <f t="shared" si="25"/>
        <v>2.3747329845374356E-3</v>
      </c>
      <c r="S237">
        <f t="shared" si="26"/>
        <v>0.42140977443609023</v>
      </c>
      <c r="T237" t="str">
        <f t="shared" si="27"/>
        <v>Scenario 2: Weak Commitment/Convenience</v>
      </c>
    </row>
    <row r="238" spans="1:20" x14ac:dyDescent="0.35">
      <c r="A238" t="s">
        <v>340</v>
      </c>
      <c r="B238" s="1">
        <v>44533</v>
      </c>
      <c r="C238">
        <v>2021</v>
      </c>
      <c r="D238">
        <v>12</v>
      </c>
      <c r="E238" t="s">
        <v>14</v>
      </c>
      <c r="F238">
        <v>97</v>
      </c>
      <c r="G238" t="s">
        <v>341</v>
      </c>
      <c r="H238" t="s">
        <v>30</v>
      </c>
      <c r="I238">
        <v>0</v>
      </c>
      <c r="J238">
        <v>0</v>
      </c>
      <c r="K238">
        <v>6.6</v>
      </c>
      <c r="L238">
        <v>4513</v>
      </c>
      <c r="M238" t="s">
        <v>17</v>
      </c>
      <c r="N238" t="str">
        <f t="shared" si="21"/>
        <v>streaming</v>
      </c>
      <c r="O238" t="str">
        <f t="shared" si="22"/>
        <v>non-original</v>
      </c>
      <c r="P238" t="str">
        <f t="shared" si="23"/>
        <v>non-franchise</v>
      </c>
      <c r="Q238" t="str">
        <f t="shared" si="24"/>
        <v>new</v>
      </c>
      <c r="R238" s="2">
        <f t="shared" si="25"/>
        <v>1.6358229520756762E-3</v>
      </c>
      <c r="S238">
        <f t="shared" si="26"/>
        <v>0.62898496240601498</v>
      </c>
      <c r="T238" t="str">
        <f t="shared" si="27"/>
        <v>Scenario 3: Strong Convenience</v>
      </c>
    </row>
    <row r="239" spans="1:20" x14ac:dyDescent="0.35">
      <c r="A239" t="s">
        <v>342</v>
      </c>
      <c r="B239" s="1">
        <v>44536</v>
      </c>
      <c r="C239">
        <v>2021</v>
      </c>
      <c r="D239">
        <v>12</v>
      </c>
      <c r="E239" t="s">
        <v>14</v>
      </c>
      <c r="F239">
        <v>106</v>
      </c>
      <c r="G239" t="s">
        <v>343</v>
      </c>
      <c r="H239" t="s">
        <v>30</v>
      </c>
      <c r="I239">
        <v>0</v>
      </c>
      <c r="J239">
        <v>0</v>
      </c>
      <c r="K239">
        <v>5.3</v>
      </c>
      <c r="L239">
        <v>1034</v>
      </c>
      <c r="M239" t="s">
        <v>17</v>
      </c>
      <c r="N239" t="str">
        <f t="shared" si="21"/>
        <v>streaming</v>
      </c>
      <c r="O239" t="str">
        <f t="shared" si="22"/>
        <v>non-original</v>
      </c>
      <c r="P239" t="str">
        <f t="shared" si="23"/>
        <v>non-franchise</v>
      </c>
      <c r="Q239" t="str">
        <f t="shared" si="24"/>
        <v>new</v>
      </c>
      <c r="R239" s="2">
        <f t="shared" si="25"/>
        <v>4.0956763813885296E-4</v>
      </c>
      <c r="S239">
        <f t="shared" si="26"/>
        <v>0.47819548872180451</v>
      </c>
      <c r="T239" t="str">
        <f t="shared" si="27"/>
        <v>Scenario 2: Weak Commitment/Convenience</v>
      </c>
    </row>
    <row r="240" spans="1:20" x14ac:dyDescent="0.35">
      <c r="A240" t="s">
        <v>344</v>
      </c>
      <c r="B240" s="1">
        <v>44537</v>
      </c>
      <c r="C240">
        <v>2021</v>
      </c>
      <c r="D240">
        <v>12</v>
      </c>
      <c r="E240" t="s">
        <v>14</v>
      </c>
      <c r="F240">
        <v>97</v>
      </c>
      <c r="G240" t="s">
        <v>343</v>
      </c>
      <c r="H240" t="s">
        <v>30</v>
      </c>
      <c r="I240">
        <v>0</v>
      </c>
      <c r="J240">
        <v>0</v>
      </c>
      <c r="K240">
        <v>5.6</v>
      </c>
      <c r="L240">
        <v>1240</v>
      </c>
      <c r="M240" t="s">
        <v>17</v>
      </c>
      <c r="N240" t="str">
        <f t="shared" si="21"/>
        <v>streaming</v>
      </c>
      <c r="O240" t="str">
        <f t="shared" si="22"/>
        <v>non-original</v>
      </c>
      <c r="P240" t="str">
        <f t="shared" si="23"/>
        <v>non-franchise</v>
      </c>
      <c r="Q240" t="str">
        <f t="shared" si="24"/>
        <v>new</v>
      </c>
      <c r="R240" s="2">
        <f t="shared" si="25"/>
        <v>4.4946165756123166E-4</v>
      </c>
      <c r="S240">
        <f t="shared" si="26"/>
        <v>0.53368421052631565</v>
      </c>
      <c r="T240" t="str">
        <f t="shared" si="27"/>
        <v>Scenario 3: Strong Convenience</v>
      </c>
    </row>
    <row r="241" spans="1:20" x14ac:dyDescent="0.35">
      <c r="A241" t="s">
        <v>345</v>
      </c>
      <c r="B241" s="1">
        <v>44539</v>
      </c>
      <c r="C241">
        <v>2021</v>
      </c>
      <c r="D241">
        <v>12</v>
      </c>
      <c r="E241" t="s">
        <v>14</v>
      </c>
      <c r="F241">
        <v>123</v>
      </c>
      <c r="G241" t="s">
        <v>34</v>
      </c>
      <c r="H241" t="s">
        <v>30</v>
      </c>
      <c r="I241">
        <v>0</v>
      </c>
      <c r="J241">
        <v>0</v>
      </c>
      <c r="K241">
        <v>7.2</v>
      </c>
      <c r="L241">
        <v>2007</v>
      </c>
      <c r="M241" t="s">
        <v>17</v>
      </c>
      <c r="N241" t="str">
        <f t="shared" si="21"/>
        <v>streaming</v>
      </c>
      <c r="O241" t="str">
        <f t="shared" si="22"/>
        <v>non-original</v>
      </c>
      <c r="P241" t="str">
        <f t="shared" si="23"/>
        <v>non-franchise</v>
      </c>
      <c r="Q241" t="str">
        <f t="shared" si="24"/>
        <v>new</v>
      </c>
      <c r="R241" s="2">
        <f t="shared" si="25"/>
        <v>9.2246885805805795E-4</v>
      </c>
      <c r="S241">
        <f t="shared" si="26"/>
        <v>0.58060150375939856</v>
      </c>
      <c r="T241" t="str">
        <f t="shared" si="27"/>
        <v>Scenario 3: Strong Convenience</v>
      </c>
    </row>
    <row r="242" spans="1:20" x14ac:dyDescent="0.35">
      <c r="A242" t="s">
        <v>346</v>
      </c>
      <c r="B242" s="1">
        <v>44540</v>
      </c>
      <c r="C242">
        <v>2021</v>
      </c>
      <c r="D242">
        <v>12</v>
      </c>
      <c r="E242" t="s">
        <v>14</v>
      </c>
      <c r="F242">
        <v>101</v>
      </c>
      <c r="G242" t="s">
        <v>29</v>
      </c>
      <c r="H242" t="s">
        <v>24</v>
      </c>
      <c r="I242">
        <v>0</v>
      </c>
      <c r="J242">
        <v>0</v>
      </c>
      <c r="K242">
        <v>5.8</v>
      </c>
      <c r="L242">
        <v>2776</v>
      </c>
      <c r="M242" t="s">
        <v>88</v>
      </c>
      <c r="N242" t="str">
        <f t="shared" si="21"/>
        <v>streaming</v>
      </c>
      <c r="O242" t="str">
        <f t="shared" si="22"/>
        <v>non-original</v>
      </c>
      <c r="P242" t="str">
        <f t="shared" si="23"/>
        <v>non-franchise</v>
      </c>
      <c r="Q242" t="str">
        <f t="shared" si="24"/>
        <v>new</v>
      </c>
      <c r="R242" s="2">
        <f t="shared" si="25"/>
        <v>1.0477075299333879E-3</v>
      </c>
      <c r="S242">
        <f t="shared" si="26"/>
        <v>0.53966165413533829</v>
      </c>
      <c r="T242" t="str">
        <f t="shared" si="27"/>
        <v>Scenario 3: Strong Convenience</v>
      </c>
    </row>
    <row r="243" spans="1:20" x14ac:dyDescent="0.35">
      <c r="A243" t="s">
        <v>347</v>
      </c>
      <c r="B243" s="1">
        <v>44540</v>
      </c>
      <c r="C243">
        <v>2021</v>
      </c>
      <c r="D243">
        <v>12</v>
      </c>
      <c r="E243" t="s">
        <v>14</v>
      </c>
      <c r="F243">
        <v>95</v>
      </c>
      <c r="G243" t="s">
        <v>348</v>
      </c>
      <c r="H243" t="s">
        <v>56</v>
      </c>
      <c r="I243">
        <v>0</v>
      </c>
      <c r="J243">
        <v>0</v>
      </c>
      <c r="K243">
        <v>6.5</v>
      </c>
      <c r="L243">
        <v>12321</v>
      </c>
      <c r="M243" t="s">
        <v>88</v>
      </c>
      <c r="N243" t="str">
        <f t="shared" si="21"/>
        <v>streaming</v>
      </c>
      <c r="O243" t="str">
        <f t="shared" si="22"/>
        <v>non-original</v>
      </c>
      <c r="P243" t="str">
        <f t="shared" si="23"/>
        <v>non-franchise</v>
      </c>
      <c r="Q243" t="str">
        <f t="shared" si="24"/>
        <v>new</v>
      </c>
      <c r="R243" s="2">
        <f t="shared" si="25"/>
        <v>4.3738994252339024E-3</v>
      </c>
      <c r="S243">
        <f t="shared" si="26"/>
        <v>0.62678571428571428</v>
      </c>
      <c r="T243" t="str">
        <f t="shared" si="27"/>
        <v>Scenario 3: Strong Convenience</v>
      </c>
    </row>
    <row r="244" spans="1:20" x14ac:dyDescent="0.35">
      <c r="A244" t="s">
        <v>349</v>
      </c>
      <c r="B244" s="1">
        <v>44540</v>
      </c>
      <c r="C244">
        <v>2021</v>
      </c>
      <c r="D244">
        <v>12</v>
      </c>
      <c r="E244" t="s">
        <v>14</v>
      </c>
      <c r="F244">
        <v>114</v>
      </c>
      <c r="G244" t="s">
        <v>34</v>
      </c>
      <c r="H244" t="s">
        <v>24</v>
      </c>
      <c r="I244">
        <v>0</v>
      </c>
      <c r="J244">
        <v>0</v>
      </c>
      <c r="K244">
        <v>7.2</v>
      </c>
      <c r="L244">
        <v>127401</v>
      </c>
      <c r="M244" t="s">
        <v>88</v>
      </c>
      <c r="N244" t="str">
        <f t="shared" si="21"/>
        <v>streaming</v>
      </c>
      <c r="O244" t="str">
        <f t="shared" si="22"/>
        <v>non-original</v>
      </c>
      <c r="P244" t="str">
        <f t="shared" si="23"/>
        <v>non-franchise</v>
      </c>
      <c r="Q244" t="str">
        <f t="shared" si="24"/>
        <v>new</v>
      </c>
      <c r="R244" s="2">
        <f t="shared" si="25"/>
        <v>5.4272136418234675E-2</v>
      </c>
      <c r="S244">
        <f t="shared" si="26"/>
        <v>0.6171428571428571</v>
      </c>
      <c r="T244" t="str">
        <f t="shared" si="27"/>
        <v>Scenario 4: Hybrid Logic</v>
      </c>
    </row>
    <row r="245" spans="1:20" x14ac:dyDescent="0.35">
      <c r="A245" t="s">
        <v>350</v>
      </c>
      <c r="B245" s="1">
        <v>44545</v>
      </c>
      <c r="C245">
        <v>2021</v>
      </c>
      <c r="D245">
        <v>12</v>
      </c>
      <c r="E245" t="s">
        <v>14</v>
      </c>
      <c r="F245">
        <v>130</v>
      </c>
      <c r="G245" t="s">
        <v>34</v>
      </c>
      <c r="H245" t="s">
        <v>24</v>
      </c>
      <c r="I245">
        <v>0</v>
      </c>
      <c r="J245">
        <v>0</v>
      </c>
      <c r="K245">
        <v>7.3</v>
      </c>
      <c r="L245">
        <v>53929</v>
      </c>
      <c r="M245" t="s">
        <v>17</v>
      </c>
      <c r="N245" t="str">
        <f t="shared" si="21"/>
        <v>streaming</v>
      </c>
      <c r="O245" t="str">
        <f t="shared" si="22"/>
        <v>non-original</v>
      </c>
      <c r="P245" t="str">
        <f t="shared" si="23"/>
        <v>non-franchise</v>
      </c>
      <c r="Q245" t="str">
        <f t="shared" si="24"/>
        <v>new</v>
      </c>
      <c r="R245" s="2">
        <f t="shared" si="25"/>
        <v>2.6197807656971699E-2</v>
      </c>
      <c r="S245">
        <f t="shared" si="26"/>
        <v>0.55984962406015037</v>
      </c>
      <c r="T245" t="str">
        <f t="shared" si="27"/>
        <v>Scenario 3: Strong Convenience</v>
      </c>
    </row>
    <row r="246" spans="1:20" x14ac:dyDescent="0.35">
      <c r="A246" t="s">
        <v>351</v>
      </c>
      <c r="B246" s="1">
        <v>44546</v>
      </c>
      <c r="C246">
        <v>2021</v>
      </c>
      <c r="D246">
        <v>12</v>
      </c>
      <c r="E246" t="s">
        <v>14</v>
      </c>
      <c r="F246">
        <v>121</v>
      </c>
      <c r="G246" t="s">
        <v>29</v>
      </c>
      <c r="H246" t="s">
        <v>30</v>
      </c>
      <c r="I246">
        <v>0</v>
      </c>
      <c r="J246">
        <v>0</v>
      </c>
      <c r="K246">
        <v>5</v>
      </c>
      <c r="L246">
        <v>499</v>
      </c>
      <c r="M246" t="s">
        <v>17</v>
      </c>
      <c r="N246" t="str">
        <f t="shared" si="21"/>
        <v>streaming</v>
      </c>
      <c r="O246" t="str">
        <f t="shared" si="22"/>
        <v>non-original</v>
      </c>
      <c r="P246" t="str">
        <f t="shared" si="23"/>
        <v>non-franchise</v>
      </c>
      <c r="Q246" t="str">
        <f t="shared" si="24"/>
        <v>new</v>
      </c>
      <c r="R246" s="2">
        <f t="shared" si="25"/>
        <v>2.2562392269612241E-4</v>
      </c>
      <c r="S246">
        <f t="shared" si="26"/>
        <v>0.40883458646616544</v>
      </c>
      <c r="T246" t="str">
        <f t="shared" si="27"/>
        <v>Scenario 2: Weak Commitment/Convenience</v>
      </c>
    </row>
    <row r="247" spans="1:20" x14ac:dyDescent="0.35">
      <c r="A247" t="s">
        <v>352</v>
      </c>
      <c r="B247" s="1">
        <v>44551</v>
      </c>
      <c r="C247">
        <v>2021</v>
      </c>
      <c r="D247">
        <v>12</v>
      </c>
      <c r="E247" t="s">
        <v>14</v>
      </c>
      <c r="F247">
        <v>87</v>
      </c>
      <c r="G247" t="s">
        <v>21</v>
      </c>
      <c r="H247" t="s">
        <v>30</v>
      </c>
      <c r="I247">
        <v>0</v>
      </c>
      <c r="J247">
        <v>0</v>
      </c>
      <c r="K247">
        <v>4.5</v>
      </c>
      <c r="L247">
        <v>492</v>
      </c>
      <c r="M247" t="s">
        <v>17</v>
      </c>
      <c r="N247" t="str">
        <f t="shared" si="21"/>
        <v>streaming</v>
      </c>
      <c r="O247" t="str">
        <f t="shared" si="22"/>
        <v>non-original</v>
      </c>
      <c r="P247" t="str">
        <f t="shared" si="23"/>
        <v>non-franchise</v>
      </c>
      <c r="Q247" t="str">
        <f t="shared" si="24"/>
        <v>new</v>
      </c>
      <c r="R247" s="2">
        <f t="shared" si="25"/>
        <v>1.5994975715206985E-4</v>
      </c>
      <c r="S247">
        <f t="shared" si="26"/>
        <v>0.45422932330827065</v>
      </c>
      <c r="T247" t="str">
        <f t="shared" si="27"/>
        <v>Scenario 2: Weak Commitment/Convenience</v>
      </c>
    </row>
    <row r="248" spans="1:20" x14ac:dyDescent="0.35">
      <c r="A248" t="s">
        <v>353</v>
      </c>
      <c r="B248" s="1">
        <v>44554</v>
      </c>
      <c r="C248">
        <v>2021</v>
      </c>
      <c r="D248">
        <v>12</v>
      </c>
      <c r="E248" t="s">
        <v>14</v>
      </c>
      <c r="F248">
        <v>102</v>
      </c>
      <c r="G248" t="s">
        <v>354</v>
      </c>
      <c r="H248" t="s">
        <v>30</v>
      </c>
      <c r="I248">
        <v>0</v>
      </c>
      <c r="J248">
        <v>0</v>
      </c>
      <c r="K248">
        <v>5.9</v>
      </c>
      <c r="L248">
        <v>2321</v>
      </c>
      <c r="M248" t="s">
        <v>17</v>
      </c>
      <c r="N248" t="str">
        <f t="shared" si="21"/>
        <v>streaming</v>
      </c>
      <c r="O248" t="str">
        <f t="shared" si="22"/>
        <v>non-original</v>
      </c>
      <c r="P248" t="str">
        <f t="shared" si="23"/>
        <v>non-franchise</v>
      </c>
      <c r="Q248" t="str">
        <f t="shared" si="24"/>
        <v>new</v>
      </c>
      <c r="R248" s="2">
        <f t="shared" si="25"/>
        <v>8.84656233242111E-4</v>
      </c>
      <c r="S248">
        <f t="shared" si="26"/>
        <v>0.54563909774436103</v>
      </c>
      <c r="T248" t="str">
        <f t="shared" si="27"/>
        <v>Scenario 3: Strong Convenience</v>
      </c>
    </row>
    <row r="249" spans="1:20" x14ac:dyDescent="0.35">
      <c r="A249" t="s">
        <v>355</v>
      </c>
      <c r="B249" s="1">
        <v>44554</v>
      </c>
      <c r="C249">
        <v>2021</v>
      </c>
      <c r="D249">
        <v>12</v>
      </c>
      <c r="E249" t="s">
        <v>14</v>
      </c>
      <c r="F249">
        <v>138</v>
      </c>
      <c r="G249" t="s">
        <v>356</v>
      </c>
      <c r="H249" t="s">
        <v>24</v>
      </c>
      <c r="I249">
        <v>0</v>
      </c>
      <c r="J249">
        <v>0</v>
      </c>
      <c r="K249">
        <v>7.1</v>
      </c>
      <c r="L249">
        <v>665319</v>
      </c>
      <c r="M249" t="s">
        <v>88</v>
      </c>
      <c r="N249" t="str">
        <f t="shared" si="21"/>
        <v>streaming</v>
      </c>
      <c r="O249" t="str">
        <f t="shared" si="22"/>
        <v>non-original</v>
      </c>
      <c r="P249" t="str">
        <f t="shared" si="23"/>
        <v>non-franchise</v>
      </c>
      <c r="Q249" t="str">
        <f t="shared" si="24"/>
        <v>new</v>
      </c>
      <c r="R249" s="2">
        <f t="shared" si="25"/>
        <v>0.34309014395978876</v>
      </c>
      <c r="S249">
        <f t="shared" si="26"/>
        <v>0.51248120300751876</v>
      </c>
      <c r="T249" t="str">
        <f t="shared" si="27"/>
        <v>Scenario 4: Hybrid Logic</v>
      </c>
    </row>
    <row r="250" spans="1:20" x14ac:dyDescent="0.35">
      <c r="A250" t="s">
        <v>357</v>
      </c>
      <c r="B250" s="1">
        <v>44556</v>
      </c>
      <c r="C250">
        <v>2021</v>
      </c>
      <c r="D250">
        <v>12</v>
      </c>
      <c r="E250" t="s">
        <v>14</v>
      </c>
      <c r="F250">
        <v>90</v>
      </c>
      <c r="G250" t="s">
        <v>21</v>
      </c>
      <c r="H250" t="s">
        <v>30</v>
      </c>
      <c r="I250">
        <v>0</v>
      </c>
      <c r="J250">
        <v>0</v>
      </c>
      <c r="K250">
        <v>4.9000000000000004</v>
      </c>
      <c r="L250">
        <v>2064</v>
      </c>
      <c r="M250" t="s">
        <v>17</v>
      </c>
      <c r="N250" t="str">
        <f t="shared" si="21"/>
        <v>streaming</v>
      </c>
      <c r="O250" t="str">
        <f t="shared" si="22"/>
        <v>non-original</v>
      </c>
      <c r="P250" t="str">
        <f t="shared" si="23"/>
        <v>non-franchise</v>
      </c>
      <c r="Q250" t="str">
        <f t="shared" si="24"/>
        <v>new</v>
      </c>
      <c r="R250" s="2">
        <f t="shared" si="25"/>
        <v>6.9414696964228788E-4</v>
      </c>
      <c r="S250">
        <f t="shared" si="26"/>
        <v>0.48631578947368426</v>
      </c>
      <c r="T250" t="str">
        <f t="shared" si="27"/>
        <v>Scenario 2: Weak Commitment/Convenience</v>
      </c>
    </row>
    <row r="251" spans="1:20" x14ac:dyDescent="0.35">
      <c r="A251" t="s">
        <v>358</v>
      </c>
      <c r="B251" s="1">
        <v>44573</v>
      </c>
      <c r="C251">
        <v>2022</v>
      </c>
      <c r="D251">
        <v>1</v>
      </c>
      <c r="E251" t="s">
        <v>14</v>
      </c>
      <c r="F251">
        <v>179</v>
      </c>
      <c r="G251" t="s">
        <v>34</v>
      </c>
      <c r="H251" t="s">
        <v>16</v>
      </c>
      <c r="I251">
        <v>0</v>
      </c>
      <c r="J251">
        <v>0</v>
      </c>
      <c r="K251">
        <v>6.1</v>
      </c>
      <c r="L251">
        <v>3236</v>
      </c>
      <c r="M251" t="s">
        <v>88</v>
      </c>
      <c r="N251" t="str">
        <f t="shared" si="21"/>
        <v>streaming</v>
      </c>
      <c r="O251" t="str">
        <f t="shared" si="22"/>
        <v>non-original</v>
      </c>
      <c r="P251" t="str">
        <f t="shared" si="23"/>
        <v>non-franchise</v>
      </c>
      <c r="Q251" t="str">
        <f t="shared" si="24"/>
        <v>new</v>
      </c>
      <c r="R251" s="2">
        <f t="shared" si="25"/>
        <v>2.1645158660824585E-3</v>
      </c>
      <c r="S251">
        <f t="shared" si="26"/>
        <v>0.29926691729323307</v>
      </c>
      <c r="T251" t="str">
        <f t="shared" si="27"/>
        <v>Scenario 2: Weak Commitment/Convenience</v>
      </c>
    </row>
    <row r="252" spans="1:20" x14ac:dyDescent="0.35">
      <c r="A252" t="s">
        <v>359</v>
      </c>
      <c r="B252" s="1">
        <v>44574</v>
      </c>
      <c r="C252">
        <v>2022</v>
      </c>
      <c r="D252">
        <v>1</v>
      </c>
      <c r="E252" t="s">
        <v>14</v>
      </c>
      <c r="F252">
        <v>96</v>
      </c>
      <c r="G252" t="s">
        <v>151</v>
      </c>
      <c r="H252" t="s">
        <v>30</v>
      </c>
      <c r="I252">
        <v>0</v>
      </c>
      <c r="J252">
        <v>0</v>
      </c>
      <c r="K252">
        <v>4.2</v>
      </c>
      <c r="L252">
        <v>14723</v>
      </c>
      <c r="M252" t="s">
        <v>17</v>
      </c>
      <c r="N252" t="str">
        <f t="shared" si="21"/>
        <v>streaming</v>
      </c>
      <c r="O252" t="str">
        <f t="shared" si="22"/>
        <v>non-original</v>
      </c>
      <c r="P252" t="str">
        <f t="shared" si="23"/>
        <v>non-franchise</v>
      </c>
      <c r="Q252" t="str">
        <f t="shared" si="24"/>
        <v>new</v>
      </c>
      <c r="R252" s="2">
        <f t="shared" si="25"/>
        <v>5.2816154181102868E-3</v>
      </c>
      <c r="S252">
        <f t="shared" si="26"/>
        <v>0.40263157894736851</v>
      </c>
      <c r="T252" t="str">
        <f t="shared" si="27"/>
        <v>Scenario 2: Weak Commitment/Convenience</v>
      </c>
    </row>
    <row r="253" spans="1:20" x14ac:dyDescent="0.35">
      <c r="A253" t="s">
        <v>360</v>
      </c>
      <c r="B253" s="1">
        <v>44581</v>
      </c>
      <c r="C253">
        <v>2022</v>
      </c>
      <c r="D253">
        <v>1</v>
      </c>
      <c r="E253" t="s">
        <v>14</v>
      </c>
      <c r="F253">
        <v>97</v>
      </c>
      <c r="G253" t="s">
        <v>269</v>
      </c>
      <c r="H253" t="s">
        <v>30</v>
      </c>
      <c r="I253">
        <v>0</v>
      </c>
      <c r="J253">
        <v>0</v>
      </c>
      <c r="K253">
        <v>5.3</v>
      </c>
      <c r="L253">
        <v>12642</v>
      </c>
      <c r="M253" t="s">
        <v>17</v>
      </c>
      <c r="N253" t="str">
        <f t="shared" si="21"/>
        <v>streaming</v>
      </c>
      <c r="O253" t="str">
        <f t="shared" si="22"/>
        <v>non-original</v>
      </c>
      <c r="P253" t="str">
        <f t="shared" si="23"/>
        <v>non-franchise</v>
      </c>
      <c r="Q253" t="str">
        <f t="shared" si="24"/>
        <v>new</v>
      </c>
      <c r="R253" s="2">
        <f t="shared" si="25"/>
        <v>4.5823340926524929E-3</v>
      </c>
      <c r="S253">
        <f t="shared" si="26"/>
        <v>0.50509398496240598</v>
      </c>
      <c r="T253" t="str">
        <f t="shared" si="27"/>
        <v>Scenario 3: Strong Convenience</v>
      </c>
    </row>
    <row r="254" spans="1:20" x14ac:dyDescent="0.35">
      <c r="A254" t="s">
        <v>361</v>
      </c>
      <c r="B254" s="1">
        <v>44582</v>
      </c>
      <c r="C254">
        <v>2022</v>
      </c>
      <c r="D254">
        <v>1</v>
      </c>
      <c r="E254" t="s">
        <v>14</v>
      </c>
      <c r="F254">
        <v>106</v>
      </c>
      <c r="G254" t="s">
        <v>34</v>
      </c>
      <c r="H254" t="s">
        <v>30</v>
      </c>
      <c r="I254">
        <v>0</v>
      </c>
      <c r="J254">
        <v>0</v>
      </c>
      <c r="K254">
        <v>5.6</v>
      </c>
      <c r="L254">
        <v>485</v>
      </c>
      <c r="M254" t="s">
        <v>17</v>
      </c>
      <c r="N254" t="str">
        <f t="shared" si="21"/>
        <v>streaming</v>
      </c>
      <c r="O254" t="str">
        <f t="shared" si="22"/>
        <v>non-original</v>
      </c>
      <c r="P254" t="str">
        <f t="shared" si="23"/>
        <v>non-franchise</v>
      </c>
      <c r="Q254" t="str">
        <f t="shared" si="24"/>
        <v>new</v>
      </c>
      <c r="R254" s="2">
        <f t="shared" si="25"/>
        <v>1.9210861169955868E-4</v>
      </c>
      <c r="S254">
        <f t="shared" si="26"/>
        <v>0.50526315789473675</v>
      </c>
      <c r="T254" t="str">
        <f t="shared" si="27"/>
        <v>Scenario 3: Strong Convenience</v>
      </c>
    </row>
    <row r="255" spans="1:20" x14ac:dyDescent="0.35">
      <c r="A255" t="s">
        <v>362</v>
      </c>
      <c r="B255" s="1">
        <v>44582</v>
      </c>
      <c r="C255">
        <v>2022</v>
      </c>
      <c r="D255">
        <v>1</v>
      </c>
      <c r="E255" t="s">
        <v>14</v>
      </c>
      <c r="F255">
        <v>112</v>
      </c>
      <c r="G255" t="s">
        <v>34</v>
      </c>
      <c r="H255" t="s">
        <v>30</v>
      </c>
      <c r="I255">
        <v>0</v>
      </c>
      <c r="J255">
        <v>0</v>
      </c>
      <c r="K255">
        <v>6.5</v>
      </c>
      <c r="L255">
        <v>4441</v>
      </c>
      <c r="M255" t="s">
        <v>17</v>
      </c>
      <c r="N255" t="str">
        <f t="shared" si="21"/>
        <v>streaming</v>
      </c>
      <c r="O255" t="str">
        <f t="shared" si="22"/>
        <v>non-original</v>
      </c>
      <c r="P255" t="str">
        <f t="shared" si="23"/>
        <v>non-franchise</v>
      </c>
      <c r="Q255" t="str">
        <f t="shared" si="24"/>
        <v>new</v>
      </c>
      <c r="R255" s="2">
        <f t="shared" si="25"/>
        <v>1.8586517523918864E-3</v>
      </c>
      <c r="S255">
        <f t="shared" si="26"/>
        <v>0.56447368421052635</v>
      </c>
      <c r="T255" t="str">
        <f t="shared" si="27"/>
        <v>Scenario 3: Strong Convenience</v>
      </c>
    </row>
    <row r="256" spans="1:20" x14ac:dyDescent="0.35">
      <c r="A256" t="s">
        <v>363</v>
      </c>
      <c r="B256" s="1">
        <v>44589</v>
      </c>
      <c r="C256">
        <v>2022</v>
      </c>
      <c r="D256">
        <v>1</v>
      </c>
      <c r="E256" t="s">
        <v>14</v>
      </c>
      <c r="F256">
        <v>97</v>
      </c>
      <c r="G256" t="s">
        <v>53</v>
      </c>
      <c r="H256" t="s">
        <v>56</v>
      </c>
      <c r="I256">
        <v>0</v>
      </c>
      <c r="J256">
        <v>0</v>
      </c>
      <c r="K256">
        <v>6</v>
      </c>
      <c r="L256">
        <v>24119</v>
      </c>
      <c r="M256" t="s">
        <v>17</v>
      </c>
      <c r="N256" t="str">
        <f t="shared" si="21"/>
        <v>streaming</v>
      </c>
      <c r="O256" t="str">
        <f t="shared" si="22"/>
        <v>non-original</v>
      </c>
      <c r="P256" t="str">
        <f t="shared" si="23"/>
        <v>non-franchise</v>
      </c>
      <c r="Q256" t="str">
        <f t="shared" si="24"/>
        <v>new</v>
      </c>
      <c r="R256" s="2">
        <f t="shared" si="25"/>
        <v>8.7423917086446347E-3</v>
      </c>
      <c r="S256">
        <f t="shared" si="26"/>
        <v>0.57180451127819543</v>
      </c>
      <c r="T256" t="str">
        <f t="shared" si="27"/>
        <v>Scenario 3: Strong Convenience</v>
      </c>
    </row>
    <row r="257" spans="1:20" x14ac:dyDescent="0.35">
      <c r="A257" t="s">
        <v>364</v>
      </c>
      <c r="B257" s="1">
        <v>44596</v>
      </c>
      <c r="C257">
        <v>2022</v>
      </c>
      <c r="D257">
        <v>2</v>
      </c>
      <c r="E257" t="s">
        <v>14</v>
      </c>
      <c r="F257">
        <v>131</v>
      </c>
      <c r="G257" t="s">
        <v>151</v>
      </c>
      <c r="H257" t="s">
        <v>24</v>
      </c>
      <c r="I257">
        <v>1</v>
      </c>
      <c r="J257">
        <v>1</v>
      </c>
      <c r="K257">
        <v>5.2</v>
      </c>
      <c r="L257">
        <v>5356</v>
      </c>
      <c r="M257" t="s">
        <v>17</v>
      </c>
      <c r="N257" t="str">
        <f t="shared" si="21"/>
        <v>streaming</v>
      </c>
      <c r="O257" t="str">
        <f t="shared" si="22"/>
        <v>original</v>
      </c>
      <c r="P257" t="str">
        <f t="shared" si="23"/>
        <v>franchise</v>
      </c>
      <c r="Q257" t="str">
        <f t="shared" si="24"/>
        <v>old</v>
      </c>
      <c r="R257" s="2">
        <f t="shared" si="25"/>
        <v>3.9328044508392789E-3</v>
      </c>
      <c r="S257">
        <f t="shared" si="26"/>
        <v>0.26390977443609026</v>
      </c>
      <c r="T257" t="str">
        <f t="shared" si="27"/>
        <v>Scenario 2: Weak Commitment/Convenience</v>
      </c>
    </row>
    <row r="258" spans="1:20" x14ac:dyDescent="0.35">
      <c r="A258" t="s">
        <v>365</v>
      </c>
      <c r="B258" s="1">
        <v>44596</v>
      </c>
      <c r="C258">
        <v>2022</v>
      </c>
      <c r="D258">
        <v>2</v>
      </c>
      <c r="E258" t="s">
        <v>14</v>
      </c>
      <c r="F258">
        <v>113</v>
      </c>
      <c r="G258" t="s">
        <v>34</v>
      </c>
      <c r="H258" t="s">
        <v>24</v>
      </c>
      <c r="I258">
        <v>0</v>
      </c>
      <c r="J258">
        <v>0</v>
      </c>
      <c r="K258">
        <v>5.5</v>
      </c>
      <c r="L258">
        <v>24816</v>
      </c>
      <c r="M258" t="s">
        <v>88</v>
      </c>
      <c r="N258" t="str">
        <f t="shared" si="21"/>
        <v>streaming</v>
      </c>
      <c r="O258" t="str">
        <f t="shared" si="22"/>
        <v>non-original</v>
      </c>
      <c r="P258" t="str">
        <f t="shared" si="23"/>
        <v>non-franchise</v>
      </c>
      <c r="Q258" t="str">
        <f t="shared" si="24"/>
        <v>new</v>
      </c>
      <c r="R258" s="2">
        <f t="shared" si="25"/>
        <v>1.0478749383326125E-2</v>
      </c>
      <c r="S258">
        <f t="shared" si="26"/>
        <v>0.47453007518796997</v>
      </c>
      <c r="T258" t="str">
        <f t="shared" si="27"/>
        <v>Scenario 2: Weak Commitment/Convenience</v>
      </c>
    </row>
    <row r="259" spans="1:20" x14ac:dyDescent="0.35">
      <c r="A259" t="s">
        <v>366</v>
      </c>
      <c r="B259" s="1">
        <v>44601</v>
      </c>
      <c r="C259">
        <v>2022</v>
      </c>
      <c r="D259">
        <v>2</v>
      </c>
      <c r="E259" t="s">
        <v>14</v>
      </c>
      <c r="F259">
        <v>107</v>
      </c>
      <c r="G259" t="s">
        <v>92</v>
      </c>
      <c r="H259" t="s">
        <v>24</v>
      </c>
      <c r="I259">
        <v>0</v>
      </c>
      <c r="J259">
        <v>0</v>
      </c>
      <c r="K259">
        <v>4.7</v>
      </c>
      <c r="L259">
        <v>6790</v>
      </c>
      <c r="M259" t="s">
        <v>17</v>
      </c>
      <c r="N259" t="str">
        <f t="shared" ref="N259:N322" si="28">IF(ISNUMBER(SEARCH("Streaming", M259)), "streaming", "cinema")</f>
        <v>streaming</v>
      </c>
      <c r="O259" t="str">
        <f t="shared" ref="O259:O322" si="29">IF(I259=1, "original", "non-original")</f>
        <v>non-original</v>
      </c>
      <c r="P259" t="str">
        <f t="shared" ref="P259:P322" si="30">IF(J259 = 1, "franchise", "non-franchise")</f>
        <v>non-franchise</v>
      </c>
      <c r="Q259" t="str">
        <f t="shared" ref="Q259:Q322" si="31">IF(OR(I259 = 1,J259 =1), "old", "new")</f>
        <v>new</v>
      </c>
      <c r="R259" s="2">
        <f t="shared" ref="R259:R322" si="32">IF(Q259="old", 1.5, 1) * (L259 / MAX($L$2:$L$1000)) * (F259 / MAX($F$2:$F$1000))</f>
        <v>2.7148933993013107E-3</v>
      </c>
      <c r="S259">
        <f t="shared" ref="S259:S322" si="33">IF(Q259="new", 1.5, 1) * (K259 / 10) * (1 - (F259 / MAX($F$2:$F$1000)))</f>
        <v>0.42140977443609029</v>
      </c>
      <c r="T259" t="str">
        <f t="shared" ref="T259:T322" si="34">IF(AND(R259&gt;=0.03, S259&gt;=0.5), "Scenario 4: Hybrid Logic",
 IF(AND(R259&gt;=0.03, S259&lt;0.5), "Scenario 1: Strong Commitment",
  IF(AND(R259&lt;0.03, S259&gt;=0.5), "Scenario 3: Strong Convenience",
   "Scenario 2: Weak Commitment/Convenience")))</f>
        <v>Scenario 2: Weak Commitment/Convenience</v>
      </c>
    </row>
    <row r="260" spans="1:20" x14ac:dyDescent="0.35">
      <c r="A260" t="s">
        <v>367</v>
      </c>
      <c r="B260" s="1">
        <v>44602</v>
      </c>
      <c r="C260">
        <v>2022</v>
      </c>
      <c r="D260">
        <v>2</v>
      </c>
      <c r="E260" t="s">
        <v>14</v>
      </c>
      <c r="F260">
        <v>108</v>
      </c>
      <c r="G260" t="s">
        <v>90</v>
      </c>
      <c r="H260" t="s">
        <v>30</v>
      </c>
      <c r="I260">
        <v>0</v>
      </c>
      <c r="J260">
        <v>0</v>
      </c>
      <c r="K260">
        <v>5.3</v>
      </c>
      <c r="L260">
        <v>1370</v>
      </c>
      <c r="M260" t="s">
        <v>17</v>
      </c>
      <c r="N260" t="str">
        <f t="shared" si="28"/>
        <v>streaming</v>
      </c>
      <c r="O260" t="str">
        <f t="shared" si="29"/>
        <v>non-original</v>
      </c>
      <c r="P260" t="str">
        <f t="shared" si="30"/>
        <v>non-franchise</v>
      </c>
      <c r="Q260" t="str">
        <f t="shared" si="31"/>
        <v>new</v>
      </c>
      <c r="R260" s="2">
        <f t="shared" si="32"/>
        <v>5.5289613279647346E-4</v>
      </c>
      <c r="S260">
        <f t="shared" si="33"/>
        <v>0.47221804511278198</v>
      </c>
      <c r="T260" t="str">
        <f t="shared" si="34"/>
        <v>Scenario 2: Weak Commitment/Convenience</v>
      </c>
    </row>
    <row r="261" spans="1:20" x14ac:dyDescent="0.35">
      <c r="A261" t="s">
        <v>368</v>
      </c>
      <c r="B261" s="1">
        <v>44603</v>
      </c>
      <c r="C261">
        <v>2022</v>
      </c>
      <c r="D261">
        <v>2</v>
      </c>
      <c r="E261" t="s">
        <v>14</v>
      </c>
      <c r="F261">
        <v>118</v>
      </c>
      <c r="G261" t="s">
        <v>29</v>
      </c>
      <c r="H261" t="s">
        <v>24</v>
      </c>
      <c r="I261">
        <v>0</v>
      </c>
      <c r="J261">
        <v>0</v>
      </c>
      <c r="K261">
        <v>6.3</v>
      </c>
      <c r="L261">
        <v>7909</v>
      </c>
      <c r="M261" t="s">
        <v>17</v>
      </c>
      <c r="N261" t="str">
        <f t="shared" si="28"/>
        <v>streaming</v>
      </c>
      <c r="O261" t="str">
        <f t="shared" si="29"/>
        <v>non-original</v>
      </c>
      <c r="P261" t="str">
        <f t="shared" si="30"/>
        <v>non-franchise</v>
      </c>
      <c r="Q261" t="str">
        <f t="shared" si="31"/>
        <v>new</v>
      </c>
      <c r="R261" s="2">
        <f t="shared" si="32"/>
        <v>3.4874084258306468E-3</v>
      </c>
      <c r="S261">
        <f t="shared" si="33"/>
        <v>0.52578947368421058</v>
      </c>
      <c r="T261" t="str">
        <f t="shared" si="34"/>
        <v>Scenario 3: Strong Convenience</v>
      </c>
    </row>
    <row r="262" spans="1:20" x14ac:dyDescent="0.35">
      <c r="A262" t="s">
        <v>369</v>
      </c>
      <c r="B262" s="1">
        <v>44603</v>
      </c>
      <c r="C262">
        <v>2022</v>
      </c>
      <c r="D262">
        <v>2</v>
      </c>
      <c r="E262" t="s">
        <v>14</v>
      </c>
      <c r="F262">
        <v>98</v>
      </c>
      <c r="G262" t="s">
        <v>29</v>
      </c>
      <c r="H262" t="s">
        <v>30</v>
      </c>
      <c r="I262">
        <v>0</v>
      </c>
      <c r="J262">
        <v>0</v>
      </c>
      <c r="K262">
        <v>5.4</v>
      </c>
      <c r="L262">
        <v>7080</v>
      </c>
      <c r="M262" t="s">
        <v>88</v>
      </c>
      <c r="N262" t="str">
        <f t="shared" si="28"/>
        <v>streaming</v>
      </c>
      <c r="O262" t="str">
        <f t="shared" si="29"/>
        <v>non-original</v>
      </c>
      <c r="P262" t="str">
        <f t="shared" si="30"/>
        <v>non-franchise</v>
      </c>
      <c r="Q262" t="str">
        <f t="shared" si="31"/>
        <v>new</v>
      </c>
      <c r="R262" s="2">
        <f t="shared" si="32"/>
        <v>2.5927375829920599E-3</v>
      </c>
      <c r="S262">
        <f t="shared" si="33"/>
        <v>0.51157894736842102</v>
      </c>
      <c r="T262" t="str">
        <f t="shared" si="34"/>
        <v>Scenario 3: Strong Convenience</v>
      </c>
    </row>
    <row r="263" spans="1:20" x14ac:dyDescent="0.35">
      <c r="A263" t="s">
        <v>370</v>
      </c>
      <c r="B263" s="1">
        <v>44603</v>
      </c>
      <c r="C263">
        <v>2022</v>
      </c>
      <c r="D263">
        <v>2</v>
      </c>
      <c r="E263" t="s">
        <v>14</v>
      </c>
      <c r="F263">
        <v>101</v>
      </c>
      <c r="G263" t="s">
        <v>26</v>
      </c>
      <c r="H263" t="s">
        <v>30</v>
      </c>
      <c r="I263">
        <v>0</v>
      </c>
      <c r="J263">
        <v>1</v>
      </c>
      <c r="K263">
        <v>4.7</v>
      </c>
      <c r="L263">
        <v>7612</v>
      </c>
      <c r="M263" t="s">
        <v>17</v>
      </c>
      <c r="N263" t="str">
        <f t="shared" si="28"/>
        <v>streaming</v>
      </c>
      <c r="O263" t="str">
        <f t="shared" si="29"/>
        <v>non-original</v>
      </c>
      <c r="P263" t="str">
        <f t="shared" si="30"/>
        <v>franchise</v>
      </c>
      <c r="Q263" t="str">
        <f t="shared" si="31"/>
        <v>old</v>
      </c>
      <c r="R263" s="2">
        <f t="shared" si="32"/>
        <v>4.3093388244882644E-3</v>
      </c>
      <c r="S263">
        <f t="shared" si="33"/>
        <v>0.29154135338345866</v>
      </c>
      <c r="T263" t="str">
        <f t="shared" si="34"/>
        <v>Scenario 2: Weak Commitment/Convenience</v>
      </c>
    </row>
    <row r="264" spans="1:20" x14ac:dyDescent="0.35">
      <c r="A264" t="s">
        <v>371</v>
      </c>
      <c r="B264" s="1">
        <v>44609</v>
      </c>
      <c r="C264">
        <v>2022</v>
      </c>
      <c r="D264">
        <v>2</v>
      </c>
      <c r="E264" t="s">
        <v>14</v>
      </c>
      <c r="F264">
        <v>96</v>
      </c>
      <c r="G264" t="s">
        <v>372</v>
      </c>
      <c r="H264" t="s">
        <v>24</v>
      </c>
      <c r="I264">
        <v>0</v>
      </c>
      <c r="J264">
        <v>0</v>
      </c>
      <c r="K264">
        <v>4.5</v>
      </c>
      <c r="L264">
        <v>8083</v>
      </c>
      <c r="M264" t="s">
        <v>17</v>
      </c>
      <c r="N264" t="str">
        <f t="shared" si="28"/>
        <v>streaming</v>
      </c>
      <c r="O264" t="str">
        <f t="shared" si="29"/>
        <v>non-original</v>
      </c>
      <c r="P264" t="str">
        <f t="shared" si="30"/>
        <v>non-franchise</v>
      </c>
      <c r="Q264" t="str">
        <f t="shared" si="31"/>
        <v>new</v>
      </c>
      <c r="R264" s="2">
        <f t="shared" si="32"/>
        <v>2.8996330519992833E-3</v>
      </c>
      <c r="S264">
        <f t="shared" si="33"/>
        <v>0.43139097744360905</v>
      </c>
      <c r="T264" t="str">
        <f t="shared" si="34"/>
        <v>Scenario 2: Weak Commitment/Convenience</v>
      </c>
    </row>
    <row r="265" spans="1:20" x14ac:dyDescent="0.35">
      <c r="A265" t="s">
        <v>373</v>
      </c>
      <c r="B265" s="1">
        <v>44610</v>
      </c>
      <c r="C265">
        <v>2022</v>
      </c>
      <c r="D265">
        <v>2</v>
      </c>
      <c r="E265" t="s">
        <v>14</v>
      </c>
      <c r="F265">
        <v>83</v>
      </c>
      <c r="G265" t="s">
        <v>304</v>
      </c>
      <c r="H265" t="s">
        <v>24</v>
      </c>
      <c r="I265">
        <v>1</v>
      </c>
      <c r="J265">
        <v>1</v>
      </c>
      <c r="K265">
        <v>4.7</v>
      </c>
      <c r="L265">
        <v>69641</v>
      </c>
      <c r="M265" t="s">
        <v>17</v>
      </c>
      <c r="N265" t="str">
        <f t="shared" si="28"/>
        <v>streaming</v>
      </c>
      <c r="O265" t="str">
        <f t="shared" si="29"/>
        <v>original</v>
      </c>
      <c r="P265" t="str">
        <f t="shared" si="30"/>
        <v>franchise</v>
      </c>
      <c r="Q265" t="str">
        <f t="shared" si="31"/>
        <v>old</v>
      </c>
      <c r="R265" s="2">
        <f t="shared" si="32"/>
        <v>3.2399147257487576E-2</v>
      </c>
      <c r="S265">
        <f t="shared" si="33"/>
        <v>0.32334586466165416</v>
      </c>
      <c r="T265" t="str">
        <f t="shared" si="34"/>
        <v>Scenario 1: Strong Commitment</v>
      </c>
    </row>
    <row r="266" spans="1:20" x14ac:dyDescent="0.35">
      <c r="A266" t="s">
        <v>374</v>
      </c>
      <c r="B266" s="1">
        <v>44615</v>
      </c>
      <c r="C266">
        <v>2022</v>
      </c>
      <c r="D266">
        <v>2</v>
      </c>
      <c r="E266" t="s">
        <v>14</v>
      </c>
      <c r="F266">
        <v>110</v>
      </c>
      <c r="G266" t="s">
        <v>34</v>
      </c>
      <c r="H266" t="s">
        <v>30</v>
      </c>
      <c r="I266">
        <v>0</v>
      </c>
      <c r="J266">
        <v>0</v>
      </c>
      <c r="K266">
        <v>5.0999999999999996</v>
      </c>
      <c r="L266">
        <v>2907</v>
      </c>
      <c r="M266" t="s">
        <v>17</v>
      </c>
      <c r="N266" t="str">
        <f t="shared" si="28"/>
        <v>streaming</v>
      </c>
      <c r="O266" t="str">
        <f t="shared" si="29"/>
        <v>non-original</v>
      </c>
      <c r="P266" t="str">
        <f t="shared" si="30"/>
        <v>non-franchise</v>
      </c>
      <c r="Q266" t="str">
        <f t="shared" si="31"/>
        <v>new</v>
      </c>
      <c r="R266" s="2">
        <f t="shared" si="32"/>
        <v>1.1949148174123299E-3</v>
      </c>
      <c r="S266">
        <f t="shared" si="33"/>
        <v>0.44864661654135346</v>
      </c>
      <c r="T266" t="str">
        <f t="shared" si="34"/>
        <v>Scenario 2: Weak Commitment/Convenience</v>
      </c>
    </row>
    <row r="267" spans="1:20" x14ac:dyDescent="0.35">
      <c r="A267" t="s">
        <v>375</v>
      </c>
      <c r="B267" s="1">
        <v>44617</v>
      </c>
      <c r="C267">
        <v>2022</v>
      </c>
      <c r="D267">
        <v>2</v>
      </c>
      <c r="E267" t="s">
        <v>14</v>
      </c>
      <c r="F267">
        <v>96</v>
      </c>
      <c r="G267" t="s">
        <v>49</v>
      </c>
      <c r="H267" t="s">
        <v>24</v>
      </c>
      <c r="I267">
        <v>1</v>
      </c>
      <c r="J267">
        <v>1</v>
      </c>
      <c r="K267">
        <v>5.8</v>
      </c>
      <c r="L267">
        <v>5994</v>
      </c>
      <c r="M267" t="s">
        <v>88</v>
      </c>
      <c r="N267" t="str">
        <f t="shared" si="28"/>
        <v>streaming</v>
      </c>
      <c r="O267" t="str">
        <f t="shared" si="29"/>
        <v>original</v>
      </c>
      <c r="P267" t="str">
        <f t="shared" si="30"/>
        <v>franchise</v>
      </c>
      <c r="Q267" t="str">
        <f t="shared" si="31"/>
        <v>old</v>
      </c>
      <c r="R267" s="2">
        <f t="shared" si="32"/>
        <v>3.225361965919282E-3</v>
      </c>
      <c r="S267">
        <f t="shared" si="33"/>
        <v>0.37067669172932327</v>
      </c>
      <c r="T267" t="str">
        <f t="shared" si="34"/>
        <v>Scenario 2: Weak Commitment/Convenience</v>
      </c>
    </row>
    <row r="268" spans="1:20" x14ac:dyDescent="0.35">
      <c r="A268" t="s">
        <v>376</v>
      </c>
      <c r="B268" s="1">
        <v>44622</v>
      </c>
      <c r="C268">
        <v>2022</v>
      </c>
      <c r="D268">
        <v>3</v>
      </c>
      <c r="E268" t="s">
        <v>38</v>
      </c>
      <c r="F268">
        <v>103</v>
      </c>
      <c r="G268" t="s">
        <v>377</v>
      </c>
      <c r="H268" t="s">
        <v>24</v>
      </c>
      <c r="I268">
        <v>0</v>
      </c>
      <c r="J268">
        <v>0</v>
      </c>
      <c r="K268">
        <v>6.5</v>
      </c>
      <c r="L268">
        <v>31544</v>
      </c>
      <c r="M268" t="s">
        <v>17</v>
      </c>
      <c r="N268" t="str">
        <f t="shared" si="28"/>
        <v>streaming</v>
      </c>
      <c r="O268" t="str">
        <f t="shared" si="29"/>
        <v>non-original</v>
      </c>
      <c r="P268" t="str">
        <f t="shared" si="30"/>
        <v>non-franchise</v>
      </c>
      <c r="Q268" t="str">
        <f t="shared" si="31"/>
        <v>new</v>
      </c>
      <c r="R268" s="2">
        <f t="shared" si="32"/>
        <v>1.2140965315842066E-2</v>
      </c>
      <c r="S268">
        <f t="shared" si="33"/>
        <v>0.59746240601503764</v>
      </c>
      <c r="T268" t="str">
        <f t="shared" si="34"/>
        <v>Scenario 3: Strong Convenience</v>
      </c>
    </row>
    <row r="269" spans="1:20" x14ac:dyDescent="0.35">
      <c r="A269" t="s">
        <v>378</v>
      </c>
      <c r="B269" s="1">
        <v>44623</v>
      </c>
      <c r="C269">
        <v>2022</v>
      </c>
      <c r="D269">
        <v>3</v>
      </c>
      <c r="E269" t="s">
        <v>38</v>
      </c>
      <c r="F269">
        <v>91</v>
      </c>
      <c r="G269" t="s">
        <v>19</v>
      </c>
      <c r="H269" t="s">
        <v>27</v>
      </c>
      <c r="I269">
        <v>0</v>
      </c>
      <c r="J269">
        <v>0</v>
      </c>
      <c r="K269">
        <v>5.7</v>
      </c>
      <c r="L269">
        <v>35694</v>
      </c>
      <c r="M269" t="s">
        <v>17</v>
      </c>
      <c r="N269" t="str">
        <f t="shared" si="28"/>
        <v>streaming</v>
      </c>
      <c r="O269" t="str">
        <f t="shared" si="29"/>
        <v>non-original</v>
      </c>
      <c r="P269" t="str">
        <f t="shared" si="30"/>
        <v>non-franchise</v>
      </c>
      <c r="Q269" t="str">
        <f t="shared" si="31"/>
        <v>new</v>
      </c>
      <c r="R269" s="2">
        <f t="shared" si="32"/>
        <v>1.2137684410160833E-2</v>
      </c>
      <c r="S269">
        <f t="shared" si="33"/>
        <v>0.56250000000000011</v>
      </c>
      <c r="T269" t="str">
        <f t="shared" si="34"/>
        <v>Scenario 3: Strong Convenience</v>
      </c>
    </row>
    <row r="270" spans="1:20" x14ac:dyDescent="0.35">
      <c r="A270" t="s">
        <v>379</v>
      </c>
      <c r="B270" s="1">
        <v>44631</v>
      </c>
      <c r="C270">
        <v>2022</v>
      </c>
      <c r="D270">
        <v>3</v>
      </c>
      <c r="E270" t="s">
        <v>38</v>
      </c>
      <c r="F270">
        <v>106</v>
      </c>
      <c r="G270" t="s">
        <v>192</v>
      </c>
      <c r="H270" t="s">
        <v>27</v>
      </c>
      <c r="I270">
        <v>0</v>
      </c>
      <c r="J270">
        <v>0</v>
      </c>
      <c r="K270">
        <v>6.7</v>
      </c>
      <c r="L270">
        <v>255832</v>
      </c>
      <c r="M270" t="s">
        <v>88</v>
      </c>
      <c r="N270" t="str">
        <f t="shared" si="28"/>
        <v>streaming</v>
      </c>
      <c r="O270" t="str">
        <f t="shared" si="29"/>
        <v>non-original</v>
      </c>
      <c r="P270" t="str">
        <f t="shared" si="30"/>
        <v>non-franchise</v>
      </c>
      <c r="Q270" t="str">
        <f t="shared" si="31"/>
        <v>new</v>
      </c>
      <c r="R270" s="2">
        <f t="shared" si="32"/>
        <v>0.10133511412025051</v>
      </c>
      <c r="S270">
        <f t="shared" si="33"/>
        <v>0.60451127819548878</v>
      </c>
      <c r="T270" t="str">
        <f t="shared" si="34"/>
        <v>Scenario 4: Hybrid Logic</v>
      </c>
    </row>
    <row r="271" spans="1:20" x14ac:dyDescent="0.35">
      <c r="A271" t="s">
        <v>380</v>
      </c>
      <c r="B271" s="1">
        <v>44637</v>
      </c>
      <c r="C271">
        <v>2022</v>
      </c>
      <c r="D271">
        <v>3</v>
      </c>
      <c r="E271" t="s">
        <v>38</v>
      </c>
      <c r="F271">
        <v>93</v>
      </c>
      <c r="G271" t="s">
        <v>34</v>
      </c>
      <c r="H271" t="s">
        <v>86</v>
      </c>
      <c r="I271">
        <v>0</v>
      </c>
      <c r="J271">
        <v>0</v>
      </c>
      <c r="K271">
        <v>7.2</v>
      </c>
      <c r="L271">
        <v>13479</v>
      </c>
      <c r="M271" t="s">
        <v>17</v>
      </c>
      <c r="N271" t="str">
        <f t="shared" si="28"/>
        <v>streaming</v>
      </c>
      <c r="O271" t="str">
        <f t="shared" si="29"/>
        <v>non-original</v>
      </c>
      <c r="P271" t="str">
        <f t="shared" si="30"/>
        <v>non-franchise</v>
      </c>
      <c r="Q271" t="str">
        <f t="shared" si="31"/>
        <v>new</v>
      </c>
      <c r="R271" s="2">
        <f t="shared" si="32"/>
        <v>4.6842476924751353E-3</v>
      </c>
      <c r="S271">
        <f t="shared" si="33"/>
        <v>0.70240601503759403</v>
      </c>
      <c r="T271" t="str">
        <f t="shared" si="34"/>
        <v>Scenario 3: Strong Convenience</v>
      </c>
    </row>
    <row r="272" spans="1:20" x14ac:dyDescent="0.35">
      <c r="A272" t="s">
        <v>381</v>
      </c>
      <c r="B272" s="1">
        <v>44638</v>
      </c>
      <c r="C272">
        <v>2022</v>
      </c>
      <c r="D272">
        <v>3</v>
      </c>
      <c r="E272" t="s">
        <v>38</v>
      </c>
      <c r="F272">
        <v>114</v>
      </c>
      <c r="G272" t="s">
        <v>19</v>
      </c>
      <c r="H272" t="s">
        <v>24</v>
      </c>
      <c r="I272">
        <v>0</v>
      </c>
      <c r="J272">
        <v>0</v>
      </c>
      <c r="K272">
        <v>5.7</v>
      </c>
      <c r="L272">
        <v>28507</v>
      </c>
      <c r="M272" t="s">
        <v>88</v>
      </c>
      <c r="N272" t="str">
        <f t="shared" si="28"/>
        <v>streaming</v>
      </c>
      <c r="O272" t="str">
        <f t="shared" si="29"/>
        <v>non-original</v>
      </c>
      <c r="P272" t="str">
        <f t="shared" si="30"/>
        <v>non-franchise</v>
      </c>
      <c r="Q272" t="str">
        <f t="shared" si="31"/>
        <v>new</v>
      </c>
      <c r="R272" s="2">
        <f t="shared" si="32"/>
        <v>1.2143827700525236E-2</v>
      </c>
      <c r="S272">
        <f t="shared" si="33"/>
        <v>0.4885714285714286</v>
      </c>
      <c r="T272" t="str">
        <f t="shared" si="34"/>
        <v>Scenario 2: Weak Commitment/Convenience</v>
      </c>
    </row>
    <row r="273" spans="1:20" x14ac:dyDescent="0.35">
      <c r="A273" t="s">
        <v>382</v>
      </c>
      <c r="B273" s="1">
        <v>44638</v>
      </c>
      <c r="C273">
        <v>2022</v>
      </c>
      <c r="D273">
        <v>3</v>
      </c>
      <c r="E273" t="s">
        <v>38</v>
      </c>
      <c r="F273">
        <v>92</v>
      </c>
      <c r="G273" t="s">
        <v>19</v>
      </c>
      <c r="H273" t="s">
        <v>24</v>
      </c>
      <c r="I273">
        <v>0</v>
      </c>
      <c r="J273">
        <v>0</v>
      </c>
      <c r="K273">
        <v>5.7</v>
      </c>
      <c r="L273">
        <v>28516</v>
      </c>
      <c r="M273" t="s">
        <v>17</v>
      </c>
      <c r="N273" t="str">
        <f t="shared" si="28"/>
        <v>streaming</v>
      </c>
      <c r="O273" t="str">
        <f t="shared" si="29"/>
        <v>non-original</v>
      </c>
      <c r="P273" t="str">
        <f t="shared" si="30"/>
        <v>non-franchise</v>
      </c>
      <c r="Q273" t="str">
        <f t="shared" si="31"/>
        <v>new</v>
      </c>
      <c r="R273" s="2">
        <f t="shared" si="32"/>
        <v>9.8033760698826022E-3</v>
      </c>
      <c r="S273">
        <f t="shared" si="33"/>
        <v>0.55928571428571439</v>
      </c>
      <c r="T273" t="str">
        <f t="shared" si="34"/>
        <v>Scenario 3: Strong Convenience</v>
      </c>
    </row>
    <row r="274" spans="1:20" x14ac:dyDescent="0.35">
      <c r="A274" t="s">
        <v>383</v>
      </c>
      <c r="B274" s="1">
        <v>44641</v>
      </c>
      <c r="C274">
        <v>2022</v>
      </c>
      <c r="D274">
        <v>3</v>
      </c>
      <c r="E274" t="s">
        <v>38</v>
      </c>
      <c r="F274">
        <v>104</v>
      </c>
      <c r="G274" t="s">
        <v>29</v>
      </c>
      <c r="H274" t="s">
        <v>30</v>
      </c>
      <c r="I274">
        <v>0</v>
      </c>
      <c r="J274">
        <v>0</v>
      </c>
      <c r="K274">
        <v>5.8</v>
      </c>
      <c r="L274">
        <v>4671</v>
      </c>
      <c r="M274" t="s">
        <v>88</v>
      </c>
      <c r="N274" t="str">
        <f t="shared" si="28"/>
        <v>streaming</v>
      </c>
      <c r="O274" t="str">
        <f t="shared" si="29"/>
        <v>non-original</v>
      </c>
      <c r="P274" t="str">
        <f t="shared" si="30"/>
        <v>non-franchise</v>
      </c>
      <c r="Q274" t="str">
        <f t="shared" si="31"/>
        <v>new</v>
      </c>
      <c r="R274" s="2">
        <f t="shared" si="32"/>
        <v>1.8152750403784947E-3</v>
      </c>
      <c r="S274">
        <f t="shared" si="33"/>
        <v>0.52984962406015035</v>
      </c>
      <c r="T274" t="str">
        <f t="shared" si="34"/>
        <v>Scenario 3: Strong Convenience</v>
      </c>
    </row>
    <row r="275" spans="1:20" x14ac:dyDescent="0.35">
      <c r="A275" t="s">
        <v>384</v>
      </c>
      <c r="B275" s="1">
        <v>44644</v>
      </c>
      <c r="C275">
        <v>2022</v>
      </c>
      <c r="D275">
        <v>3</v>
      </c>
      <c r="E275" t="s">
        <v>38</v>
      </c>
      <c r="F275">
        <v>129</v>
      </c>
      <c r="G275" t="s">
        <v>34</v>
      </c>
      <c r="H275" t="s">
        <v>30</v>
      </c>
      <c r="I275">
        <v>0</v>
      </c>
      <c r="J275">
        <v>0</v>
      </c>
      <c r="K275">
        <v>6.6</v>
      </c>
      <c r="L275">
        <v>1074</v>
      </c>
      <c r="M275" t="s">
        <v>17</v>
      </c>
      <c r="N275" t="str">
        <f t="shared" si="28"/>
        <v>streaming</v>
      </c>
      <c r="O275" t="str">
        <f t="shared" si="29"/>
        <v>non-original</v>
      </c>
      <c r="P275" t="str">
        <f t="shared" si="30"/>
        <v>non-franchise</v>
      </c>
      <c r="Q275" t="str">
        <f t="shared" si="31"/>
        <v>new</v>
      </c>
      <c r="R275" s="2">
        <f t="shared" si="32"/>
        <v>5.1771794819153972E-4</v>
      </c>
      <c r="S275">
        <f t="shared" si="33"/>
        <v>0.50988721804511272</v>
      </c>
      <c r="T275" t="str">
        <f t="shared" si="34"/>
        <v>Scenario 3: Strong Convenience</v>
      </c>
    </row>
    <row r="276" spans="1:20" x14ac:dyDescent="0.35">
      <c r="A276" t="s">
        <v>385</v>
      </c>
      <c r="B276" s="1">
        <v>44650</v>
      </c>
      <c r="C276">
        <v>2022</v>
      </c>
      <c r="D276">
        <v>3</v>
      </c>
      <c r="E276" t="s">
        <v>38</v>
      </c>
      <c r="F276">
        <v>118</v>
      </c>
      <c r="G276" t="s">
        <v>34</v>
      </c>
      <c r="H276" t="s">
        <v>30</v>
      </c>
      <c r="I276">
        <v>0</v>
      </c>
      <c r="J276">
        <v>0</v>
      </c>
      <c r="K276">
        <v>5.6</v>
      </c>
      <c r="L276">
        <v>4440</v>
      </c>
      <c r="M276" t="s">
        <v>88</v>
      </c>
      <c r="N276" t="str">
        <f t="shared" si="28"/>
        <v>streaming</v>
      </c>
      <c r="O276" t="str">
        <f t="shared" si="29"/>
        <v>non-original</v>
      </c>
      <c r="P276" t="str">
        <f t="shared" si="30"/>
        <v>non-franchise</v>
      </c>
      <c r="Q276" t="str">
        <f t="shared" si="31"/>
        <v>new</v>
      </c>
      <c r="R276" s="2">
        <f t="shared" si="32"/>
        <v>1.9577814402184945E-3</v>
      </c>
      <c r="S276">
        <f t="shared" si="33"/>
        <v>0.46736842105263154</v>
      </c>
      <c r="T276" t="str">
        <f t="shared" si="34"/>
        <v>Scenario 2: Weak Commitment/Convenience</v>
      </c>
    </row>
    <row r="277" spans="1:20" x14ac:dyDescent="0.35">
      <c r="A277" t="s">
        <v>386</v>
      </c>
      <c r="B277" s="1">
        <v>44652</v>
      </c>
      <c r="C277">
        <v>2022</v>
      </c>
      <c r="D277">
        <v>4</v>
      </c>
      <c r="E277" t="s">
        <v>38</v>
      </c>
      <c r="F277">
        <v>88</v>
      </c>
      <c r="G277" t="s">
        <v>90</v>
      </c>
      <c r="H277" t="s">
        <v>30</v>
      </c>
      <c r="I277">
        <v>0</v>
      </c>
      <c r="J277">
        <v>1</v>
      </c>
      <c r="K277">
        <v>4.7</v>
      </c>
      <c r="L277">
        <v>727</v>
      </c>
      <c r="M277" t="s">
        <v>17</v>
      </c>
      <c r="N277" t="str">
        <f t="shared" si="28"/>
        <v>streaming</v>
      </c>
      <c r="O277" t="str">
        <f t="shared" si="29"/>
        <v>non-original</v>
      </c>
      <c r="P277" t="str">
        <f t="shared" si="30"/>
        <v>franchise</v>
      </c>
      <c r="Q277" t="str">
        <f t="shared" si="31"/>
        <v>old</v>
      </c>
      <c r="R277" s="2">
        <f t="shared" si="32"/>
        <v>3.5859775944634218E-4</v>
      </c>
      <c r="S277">
        <f t="shared" si="33"/>
        <v>0.31451127819548874</v>
      </c>
      <c r="T277" t="str">
        <f t="shared" si="34"/>
        <v>Scenario 2: Weak Commitment/Convenience</v>
      </c>
    </row>
    <row r="278" spans="1:20" x14ac:dyDescent="0.35">
      <c r="A278" t="s">
        <v>387</v>
      </c>
      <c r="B278" s="1">
        <v>44652</v>
      </c>
      <c r="C278">
        <v>2022</v>
      </c>
      <c r="D278">
        <v>4</v>
      </c>
      <c r="E278" t="s">
        <v>38</v>
      </c>
      <c r="F278">
        <v>126</v>
      </c>
      <c r="G278" t="s">
        <v>21</v>
      </c>
      <c r="H278" t="s">
        <v>24</v>
      </c>
      <c r="I278">
        <v>0</v>
      </c>
      <c r="J278">
        <v>1</v>
      </c>
      <c r="K278">
        <v>4.7</v>
      </c>
      <c r="L278">
        <v>30317</v>
      </c>
      <c r="M278" t="s">
        <v>17</v>
      </c>
      <c r="N278" t="str">
        <f t="shared" si="28"/>
        <v>streaming</v>
      </c>
      <c r="O278" t="str">
        <f t="shared" si="29"/>
        <v>non-original</v>
      </c>
      <c r="P278" t="str">
        <f t="shared" si="30"/>
        <v>franchise</v>
      </c>
      <c r="Q278" t="str">
        <f t="shared" si="31"/>
        <v>old</v>
      </c>
      <c r="R278" s="2">
        <f t="shared" si="32"/>
        <v>2.1411508103272772E-2</v>
      </c>
      <c r="S278">
        <f t="shared" si="33"/>
        <v>0.24736842105263163</v>
      </c>
      <c r="T278" t="str">
        <f t="shared" si="34"/>
        <v>Scenario 2: Weak Commitment/Convenience</v>
      </c>
    </row>
    <row r="279" spans="1:20" x14ac:dyDescent="0.35">
      <c r="A279" t="s">
        <v>388</v>
      </c>
      <c r="B279" s="1">
        <v>44653</v>
      </c>
      <c r="C279">
        <v>2022</v>
      </c>
      <c r="D279">
        <v>4</v>
      </c>
      <c r="E279" t="s">
        <v>38</v>
      </c>
      <c r="F279">
        <v>112</v>
      </c>
      <c r="G279" t="s">
        <v>90</v>
      </c>
      <c r="H279" t="s">
        <v>30</v>
      </c>
      <c r="I279">
        <v>0</v>
      </c>
      <c r="J279">
        <v>0</v>
      </c>
      <c r="K279">
        <v>6.6</v>
      </c>
      <c r="L279">
        <v>2798</v>
      </c>
      <c r="M279" t="s">
        <v>17</v>
      </c>
      <c r="N279" t="str">
        <f t="shared" si="28"/>
        <v>streaming</v>
      </c>
      <c r="O279" t="str">
        <f t="shared" si="29"/>
        <v>non-original</v>
      </c>
      <c r="P279" t="str">
        <f t="shared" si="30"/>
        <v>non-franchise</v>
      </c>
      <c r="Q279" t="str">
        <f t="shared" si="31"/>
        <v>new</v>
      </c>
      <c r="R279" s="2">
        <f t="shared" si="32"/>
        <v>1.1710217525765592E-3</v>
      </c>
      <c r="S279">
        <f t="shared" si="33"/>
        <v>0.57315789473684209</v>
      </c>
      <c r="T279" t="str">
        <f t="shared" si="34"/>
        <v>Scenario 3: Strong Convenience</v>
      </c>
    </row>
    <row r="280" spans="1:20" x14ac:dyDescent="0.35">
      <c r="A280" t="s">
        <v>389</v>
      </c>
      <c r="B280" s="1">
        <v>44659</v>
      </c>
      <c r="C280">
        <v>2022</v>
      </c>
      <c r="D280">
        <v>4</v>
      </c>
      <c r="E280" t="s">
        <v>38</v>
      </c>
      <c r="F280">
        <v>139</v>
      </c>
      <c r="G280" t="s">
        <v>34</v>
      </c>
      <c r="H280" t="s">
        <v>30</v>
      </c>
      <c r="I280">
        <v>0</v>
      </c>
      <c r="J280">
        <v>0</v>
      </c>
      <c r="K280">
        <v>5.6</v>
      </c>
      <c r="L280">
        <v>1142</v>
      </c>
      <c r="M280" t="s">
        <v>17</v>
      </c>
      <c r="N280" t="str">
        <f t="shared" si="28"/>
        <v>streaming</v>
      </c>
      <c r="O280" t="str">
        <f t="shared" si="29"/>
        <v>non-original</v>
      </c>
      <c r="P280" t="str">
        <f t="shared" si="30"/>
        <v>non-franchise</v>
      </c>
      <c r="Q280" t="str">
        <f t="shared" si="31"/>
        <v>new</v>
      </c>
      <c r="R280" s="2">
        <f t="shared" si="32"/>
        <v>5.9317130527065845E-4</v>
      </c>
      <c r="S280">
        <f t="shared" si="33"/>
        <v>0.40105263157894727</v>
      </c>
      <c r="T280" t="str">
        <f t="shared" si="34"/>
        <v>Scenario 2: Weak Commitment/Convenience</v>
      </c>
    </row>
    <row r="281" spans="1:20" x14ac:dyDescent="0.35">
      <c r="A281" t="s">
        <v>390</v>
      </c>
      <c r="B281" s="1">
        <v>44659</v>
      </c>
      <c r="C281">
        <v>2022</v>
      </c>
      <c r="D281">
        <v>4</v>
      </c>
      <c r="E281" t="s">
        <v>38</v>
      </c>
      <c r="F281">
        <v>98</v>
      </c>
      <c r="G281" t="s">
        <v>391</v>
      </c>
      <c r="H281" t="s">
        <v>24</v>
      </c>
      <c r="I281">
        <v>0</v>
      </c>
      <c r="J281">
        <v>0</v>
      </c>
      <c r="K281">
        <v>6.7</v>
      </c>
      <c r="L281">
        <v>36487</v>
      </c>
      <c r="M281" t="s">
        <v>17</v>
      </c>
      <c r="N281" t="str">
        <f t="shared" si="28"/>
        <v>streaming</v>
      </c>
      <c r="O281" t="str">
        <f t="shared" si="29"/>
        <v>non-original</v>
      </c>
      <c r="P281" t="str">
        <f t="shared" si="30"/>
        <v>non-franchise</v>
      </c>
      <c r="Q281" t="str">
        <f t="shared" si="31"/>
        <v>new</v>
      </c>
      <c r="R281" s="2">
        <f t="shared" si="32"/>
        <v>1.3361753699241707E-2</v>
      </c>
      <c r="S281">
        <f t="shared" si="33"/>
        <v>0.63473684210526315</v>
      </c>
      <c r="T281" t="str">
        <f t="shared" si="34"/>
        <v>Scenario 3: Strong Convenience</v>
      </c>
    </row>
    <row r="282" spans="1:20" x14ac:dyDescent="0.35">
      <c r="A282" t="s">
        <v>392</v>
      </c>
      <c r="B282" s="1">
        <v>44659</v>
      </c>
      <c r="C282">
        <v>2022</v>
      </c>
      <c r="D282">
        <v>4</v>
      </c>
      <c r="E282" t="s">
        <v>38</v>
      </c>
      <c r="F282">
        <v>125</v>
      </c>
      <c r="G282" t="s">
        <v>393</v>
      </c>
      <c r="H282" t="s">
        <v>30</v>
      </c>
      <c r="I282">
        <v>0</v>
      </c>
      <c r="J282">
        <v>0</v>
      </c>
      <c r="K282">
        <v>6.3</v>
      </c>
      <c r="L282">
        <v>5248</v>
      </c>
      <c r="M282" t="s">
        <v>88</v>
      </c>
      <c r="N282" t="str">
        <f t="shared" si="28"/>
        <v>streaming</v>
      </c>
      <c r="O282" t="str">
        <f t="shared" si="29"/>
        <v>non-original</v>
      </c>
      <c r="P282" t="str">
        <f t="shared" si="30"/>
        <v>non-franchise</v>
      </c>
      <c r="Q282" t="str">
        <f t="shared" si="31"/>
        <v>new</v>
      </c>
      <c r="R282" s="2">
        <f t="shared" si="32"/>
        <v>2.4513372743612235E-3</v>
      </c>
      <c r="S282">
        <f t="shared" si="33"/>
        <v>0.50092105263157893</v>
      </c>
      <c r="T282" t="str">
        <f t="shared" si="34"/>
        <v>Scenario 3: Strong Convenience</v>
      </c>
    </row>
    <row r="283" spans="1:20" x14ac:dyDescent="0.35">
      <c r="A283" t="s">
        <v>394</v>
      </c>
      <c r="B283" s="1">
        <v>44666</v>
      </c>
      <c r="C283">
        <v>2022</v>
      </c>
      <c r="D283">
        <v>4</v>
      </c>
      <c r="E283" t="s">
        <v>38</v>
      </c>
      <c r="F283">
        <v>85</v>
      </c>
      <c r="G283" t="s">
        <v>92</v>
      </c>
      <c r="H283" t="s">
        <v>16</v>
      </c>
      <c r="I283">
        <v>0</v>
      </c>
      <c r="J283">
        <v>0</v>
      </c>
      <c r="K283">
        <v>4.8</v>
      </c>
      <c r="L283">
        <v>28697</v>
      </c>
      <c r="M283" t="s">
        <v>17</v>
      </c>
      <c r="N283" t="str">
        <f t="shared" si="28"/>
        <v>streaming</v>
      </c>
      <c r="O283" t="str">
        <f t="shared" si="29"/>
        <v>non-original</v>
      </c>
      <c r="P283" t="str">
        <f t="shared" si="30"/>
        <v>non-franchise</v>
      </c>
      <c r="Q283" t="str">
        <f t="shared" si="31"/>
        <v>new</v>
      </c>
      <c r="R283" s="2">
        <f t="shared" si="32"/>
        <v>9.114957606401285E-3</v>
      </c>
      <c r="S283">
        <f t="shared" si="33"/>
        <v>0.48992481203007515</v>
      </c>
      <c r="T283" t="str">
        <f t="shared" si="34"/>
        <v>Scenario 2: Weak Commitment/Convenience</v>
      </c>
    </row>
    <row r="284" spans="1:20" x14ac:dyDescent="0.35">
      <c r="A284" t="s">
        <v>395</v>
      </c>
      <c r="B284" s="1">
        <v>44667</v>
      </c>
      <c r="C284">
        <v>2022</v>
      </c>
      <c r="D284">
        <v>4</v>
      </c>
      <c r="E284" t="s">
        <v>38</v>
      </c>
      <c r="F284">
        <v>111</v>
      </c>
      <c r="G284" t="s">
        <v>34</v>
      </c>
      <c r="H284" t="s">
        <v>30</v>
      </c>
      <c r="I284">
        <v>0</v>
      </c>
      <c r="J284">
        <v>0</v>
      </c>
      <c r="K284">
        <v>4</v>
      </c>
      <c r="L284">
        <v>227</v>
      </c>
      <c r="M284" t="s">
        <v>17</v>
      </c>
      <c r="N284" t="str">
        <f t="shared" si="28"/>
        <v>streaming</v>
      </c>
      <c r="O284" t="str">
        <f t="shared" si="29"/>
        <v>non-original</v>
      </c>
      <c r="P284" t="str">
        <f t="shared" si="30"/>
        <v>non-franchise</v>
      </c>
      <c r="Q284" t="str">
        <f t="shared" si="31"/>
        <v>new</v>
      </c>
      <c r="R284" s="2">
        <f t="shared" si="32"/>
        <v>9.415601417999962E-5</v>
      </c>
      <c r="S284">
        <f t="shared" si="33"/>
        <v>0.34962406015037595</v>
      </c>
      <c r="T284" t="str">
        <f t="shared" si="34"/>
        <v>Scenario 2: Weak Commitment/Convenience</v>
      </c>
    </row>
    <row r="285" spans="1:20" x14ac:dyDescent="0.35">
      <c r="A285" t="s">
        <v>396</v>
      </c>
      <c r="B285" s="1">
        <v>44678</v>
      </c>
      <c r="C285">
        <v>2022</v>
      </c>
      <c r="D285">
        <v>4</v>
      </c>
      <c r="E285" t="s">
        <v>38</v>
      </c>
      <c r="F285">
        <v>111</v>
      </c>
      <c r="G285" t="s">
        <v>397</v>
      </c>
      <c r="H285" t="s">
        <v>24</v>
      </c>
      <c r="I285">
        <v>0</v>
      </c>
      <c r="J285">
        <v>1</v>
      </c>
      <c r="K285">
        <v>2.7</v>
      </c>
      <c r="L285">
        <v>28005</v>
      </c>
      <c r="M285" t="s">
        <v>88</v>
      </c>
      <c r="N285" t="str">
        <f t="shared" si="28"/>
        <v>streaming</v>
      </c>
      <c r="O285" t="str">
        <f t="shared" si="29"/>
        <v>non-original</v>
      </c>
      <c r="P285" t="str">
        <f t="shared" si="30"/>
        <v>franchise</v>
      </c>
      <c r="Q285" t="str">
        <f t="shared" si="31"/>
        <v>old</v>
      </c>
      <c r="R285" s="2">
        <f t="shared" si="32"/>
        <v>1.742404742584288E-2</v>
      </c>
      <c r="S285">
        <f t="shared" si="33"/>
        <v>0.15733082706766915</v>
      </c>
      <c r="T285" t="str">
        <f t="shared" si="34"/>
        <v>Scenario 2: Weak Commitment/Convenience</v>
      </c>
    </row>
    <row r="286" spans="1:20" x14ac:dyDescent="0.35">
      <c r="A286" t="s">
        <v>398</v>
      </c>
      <c r="B286" s="1">
        <v>44678</v>
      </c>
      <c r="C286">
        <v>2022</v>
      </c>
      <c r="D286">
        <v>4</v>
      </c>
      <c r="E286" t="s">
        <v>38</v>
      </c>
      <c r="F286">
        <v>101</v>
      </c>
      <c r="G286" t="s">
        <v>49</v>
      </c>
      <c r="H286" t="s">
        <v>27</v>
      </c>
      <c r="I286">
        <v>0</v>
      </c>
      <c r="J286">
        <v>0</v>
      </c>
      <c r="K286">
        <v>6.3</v>
      </c>
      <c r="L286">
        <v>4803</v>
      </c>
      <c r="M286" t="s">
        <v>17</v>
      </c>
      <c r="N286" t="str">
        <f t="shared" si="28"/>
        <v>streaming</v>
      </c>
      <c r="O286" t="str">
        <f t="shared" si="29"/>
        <v>non-original</v>
      </c>
      <c r="P286" t="str">
        <f t="shared" si="30"/>
        <v>non-franchise</v>
      </c>
      <c r="Q286" t="str">
        <f t="shared" si="31"/>
        <v>new</v>
      </c>
      <c r="R286" s="2">
        <f t="shared" si="32"/>
        <v>1.812730283238495E-3</v>
      </c>
      <c r="S286">
        <f t="shared" si="33"/>
        <v>0.58618421052631586</v>
      </c>
      <c r="T286" t="str">
        <f t="shared" si="34"/>
        <v>Scenario 3: Strong Convenience</v>
      </c>
    </row>
    <row r="287" spans="1:20" x14ac:dyDescent="0.35">
      <c r="A287" t="s">
        <v>399</v>
      </c>
      <c r="B287" s="1">
        <v>44679</v>
      </c>
      <c r="C287">
        <v>2022</v>
      </c>
      <c r="D287">
        <v>4</v>
      </c>
      <c r="E287" t="s">
        <v>38</v>
      </c>
      <c r="F287">
        <v>101</v>
      </c>
      <c r="G287" t="s">
        <v>400</v>
      </c>
      <c r="H287" t="s">
        <v>56</v>
      </c>
      <c r="I287">
        <v>0</v>
      </c>
      <c r="J287">
        <v>0</v>
      </c>
      <c r="K287">
        <v>6.4</v>
      </c>
      <c r="L287">
        <v>9615</v>
      </c>
      <c r="M287" t="s">
        <v>17</v>
      </c>
      <c r="N287" t="str">
        <f t="shared" si="28"/>
        <v>streaming</v>
      </c>
      <c r="O287" t="str">
        <f t="shared" si="29"/>
        <v>non-original</v>
      </c>
      <c r="P287" t="str">
        <f t="shared" si="30"/>
        <v>non-franchise</v>
      </c>
      <c r="Q287" t="str">
        <f t="shared" si="31"/>
        <v>new</v>
      </c>
      <c r="R287" s="2">
        <f t="shared" si="32"/>
        <v>3.6288573127916156E-3</v>
      </c>
      <c r="S287">
        <f t="shared" si="33"/>
        <v>0.59548872180451129</v>
      </c>
      <c r="T287" t="str">
        <f t="shared" si="34"/>
        <v>Scenario 3: Strong Convenience</v>
      </c>
    </row>
    <row r="288" spans="1:20" x14ac:dyDescent="0.35">
      <c r="A288" t="s">
        <v>401</v>
      </c>
      <c r="B288" s="1">
        <v>44687</v>
      </c>
      <c r="C288">
        <v>2022</v>
      </c>
      <c r="D288">
        <v>5</v>
      </c>
      <c r="E288" t="s">
        <v>38</v>
      </c>
      <c r="F288">
        <v>107</v>
      </c>
      <c r="G288" t="s">
        <v>34</v>
      </c>
      <c r="H288" t="s">
        <v>30</v>
      </c>
      <c r="I288">
        <v>0</v>
      </c>
      <c r="J288">
        <v>0</v>
      </c>
      <c r="K288">
        <v>6.2</v>
      </c>
      <c r="L288">
        <v>10601</v>
      </c>
      <c r="M288" t="s">
        <v>17</v>
      </c>
      <c r="N288" t="str">
        <f t="shared" si="28"/>
        <v>streaming</v>
      </c>
      <c r="O288" t="str">
        <f t="shared" si="29"/>
        <v>non-original</v>
      </c>
      <c r="P288" t="str">
        <f t="shared" si="30"/>
        <v>non-franchise</v>
      </c>
      <c r="Q288" t="str">
        <f t="shared" si="31"/>
        <v>new</v>
      </c>
      <c r="R288" s="2">
        <f t="shared" si="32"/>
        <v>4.2386723013244755E-3</v>
      </c>
      <c r="S288">
        <f t="shared" si="33"/>
        <v>0.55590225563909779</v>
      </c>
      <c r="T288" t="str">
        <f t="shared" si="34"/>
        <v>Scenario 3: Strong Convenience</v>
      </c>
    </row>
    <row r="289" spans="1:20" x14ac:dyDescent="0.35">
      <c r="A289" t="s">
        <v>402</v>
      </c>
      <c r="B289" s="1">
        <v>44687</v>
      </c>
      <c r="C289">
        <v>2022</v>
      </c>
      <c r="D289">
        <v>5</v>
      </c>
      <c r="E289" t="s">
        <v>38</v>
      </c>
      <c r="F289">
        <v>121</v>
      </c>
      <c r="G289" t="s">
        <v>41</v>
      </c>
      <c r="H289" t="s">
        <v>30</v>
      </c>
      <c r="I289">
        <v>0</v>
      </c>
      <c r="J289">
        <v>0</v>
      </c>
      <c r="K289">
        <v>5.8</v>
      </c>
      <c r="L289">
        <v>9586</v>
      </c>
      <c r="M289" t="s">
        <v>88</v>
      </c>
      <c r="N289" t="str">
        <f t="shared" si="28"/>
        <v>streaming</v>
      </c>
      <c r="O289" t="str">
        <f t="shared" si="29"/>
        <v>non-original</v>
      </c>
      <c r="P289" t="str">
        <f t="shared" si="30"/>
        <v>non-franchise</v>
      </c>
      <c r="Q289" t="str">
        <f t="shared" si="31"/>
        <v>new</v>
      </c>
      <c r="R289" s="2">
        <f t="shared" si="32"/>
        <v>4.3343305069439477E-3</v>
      </c>
      <c r="S289">
        <f t="shared" si="33"/>
        <v>0.47424812030075181</v>
      </c>
      <c r="T289" t="str">
        <f t="shared" si="34"/>
        <v>Scenario 2: Weak Commitment/Convenience</v>
      </c>
    </row>
    <row r="290" spans="1:20" x14ac:dyDescent="0.35">
      <c r="A290" t="s">
        <v>403</v>
      </c>
      <c r="B290" s="1">
        <v>44687</v>
      </c>
      <c r="C290">
        <v>2022</v>
      </c>
      <c r="D290">
        <v>5</v>
      </c>
      <c r="E290" t="s">
        <v>38</v>
      </c>
      <c r="F290">
        <v>108</v>
      </c>
      <c r="G290" t="s">
        <v>404</v>
      </c>
      <c r="H290" t="s">
        <v>30</v>
      </c>
      <c r="I290">
        <v>0</v>
      </c>
      <c r="J290">
        <v>0</v>
      </c>
      <c r="K290">
        <v>6.1</v>
      </c>
      <c r="L290">
        <v>8324</v>
      </c>
      <c r="M290" t="s">
        <v>17</v>
      </c>
      <c r="N290" t="str">
        <f t="shared" si="28"/>
        <v>streaming</v>
      </c>
      <c r="O290" t="str">
        <f t="shared" si="29"/>
        <v>non-original</v>
      </c>
      <c r="P290" t="str">
        <f t="shared" si="30"/>
        <v>non-franchise</v>
      </c>
      <c r="Q290" t="str">
        <f t="shared" si="31"/>
        <v>new</v>
      </c>
      <c r="R290" s="2">
        <f t="shared" si="32"/>
        <v>3.3593484740130257E-3</v>
      </c>
      <c r="S290">
        <f t="shared" si="33"/>
        <v>0.54349624060150381</v>
      </c>
      <c r="T290" t="str">
        <f t="shared" si="34"/>
        <v>Scenario 3: Strong Convenience</v>
      </c>
    </row>
    <row r="291" spans="1:20" x14ac:dyDescent="0.35">
      <c r="A291" t="s">
        <v>405</v>
      </c>
      <c r="B291" s="1">
        <v>44694</v>
      </c>
      <c r="C291">
        <v>2022</v>
      </c>
      <c r="D291">
        <v>5</v>
      </c>
      <c r="E291" t="s">
        <v>38</v>
      </c>
      <c r="F291">
        <v>113</v>
      </c>
      <c r="G291" t="s">
        <v>21</v>
      </c>
      <c r="H291" t="s">
        <v>24</v>
      </c>
      <c r="I291">
        <v>0</v>
      </c>
      <c r="J291">
        <v>0</v>
      </c>
      <c r="K291">
        <v>5.5</v>
      </c>
      <c r="L291">
        <v>47863</v>
      </c>
      <c r="M291" t="s">
        <v>88</v>
      </c>
      <c r="N291" t="str">
        <f t="shared" si="28"/>
        <v>streaming</v>
      </c>
      <c r="O291" t="str">
        <f t="shared" si="29"/>
        <v>non-original</v>
      </c>
      <c r="P291" t="str">
        <f t="shared" si="30"/>
        <v>non-franchise</v>
      </c>
      <c r="Q291" t="str">
        <f t="shared" si="31"/>
        <v>new</v>
      </c>
      <c r="R291" s="2">
        <f t="shared" si="32"/>
        <v>2.0210524731388551E-2</v>
      </c>
      <c r="S291">
        <f t="shared" si="33"/>
        <v>0.47453007518796997</v>
      </c>
      <c r="T291" t="str">
        <f t="shared" si="34"/>
        <v>Scenario 2: Weak Commitment/Convenience</v>
      </c>
    </row>
    <row r="292" spans="1:20" x14ac:dyDescent="0.35">
      <c r="A292" t="s">
        <v>406</v>
      </c>
      <c r="B292" s="1">
        <v>44699</v>
      </c>
      <c r="C292">
        <v>2022</v>
      </c>
      <c r="D292">
        <v>5</v>
      </c>
      <c r="E292" t="s">
        <v>38</v>
      </c>
      <c r="F292">
        <v>90</v>
      </c>
      <c r="G292" t="s">
        <v>34</v>
      </c>
      <c r="H292" t="s">
        <v>30</v>
      </c>
      <c r="I292">
        <v>0</v>
      </c>
      <c r="J292">
        <v>0</v>
      </c>
      <c r="K292">
        <v>6.1</v>
      </c>
      <c r="L292">
        <v>84</v>
      </c>
      <c r="M292" t="s">
        <v>88</v>
      </c>
      <c r="N292" t="str">
        <f t="shared" si="28"/>
        <v>streaming</v>
      </c>
      <c r="O292" t="str">
        <f t="shared" si="29"/>
        <v>non-original</v>
      </c>
      <c r="P292" t="str">
        <f t="shared" si="30"/>
        <v>non-franchise</v>
      </c>
      <c r="Q292" t="str">
        <f t="shared" si="31"/>
        <v>new</v>
      </c>
      <c r="R292" s="2">
        <f t="shared" si="32"/>
        <v>2.825016736916288E-5</v>
      </c>
      <c r="S292">
        <f t="shared" si="33"/>
        <v>0.6054135338345864</v>
      </c>
      <c r="T292" t="str">
        <f t="shared" si="34"/>
        <v>Scenario 3: Strong Convenience</v>
      </c>
    </row>
    <row r="293" spans="1:20" x14ac:dyDescent="0.35">
      <c r="A293" t="s">
        <v>407</v>
      </c>
      <c r="B293" s="1">
        <v>44700</v>
      </c>
      <c r="C293">
        <v>2022</v>
      </c>
      <c r="D293">
        <v>5</v>
      </c>
      <c r="E293" t="s">
        <v>38</v>
      </c>
      <c r="F293">
        <v>102</v>
      </c>
      <c r="G293" t="s">
        <v>29</v>
      </c>
      <c r="H293" t="s">
        <v>56</v>
      </c>
      <c r="I293">
        <v>0</v>
      </c>
      <c r="J293">
        <v>0</v>
      </c>
      <c r="K293">
        <v>6.1</v>
      </c>
      <c r="L293">
        <v>19293</v>
      </c>
      <c r="M293" t="s">
        <v>88</v>
      </c>
      <c r="N293" t="str">
        <f t="shared" si="28"/>
        <v>streaming</v>
      </c>
      <c r="O293" t="str">
        <f t="shared" si="29"/>
        <v>non-original</v>
      </c>
      <c r="P293" t="str">
        <f t="shared" si="30"/>
        <v>non-franchise</v>
      </c>
      <c r="Q293" t="str">
        <f t="shared" si="31"/>
        <v>new</v>
      </c>
      <c r="R293" s="2">
        <f t="shared" si="32"/>
        <v>7.3535858284963567E-3</v>
      </c>
      <c r="S293">
        <f t="shared" si="33"/>
        <v>0.56413533834586471</v>
      </c>
      <c r="T293" t="str">
        <f t="shared" si="34"/>
        <v>Scenario 3: Strong Convenience</v>
      </c>
    </row>
    <row r="294" spans="1:20" x14ac:dyDescent="0.35">
      <c r="A294" t="s">
        <v>408</v>
      </c>
      <c r="B294" s="1">
        <v>44701</v>
      </c>
      <c r="C294">
        <v>2022</v>
      </c>
      <c r="D294">
        <v>5</v>
      </c>
      <c r="E294" t="s">
        <v>38</v>
      </c>
      <c r="F294">
        <v>92</v>
      </c>
      <c r="G294" t="s">
        <v>29</v>
      </c>
      <c r="H294" t="s">
        <v>30</v>
      </c>
      <c r="I294">
        <v>0</v>
      </c>
      <c r="J294">
        <v>0</v>
      </c>
      <c r="K294">
        <v>3.9</v>
      </c>
      <c r="L294">
        <v>1522</v>
      </c>
      <c r="M294" t="s">
        <v>88</v>
      </c>
      <c r="N294" t="str">
        <f t="shared" si="28"/>
        <v>streaming</v>
      </c>
      <c r="O294" t="str">
        <f t="shared" si="29"/>
        <v>non-original</v>
      </c>
      <c r="P294" t="str">
        <f t="shared" si="30"/>
        <v>non-franchise</v>
      </c>
      <c r="Q294" t="str">
        <f t="shared" si="31"/>
        <v>new</v>
      </c>
      <c r="R294" s="2">
        <f t="shared" si="32"/>
        <v>5.2324093064810362E-4</v>
      </c>
      <c r="S294">
        <f t="shared" si="33"/>
        <v>0.38266917293233083</v>
      </c>
      <c r="T294" t="str">
        <f t="shared" si="34"/>
        <v>Scenario 2: Weak Commitment/Convenience</v>
      </c>
    </row>
    <row r="295" spans="1:20" x14ac:dyDescent="0.35">
      <c r="A295" t="s">
        <v>409</v>
      </c>
      <c r="B295" s="1">
        <v>44704</v>
      </c>
      <c r="C295">
        <v>2022</v>
      </c>
      <c r="D295">
        <v>5</v>
      </c>
      <c r="E295" t="s">
        <v>38</v>
      </c>
      <c r="F295">
        <v>119</v>
      </c>
      <c r="G295" t="s">
        <v>34</v>
      </c>
      <c r="H295" t="s">
        <v>30</v>
      </c>
      <c r="I295">
        <v>0</v>
      </c>
      <c r="J295">
        <v>0</v>
      </c>
      <c r="K295">
        <v>6.5</v>
      </c>
      <c r="L295">
        <v>3721</v>
      </c>
      <c r="M295" t="s">
        <v>17</v>
      </c>
      <c r="N295" t="str">
        <f t="shared" si="28"/>
        <v>streaming</v>
      </c>
      <c r="O295" t="str">
        <f t="shared" si="29"/>
        <v>non-original</v>
      </c>
      <c r="P295" t="str">
        <f t="shared" si="30"/>
        <v>non-franchise</v>
      </c>
      <c r="Q295" t="str">
        <f t="shared" si="31"/>
        <v>new</v>
      </c>
      <c r="R295" s="2">
        <f t="shared" si="32"/>
        <v>1.6546489233992005E-3</v>
      </c>
      <c r="S295">
        <f t="shared" si="33"/>
        <v>0.53881578947368425</v>
      </c>
      <c r="T295" t="str">
        <f t="shared" si="34"/>
        <v>Scenario 3: Strong Convenience</v>
      </c>
    </row>
    <row r="296" spans="1:20" x14ac:dyDescent="0.35">
      <c r="A296" t="s">
        <v>410</v>
      </c>
      <c r="B296" s="1">
        <v>44715</v>
      </c>
      <c r="C296">
        <v>2022</v>
      </c>
      <c r="D296">
        <v>6</v>
      </c>
      <c r="E296" t="s">
        <v>78</v>
      </c>
      <c r="F296">
        <v>98</v>
      </c>
      <c r="G296" t="s">
        <v>411</v>
      </c>
      <c r="H296" t="s">
        <v>30</v>
      </c>
      <c r="I296">
        <v>0</v>
      </c>
      <c r="J296">
        <v>0</v>
      </c>
      <c r="K296">
        <v>4.7</v>
      </c>
      <c r="L296">
        <v>29442</v>
      </c>
      <c r="M296" t="s">
        <v>17</v>
      </c>
      <c r="N296" t="str">
        <f t="shared" si="28"/>
        <v>streaming</v>
      </c>
      <c r="O296" t="str">
        <f t="shared" si="29"/>
        <v>non-original</v>
      </c>
      <c r="P296" t="str">
        <f t="shared" si="30"/>
        <v>non-franchise</v>
      </c>
      <c r="Q296" t="str">
        <f t="shared" si="31"/>
        <v>new</v>
      </c>
      <c r="R296" s="2">
        <f t="shared" si="32"/>
        <v>1.0781833321815287E-2</v>
      </c>
      <c r="S296">
        <f t="shared" si="33"/>
        <v>0.44526315789473686</v>
      </c>
      <c r="T296" t="str">
        <f t="shared" si="34"/>
        <v>Scenario 2: Weak Commitment/Convenience</v>
      </c>
    </row>
    <row r="297" spans="1:20" x14ac:dyDescent="0.35">
      <c r="A297" t="s">
        <v>412</v>
      </c>
      <c r="B297" s="1">
        <v>44720</v>
      </c>
      <c r="C297">
        <v>2022</v>
      </c>
      <c r="D297">
        <v>6</v>
      </c>
      <c r="E297" t="s">
        <v>78</v>
      </c>
      <c r="F297">
        <v>118</v>
      </c>
      <c r="G297" t="s">
        <v>45</v>
      </c>
      <c r="H297" t="s">
        <v>24</v>
      </c>
      <c r="I297">
        <v>0</v>
      </c>
      <c r="J297">
        <v>0</v>
      </c>
      <c r="K297">
        <v>7.3</v>
      </c>
      <c r="L297">
        <v>162766</v>
      </c>
      <c r="M297" t="s">
        <v>88</v>
      </c>
      <c r="N297" t="str">
        <f t="shared" si="28"/>
        <v>streaming</v>
      </c>
      <c r="O297" t="str">
        <f t="shared" si="29"/>
        <v>non-original</v>
      </c>
      <c r="P297" t="str">
        <f t="shared" si="30"/>
        <v>non-franchise</v>
      </c>
      <c r="Q297" t="str">
        <f t="shared" si="31"/>
        <v>new</v>
      </c>
      <c r="R297" s="2">
        <f t="shared" si="32"/>
        <v>7.1770327454640404E-2</v>
      </c>
      <c r="S297">
        <f t="shared" si="33"/>
        <v>0.60924812030075193</v>
      </c>
      <c r="T297" t="str">
        <f t="shared" si="34"/>
        <v>Scenario 4: Hybrid Logic</v>
      </c>
    </row>
    <row r="298" spans="1:20" x14ac:dyDescent="0.35">
      <c r="A298" t="s">
        <v>413</v>
      </c>
      <c r="B298" s="1">
        <v>44727</v>
      </c>
      <c r="C298">
        <v>2022</v>
      </c>
      <c r="D298">
        <v>6</v>
      </c>
      <c r="E298" t="s">
        <v>78</v>
      </c>
      <c r="F298">
        <v>108</v>
      </c>
      <c r="G298" t="s">
        <v>29</v>
      </c>
      <c r="H298" t="s">
        <v>30</v>
      </c>
      <c r="I298">
        <v>0</v>
      </c>
      <c r="J298">
        <v>0</v>
      </c>
      <c r="K298">
        <v>5.0999999999999996</v>
      </c>
      <c r="L298">
        <v>881</v>
      </c>
      <c r="M298" t="s">
        <v>17</v>
      </c>
      <c r="N298" t="str">
        <f t="shared" si="28"/>
        <v>streaming</v>
      </c>
      <c r="O298" t="str">
        <f t="shared" si="29"/>
        <v>non-original</v>
      </c>
      <c r="P298" t="str">
        <f t="shared" si="30"/>
        <v>non-franchise</v>
      </c>
      <c r="Q298" t="str">
        <f t="shared" si="31"/>
        <v>new</v>
      </c>
      <c r="R298" s="2">
        <f t="shared" si="32"/>
        <v>3.5554853503189278E-4</v>
      </c>
      <c r="S298">
        <f t="shared" si="33"/>
        <v>0.45439849624060152</v>
      </c>
      <c r="T298" t="str">
        <f t="shared" si="34"/>
        <v>Scenario 2: Weak Commitment/Convenience</v>
      </c>
    </row>
    <row r="299" spans="1:20" x14ac:dyDescent="0.35">
      <c r="A299" t="s">
        <v>414</v>
      </c>
      <c r="B299" s="1">
        <v>44727</v>
      </c>
      <c r="C299">
        <v>2022</v>
      </c>
      <c r="D299">
        <v>6</v>
      </c>
      <c r="E299" t="s">
        <v>78</v>
      </c>
      <c r="F299">
        <v>98</v>
      </c>
      <c r="G299" t="s">
        <v>19</v>
      </c>
      <c r="H299" t="s">
        <v>30</v>
      </c>
      <c r="I299">
        <v>0</v>
      </c>
      <c r="J299">
        <v>0</v>
      </c>
      <c r="K299">
        <v>5.8</v>
      </c>
      <c r="L299">
        <v>5565</v>
      </c>
      <c r="M299" t="s">
        <v>17</v>
      </c>
      <c r="N299" t="str">
        <f t="shared" si="28"/>
        <v>streaming</v>
      </c>
      <c r="O299" t="str">
        <f t="shared" si="29"/>
        <v>non-original</v>
      </c>
      <c r="P299" t="str">
        <f t="shared" si="30"/>
        <v>non-franchise</v>
      </c>
      <c r="Q299" t="str">
        <f t="shared" si="31"/>
        <v>new</v>
      </c>
      <c r="R299" s="2">
        <f t="shared" si="32"/>
        <v>2.0379356849365557E-3</v>
      </c>
      <c r="S299">
        <f t="shared" si="33"/>
        <v>0.54947368421052623</v>
      </c>
      <c r="T299" t="str">
        <f t="shared" si="34"/>
        <v>Scenario 3: Strong Convenience</v>
      </c>
    </row>
    <row r="300" spans="1:20" x14ac:dyDescent="0.35">
      <c r="A300" t="s">
        <v>415</v>
      </c>
      <c r="B300" s="1">
        <v>44729</v>
      </c>
      <c r="C300">
        <v>2022</v>
      </c>
      <c r="D300">
        <v>6</v>
      </c>
      <c r="E300" t="s">
        <v>78</v>
      </c>
      <c r="F300">
        <v>107</v>
      </c>
      <c r="G300" t="s">
        <v>416</v>
      </c>
      <c r="H300" t="s">
        <v>24</v>
      </c>
      <c r="I300">
        <v>0</v>
      </c>
      <c r="J300">
        <v>0</v>
      </c>
      <c r="K300">
        <v>5.5</v>
      </c>
      <c r="L300">
        <v>72501</v>
      </c>
      <c r="M300" t="s">
        <v>17</v>
      </c>
      <c r="N300" t="str">
        <f t="shared" si="28"/>
        <v>streaming</v>
      </c>
      <c r="O300" t="str">
        <f t="shared" si="29"/>
        <v>non-original</v>
      </c>
      <c r="P300" t="str">
        <f t="shared" si="30"/>
        <v>non-franchise</v>
      </c>
      <c r="Q300" t="str">
        <f t="shared" si="31"/>
        <v>new</v>
      </c>
      <c r="R300" s="2">
        <f t="shared" si="32"/>
        <v>2.898858414473407E-2</v>
      </c>
      <c r="S300">
        <f t="shared" si="33"/>
        <v>0.49313909774436099</v>
      </c>
      <c r="T300" t="str">
        <f t="shared" si="34"/>
        <v>Scenario 2: Weak Commitment/Convenience</v>
      </c>
    </row>
    <row r="301" spans="1:20" x14ac:dyDescent="0.35">
      <c r="A301" t="s">
        <v>417</v>
      </c>
      <c r="B301" s="1">
        <v>44732</v>
      </c>
      <c r="C301">
        <v>2022</v>
      </c>
      <c r="D301">
        <v>6</v>
      </c>
      <c r="E301" t="s">
        <v>78</v>
      </c>
      <c r="F301">
        <v>100</v>
      </c>
      <c r="G301" t="s">
        <v>34</v>
      </c>
      <c r="H301" t="s">
        <v>30</v>
      </c>
      <c r="I301">
        <v>0</v>
      </c>
      <c r="J301">
        <v>0</v>
      </c>
      <c r="K301">
        <v>4.9000000000000004</v>
      </c>
      <c r="L301">
        <v>2813</v>
      </c>
      <c r="M301" t="s">
        <v>17</v>
      </c>
      <c r="N301" t="str">
        <f t="shared" si="28"/>
        <v>streaming</v>
      </c>
      <c r="O301" t="str">
        <f t="shared" si="29"/>
        <v>non-original</v>
      </c>
      <c r="P301" t="str">
        <f t="shared" si="30"/>
        <v>non-franchise</v>
      </c>
      <c r="Q301" t="str">
        <f t="shared" si="31"/>
        <v>new</v>
      </c>
      <c r="R301" s="2">
        <f t="shared" si="32"/>
        <v>1.0511603281673967E-3</v>
      </c>
      <c r="S301">
        <f t="shared" si="33"/>
        <v>0.45868421052631586</v>
      </c>
      <c r="T301" t="str">
        <f t="shared" si="34"/>
        <v>Scenario 2: Weak Commitment/Convenience</v>
      </c>
    </row>
    <row r="302" spans="1:20" x14ac:dyDescent="0.35">
      <c r="A302" t="s">
        <v>418</v>
      </c>
      <c r="B302" s="1">
        <v>44734</v>
      </c>
      <c r="C302">
        <v>2022</v>
      </c>
      <c r="D302">
        <v>6</v>
      </c>
      <c r="E302" t="s">
        <v>78</v>
      </c>
      <c r="F302">
        <v>112</v>
      </c>
      <c r="G302" t="s">
        <v>269</v>
      </c>
      <c r="H302" t="s">
        <v>27</v>
      </c>
      <c r="I302">
        <v>0</v>
      </c>
      <c r="J302">
        <v>0</v>
      </c>
      <c r="K302">
        <v>5.2</v>
      </c>
      <c r="L302">
        <v>7332</v>
      </c>
      <c r="M302" t="s">
        <v>17</v>
      </c>
      <c r="N302" t="str">
        <f t="shared" si="28"/>
        <v>streaming</v>
      </c>
      <c r="O302" t="str">
        <f t="shared" si="29"/>
        <v>non-original</v>
      </c>
      <c r="P302" t="str">
        <f t="shared" si="30"/>
        <v>non-franchise</v>
      </c>
      <c r="Q302" t="str">
        <f t="shared" si="31"/>
        <v>new</v>
      </c>
      <c r="R302" s="2">
        <f t="shared" si="32"/>
        <v>3.0685959577881811E-3</v>
      </c>
      <c r="S302">
        <f t="shared" si="33"/>
        <v>0.45157894736842108</v>
      </c>
      <c r="T302" t="str">
        <f t="shared" si="34"/>
        <v>Scenario 2: Weak Commitment/Convenience</v>
      </c>
    </row>
    <row r="303" spans="1:20" x14ac:dyDescent="0.35">
      <c r="A303" t="s">
        <v>419</v>
      </c>
      <c r="B303" s="1">
        <v>44740</v>
      </c>
      <c r="C303">
        <v>2022</v>
      </c>
      <c r="D303">
        <v>6</v>
      </c>
      <c r="E303" t="s">
        <v>78</v>
      </c>
      <c r="F303">
        <v>115</v>
      </c>
      <c r="G303" t="s">
        <v>420</v>
      </c>
      <c r="H303" t="s">
        <v>30</v>
      </c>
      <c r="I303">
        <v>0</v>
      </c>
      <c r="J303">
        <v>0</v>
      </c>
      <c r="K303">
        <v>4.8</v>
      </c>
      <c r="L303">
        <v>2762</v>
      </c>
      <c r="M303" t="s">
        <v>17</v>
      </c>
      <c r="N303" t="str">
        <f t="shared" si="28"/>
        <v>streaming</v>
      </c>
      <c r="O303" t="str">
        <f t="shared" si="29"/>
        <v>non-original</v>
      </c>
      <c r="P303" t="str">
        <f t="shared" si="30"/>
        <v>non-franchise</v>
      </c>
      <c r="Q303" t="str">
        <f t="shared" si="31"/>
        <v>new</v>
      </c>
      <c r="R303" s="2">
        <f t="shared" si="32"/>
        <v>1.1869180769136516E-3</v>
      </c>
      <c r="S303">
        <f t="shared" si="33"/>
        <v>0.40872180451127821</v>
      </c>
      <c r="T303" t="str">
        <f t="shared" si="34"/>
        <v>Scenario 2: Weak Commitment/Convenience</v>
      </c>
    </row>
    <row r="304" spans="1:20" x14ac:dyDescent="0.35">
      <c r="A304" t="s">
        <v>421</v>
      </c>
      <c r="B304" s="1">
        <v>44741</v>
      </c>
      <c r="C304">
        <v>2022</v>
      </c>
      <c r="D304">
        <v>6</v>
      </c>
      <c r="E304" t="s">
        <v>78</v>
      </c>
      <c r="F304">
        <v>95</v>
      </c>
      <c r="G304" t="s">
        <v>34</v>
      </c>
      <c r="H304" t="s">
        <v>24</v>
      </c>
      <c r="I304">
        <v>0</v>
      </c>
      <c r="J304">
        <v>0</v>
      </c>
      <c r="K304">
        <v>4.2</v>
      </c>
      <c r="L304">
        <v>928</v>
      </c>
      <c r="M304" t="s">
        <v>17</v>
      </c>
      <c r="N304" t="str">
        <f t="shared" si="28"/>
        <v>streaming</v>
      </c>
      <c r="O304" t="str">
        <f t="shared" si="29"/>
        <v>non-original</v>
      </c>
      <c r="P304" t="str">
        <f t="shared" si="30"/>
        <v>non-franchise</v>
      </c>
      <c r="Q304" t="str">
        <f t="shared" si="31"/>
        <v>new</v>
      </c>
      <c r="R304" s="2">
        <f t="shared" si="32"/>
        <v>3.2943581418854492E-4</v>
      </c>
      <c r="S304">
        <f t="shared" si="33"/>
        <v>0.40500000000000003</v>
      </c>
      <c r="T304" t="str">
        <f t="shared" si="34"/>
        <v>Scenario 2: Weak Commitment/Convenience</v>
      </c>
    </row>
    <row r="305" spans="1:20" x14ac:dyDescent="0.35">
      <c r="A305" t="s">
        <v>422</v>
      </c>
      <c r="B305" s="1">
        <v>44750</v>
      </c>
      <c r="C305">
        <v>2022</v>
      </c>
      <c r="D305">
        <v>7</v>
      </c>
      <c r="E305" t="s">
        <v>78</v>
      </c>
      <c r="F305">
        <v>109</v>
      </c>
      <c r="G305" t="s">
        <v>90</v>
      </c>
      <c r="H305" t="s">
        <v>24</v>
      </c>
      <c r="I305">
        <v>0</v>
      </c>
      <c r="J305">
        <v>0</v>
      </c>
      <c r="K305">
        <v>4.2</v>
      </c>
      <c r="L305">
        <v>2694</v>
      </c>
      <c r="M305" t="s">
        <v>88</v>
      </c>
      <c r="N305" t="str">
        <f t="shared" si="28"/>
        <v>streaming</v>
      </c>
      <c r="O305" t="str">
        <f t="shared" si="29"/>
        <v>non-original</v>
      </c>
      <c r="P305" t="str">
        <f t="shared" si="30"/>
        <v>non-franchise</v>
      </c>
      <c r="Q305" t="str">
        <f t="shared" si="31"/>
        <v>new</v>
      </c>
      <c r="R305" s="2">
        <f t="shared" si="32"/>
        <v>1.0972947946144447E-3</v>
      </c>
      <c r="S305">
        <f t="shared" si="33"/>
        <v>0.37184210526315797</v>
      </c>
      <c r="T305" t="str">
        <f t="shared" si="34"/>
        <v>Scenario 2: Weak Commitment/Convenience</v>
      </c>
    </row>
    <row r="306" spans="1:20" x14ac:dyDescent="0.35">
      <c r="A306" t="s">
        <v>423</v>
      </c>
      <c r="B306" s="1">
        <v>44750</v>
      </c>
      <c r="C306">
        <v>2022</v>
      </c>
      <c r="D306">
        <v>7</v>
      </c>
      <c r="E306" t="s">
        <v>78</v>
      </c>
      <c r="F306">
        <v>80</v>
      </c>
      <c r="G306" t="s">
        <v>34</v>
      </c>
      <c r="H306" t="s">
        <v>24</v>
      </c>
      <c r="I306">
        <v>0</v>
      </c>
      <c r="J306">
        <v>0</v>
      </c>
      <c r="K306">
        <v>3.5</v>
      </c>
      <c r="L306">
        <v>185</v>
      </c>
      <c r="M306" t="s">
        <v>17</v>
      </c>
      <c r="N306" t="str">
        <f t="shared" si="28"/>
        <v>streaming</v>
      </c>
      <c r="O306" t="str">
        <f t="shared" si="29"/>
        <v>non-original</v>
      </c>
      <c r="P306" t="str">
        <f t="shared" si="30"/>
        <v>non-franchise</v>
      </c>
      <c r="Q306" t="str">
        <f t="shared" si="31"/>
        <v>new</v>
      </c>
      <c r="R306" s="2">
        <f t="shared" si="32"/>
        <v>5.5304560458149553E-5</v>
      </c>
      <c r="S306">
        <f t="shared" si="33"/>
        <v>0.36710526315789466</v>
      </c>
      <c r="T306" t="str">
        <f t="shared" si="34"/>
        <v>Scenario 2: Weak Commitment/Convenience</v>
      </c>
    </row>
    <row r="307" spans="1:20" x14ac:dyDescent="0.35">
      <c r="A307" t="s">
        <v>424</v>
      </c>
      <c r="B307" s="1">
        <v>44750</v>
      </c>
      <c r="C307">
        <v>2022</v>
      </c>
      <c r="D307">
        <v>7</v>
      </c>
      <c r="E307" t="s">
        <v>78</v>
      </c>
      <c r="F307">
        <v>119</v>
      </c>
      <c r="G307" t="s">
        <v>425</v>
      </c>
      <c r="H307" t="s">
        <v>56</v>
      </c>
      <c r="I307">
        <v>0</v>
      </c>
      <c r="J307">
        <v>0</v>
      </c>
      <c r="K307">
        <v>7</v>
      </c>
      <c r="L307">
        <v>64752</v>
      </c>
      <c r="M307" t="s">
        <v>88</v>
      </c>
      <c r="N307" t="str">
        <f t="shared" si="28"/>
        <v>streaming</v>
      </c>
      <c r="O307" t="str">
        <f t="shared" si="29"/>
        <v>non-original</v>
      </c>
      <c r="P307" t="str">
        <f t="shared" si="30"/>
        <v>non-franchise</v>
      </c>
      <c r="Q307" t="str">
        <f t="shared" si="31"/>
        <v>new</v>
      </c>
      <c r="R307" s="2">
        <f t="shared" si="32"/>
        <v>2.8793826145644994E-2</v>
      </c>
      <c r="S307">
        <f t="shared" si="33"/>
        <v>0.5802631578947367</v>
      </c>
      <c r="T307" t="str">
        <f t="shared" si="34"/>
        <v>Scenario 3: Strong Convenience</v>
      </c>
    </row>
    <row r="308" spans="1:20" x14ac:dyDescent="0.35">
      <c r="A308" t="s">
        <v>426</v>
      </c>
      <c r="B308" s="1">
        <v>44753</v>
      </c>
      <c r="C308">
        <v>2022</v>
      </c>
      <c r="D308">
        <v>7</v>
      </c>
      <c r="E308" t="s">
        <v>78</v>
      </c>
      <c r="F308">
        <v>90</v>
      </c>
      <c r="G308" t="s">
        <v>34</v>
      </c>
      <c r="H308" t="s">
        <v>24</v>
      </c>
      <c r="I308">
        <v>0</v>
      </c>
      <c r="J308">
        <v>0</v>
      </c>
      <c r="K308">
        <v>4</v>
      </c>
      <c r="L308">
        <v>372</v>
      </c>
      <c r="M308" t="s">
        <v>17</v>
      </c>
      <c r="N308" t="str">
        <f t="shared" si="28"/>
        <v>streaming</v>
      </c>
      <c r="O308" t="str">
        <f t="shared" si="29"/>
        <v>non-original</v>
      </c>
      <c r="P308" t="str">
        <f t="shared" si="30"/>
        <v>non-franchise</v>
      </c>
      <c r="Q308" t="str">
        <f t="shared" si="31"/>
        <v>new</v>
      </c>
      <c r="R308" s="2">
        <f t="shared" si="32"/>
        <v>1.2510788406343561E-4</v>
      </c>
      <c r="S308">
        <f t="shared" si="33"/>
        <v>0.39699248120300756</v>
      </c>
      <c r="T308" t="str">
        <f t="shared" si="34"/>
        <v>Scenario 2: Weak Commitment/Convenience</v>
      </c>
    </row>
    <row r="309" spans="1:20" x14ac:dyDescent="0.35">
      <c r="A309" t="s">
        <v>427</v>
      </c>
      <c r="B309" s="1">
        <v>44755</v>
      </c>
      <c r="C309">
        <v>2022</v>
      </c>
      <c r="D309">
        <v>7</v>
      </c>
      <c r="E309" t="s">
        <v>78</v>
      </c>
      <c r="F309">
        <v>90</v>
      </c>
      <c r="G309" t="s">
        <v>116</v>
      </c>
      <c r="H309" t="s">
        <v>27</v>
      </c>
      <c r="I309">
        <v>0</v>
      </c>
      <c r="J309">
        <v>0</v>
      </c>
      <c r="K309">
        <v>5.4</v>
      </c>
      <c r="L309">
        <v>1633</v>
      </c>
      <c r="M309" t="s">
        <v>17</v>
      </c>
      <c r="N309" t="str">
        <f t="shared" si="28"/>
        <v>streaming</v>
      </c>
      <c r="O309" t="str">
        <f t="shared" si="29"/>
        <v>non-original</v>
      </c>
      <c r="P309" t="str">
        <f t="shared" si="30"/>
        <v>non-franchise</v>
      </c>
      <c r="Q309" t="str">
        <f t="shared" si="31"/>
        <v>new</v>
      </c>
      <c r="R309" s="2">
        <f t="shared" si="32"/>
        <v>5.4919670611717835E-4</v>
      </c>
      <c r="S309">
        <f t="shared" si="33"/>
        <v>0.53593984962406016</v>
      </c>
      <c r="T309" t="str">
        <f t="shared" si="34"/>
        <v>Scenario 3: Strong Convenience</v>
      </c>
    </row>
    <row r="310" spans="1:20" x14ac:dyDescent="0.35">
      <c r="A310" t="s">
        <v>428</v>
      </c>
      <c r="B310" s="1">
        <v>44757</v>
      </c>
      <c r="C310">
        <v>2022</v>
      </c>
      <c r="D310">
        <v>7</v>
      </c>
      <c r="E310" t="s">
        <v>78</v>
      </c>
      <c r="F310">
        <v>167</v>
      </c>
      <c r="G310" t="s">
        <v>21</v>
      </c>
      <c r="H310" t="s">
        <v>30</v>
      </c>
      <c r="I310">
        <v>0</v>
      </c>
      <c r="J310">
        <v>0</v>
      </c>
      <c r="K310">
        <v>6.8</v>
      </c>
      <c r="L310">
        <v>12225</v>
      </c>
      <c r="M310" t="s">
        <v>17</v>
      </c>
      <c r="N310" t="str">
        <f t="shared" si="28"/>
        <v>streaming</v>
      </c>
      <c r="O310" t="str">
        <f t="shared" si="29"/>
        <v>non-original</v>
      </c>
      <c r="P310" t="str">
        <f t="shared" si="30"/>
        <v>non-franchise</v>
      </c>
      <c r="Q310" t="str">
        <f t="shared" si="31"/>
        <v>new</v>
      </c>
      <c r="R310" s="2">
        <f t="shared" si="32"/>
        <v>7.6289464876585604E-3</v>
      </c>
      <c r="S310">
        <f t="shared" si="33"/>
        <v>0.37962406015037592</v>
      </c>
      <c r="T310" t="str">
        <f t="shared" si="34"/>
        <v>Scenario 2: Weak Commitment/Convenience</v>
      </c>
    </row>
    <row r="311" spans="1:20" x14ac:dyDescent="0.35">
      <c r="A311" t="s">
        <v>429</v>
      </c>
      <c r="B311" s="1">
        <v>44757</v>
      </c>
      <c r="C311">
        <v>2022</v>
      </c>
      <c r="D311">
        <v>7</v>
      </c>
      <c r="E311" t="s">
        <v>78</v>
      </c>
      <c r="F311">
        <v>109</v>
      </c>
      <c r="G311" t="s">
        <v>34</v>
      </c>
      <c r="H311" t="s">
        <v>56</v>
      </c>
      <c r="I311">
        <v>0</v>
      </c>
      <c r="J311">
        <v>0</v>
      </c>
      <c r="K311">
        <v>5.8</v>
      </c>
      <c r="L311">
        <v>39938</v>
      </c>
      <c r="M311" t="s">
        <v>17</v>
      </c>
      <c r="N311" t="str">
        <f t="shared" si="28"/>
        <v>streaming</v>
      </c>
      <c r="O311" t="str">
        <f t="shared" si="29"/>
        <v>non-original</v>
      </c>
      <c r="P311" t="str">
        <f t="shared" si="30"/>
        <v>non-franchise</v>
      </c>
      <c r="Q311" t="str">
        <f t="shared" si="31"/>
        <v>new</v>
      </c>
      <c r="R311" s="2">
        <f t="shared" si="32"/>
        <v>1.6267171309321343E-2</v>
      </c>
      <c r="S311">
        <f t="shared" si="33"/>
        <v>0.51349624060150367</v>
      </c>
      <c r="T311" t="str">
        <f t="shared" si="34"/>
        <v>Scenario 3: Strong Convenience</v>
      </c>
    </row>
    <row r="312" spans="1:20" x14ac:dyDescent="0.35">
      <c r="A312" t="s">
        <v>430</v>
      </c>
      <c r="B312" s="1">
        <v>44764</v>
      </c>
      <c r="C312">
        <v>2022</v>
      </c>
      <c r="D312">
        <v>7</v>
      </c>
      <c r="E312" t="s">
        <v>78</v>
      </c>
      <c r="F312">
        <v>129</v>
      </c>
      <c r="G312" t="s">
        <v>431</v>
      </c>
      <c r="H312" t="s">
        <v>27</v>
      </c>
      <c r="I312">
        <v>0</v>
      </c>
      <c r="J312">
        <v>0</v>
      </c>
      <c r="K312">
        <v>6.5</v>
      </c>
      <c r="L312">
        <v>269903</v>
      </c>
      <c r="M312" t="s">
        <v>88</v>
      </c>
      <c r="N312" t="str">
        <f t="shared" si="28"/>
        <v>streaming</v>
      </c>
      <c r="O312" t="str">
        <f t="shared" si="29"/>
        <v>non-original</v>
      </c>
      <c r="P312" t="str">
        <f t="shared" si="30"/>
        <v>non-franchise</v>
      </c>
      <c r="Q312" t="str">
        <f t="shared" si="31"/>
        <v>new</v>
      </c>
      <c r="R312" s="2">
        <f t="shared" si="32"/>
        <v>0.13010579829677946</v>
      </c>
      <c r="S312">
        <f t="shared" si="33"/>
        <v>0.50216165413533842</v>
      </c>
      <c r="T312" t="str">
        <f t="shared" si="34"/>
        <v>Scenario 4: Hybrid Logic</v>
      </c>
    </row>
    <row r="313" spans="1:20" x14ac:dyDescent="0.35">
      <c r="A313" t="s">
        <v>432</v>
      </c>
      <c r="B313" s="1">
        <v>44770</v>
      </c>
      <c r="C313">
        <v>2022</v>
      </c>
      <c r="D313">
        <v>7</v>
      </c>
      <c r="E313" t="s">
        <v>78</v>
      </c>
      <c r="F313">
        <v>91</v>
      </c>
      <c r="G313" t="s">
        <v>21</v>
      </c>
      <c r="H313" t="s">
        <v>24</v>
      </c>
      <c r="I313">
        <v>0</v>
      </c>
      <c r="J313">
        <v>0</v>
      </c>
      <c r="K313">
        <v>4.8</v>
      </c>
      <c r="L313">
        <v>227</v>
      </c>
      <c r="M313" t="s">
        <v>17</v>
      </c>
      <c r="N313" t="str">
        <f t="shared" si="28"/>
        <v>streaming</v>
      </c>
      <c r="O313" t="str">
        <f t="shared" si="29"/>
        <v>non-original</v>
      </c>
      <c r="P313" t="str">
        <f t="shared" si="30"/>
        <v>non-franchise</v>
      </c>
      <c r="Q313" t="str">
        <f t="shared" si="31"/>
        <v>new</v>
      </c>
      <c r="R313" s="2">
        <f t="shared" si="32"/>
        <v>7.7190966579999685E-5</v>
      </c>
      <c r="S313">
        <f t="shared" si="33"/>
        <v>0.47368421052631582</v>
      </c>
      <c r="T313" t="str">
        <f t="shared" si="34"/>
        <v>Scenario 2: Weak Commitment/Convenience</v>
      </c>
    </row>
    <row r="314" spans="1:20" x14ac:dyDescent="0.35">
      <c r="A314" t="s">
        <v>433</v>
      </c>
      <c r="B314" s="1">
        <v>44771</v>
      </c>
      <c r="C314">
        <v>2022</v>
      </c>
      <c r="D314">
        <v>7</v>
      </c>
      <c r="E314" t="s">
        <v>78</v>
      </c>
      <c r="F314">
        <v>90</v>
      </c>
      <c r="G314" t="s">
        <v>29</v>
      </c>
      <c r="H314" t="s">
        <v>24</v>
      </c>
      <c r="I314">
        <v>0</v>
      </c>
      <c r="J314">
        <v>0</v>
      </c>
      <c r="K314">
        <v>4.0999999999999996</v>
      </c>
      <c r="L314">
        <v>793</v>
      </c>
      <c r="M314" t="s">
        <v>17</v>
      </c>
      <c r="N314" t="str">
        <f t="shared" si="28"/>
        <v>streaming</v>
      </c>
      <c r="O314" t="str">
        <f t="shared" si="29"/>
        <v>non-original</v>
      </c>
      <c r="P314" t="str">
        <f t="shared" si="30"/>
        <v>non-franchise</v>
      </c>
      <c r="Q314" t="str">
        <f t="shared" si="31"/>
        <v>new</v>
      </c>
      <c r="R314" s="2">
        <f t="shared" si="32"/>
        <v>2.6669503242554956E-4</v>
      </c>
      <c r="S314">
        <f t="shared" si="33"/>
        <v>0.40691729323308268</v>
      </c>
      <c r="T314" t="str">
        <f t="shared" si="34"/>
        <v>Scenario 2: Weak Commitment/Convenience</v>
      </c>
    </row>
    <row r="315" spans="1:20" x14ac:dyDescent="0.35">
      <c r="A315" t="s">
        <v>434</v>
      </c>
      <c r="B315" s="1">
        <v>44771</v>
      </c>
      <c r="C315">
        <v>2022</v>
      </c>
      <c r="D315">
        <v>7</v>
      </c>
      <c r="E315" t="s">
        <v>78</v>
      </c>
      <c r="F315">
        <v>122</v>
      </c>
      <c r="G315" t="s">
        <v>269</v>
      </c>
      <c r="H315" t="s">
        <v>27</v>
      </c>
      <c r="I315">
        <v>0</v>
      </c>
      <c r="J315">
        <v>0</v>
      </c>
      <c r="K315">
        <v>6.7</v>
      </c>
      <c r="L315">
        <v>70218</v>
      </c>
      <c r="M315" t="s">
        <v>88</v>
      </c>
      <c r="N315" t="str">
        <f t="shared" si="28"/>
        <v>streaming</v>
      </c>
      <c r="O315" t="str">
        <f t="shared" si="29"/>
        <v>non-original</v>
      </c>
      <c r="P315" t="str">
        <f t="shared" si="30"/>
        <v>non-franchise</v>
      </c>
      <c r="Q315" t="str">
        <f t="shared" si="31"/>
        <v>new</v>
      </c>
      <c r="R315" s="2">
        <f t="shared" si="32"/>
        <v>3.2011609892063662E-2</v>
      </c>
      <c r="S315">
        <f t="shared" si="33"/>
        <v>0.54406015037593991</v>
      </c>
      <c r="T315" t="str">
        <f t="shared" si="34"/>
        <v>Scenario 4: Hybrid Logic</v>
      </c>
    </row>
    <row r="316" spans="1:20" x14ac:dyDescent="0.35">
      <c r="A316" t="s">
        <v>435</v>
      </c>
      <c r="B316" s="1">
        <v>44776</v>
      </c>
      <c r="C316">
        <v>2022</v>
      </c>
      <c r="D316">
        <v>8</v>
      </c>
      <c r="E316" t="s">
        <v>78</v>
      </c>
      <c r="F316">
        <v>94</v>
      </c>
      <c r="G316" t="s">
        <v>21</v>
      </c>
      <c r="H316" t="s">
        <v>24</v>
      </c>
      <c r="I316">
        <v>0</v>
      </c>
      <c r="J316">
        <v>0</v>
      </c>
      <c r="K316">
        <v>5.9</v>
      </c>
      <c r="L316">
        <v>3330</v>
      </c>
      <c r="M316" t="s">
        <v>17</v>
      </c>
      <c r="N316" t="str">
        <f t="shared" si="28"/>
        <v>streaming</v>
      </c>
      <c r="O316" t="str">
        <f t="shared" si="29"/>
        <v>non-original</v>
      </c>
      <c r="P316" t="str">
        <f t="shared" si="30"/>
        <v>non-franchise</v>
      </c>
      <c r="Q316" t="str">
        <f t="shared" si="31"/>
        <v>new</v>
      </c>
      <c r="R316" s="2">
        <f t="shared" si="32"/>
        <v>1.1696914536898631E-3</v>
      </c>
      <c r="S316">
        <f t="shared" si="33"/>
        <v>0.57225563909774446</v>
      </c>
      <c r="T316" t="str">
        <f t="shared" si="34"/>
        <v>Scenario 3: Strong Convenience</v>
      </c>
    </row>
    <row r="317" spans="1:20" x14ac:dyDescent="0.35">
      <c r="A317" t="s">
        <v>436</v>
      </c>
      <c r="B317" s="1">
        <v>44776</v>
      </c>
      <c r="C317">
        <v>2022</v>
      </c>
      <c r="D317">
        <v>8</v>
      </c>
      <c r="E317" t="s">
        <v>78</v>
      </c>
      <c r="F317">
        <v>85</v>
      </c>
      <c r="G317" t="s">
        <v>29</v>
      </c>
      <c r="H317" t="s">
        <v>30</v>
      </c>
      <c r="I317">
        <v>0</v>
      </c>
      <c r="J317">
        <v>0</v>
      </c>
      <c r="K317">
        <v>4.7</v>
      </c>
      <c r="L317">
        <v>973</v>
      </c>
      <c r="M317" t="s">
        <v>17</v>
      </c>
      <c r="N317" t="str">
        <f t="shared" si="28"/>
        <v>streaming</v>
      </c>
      <c r="O317" t="str">
        <f t="shared" si="29"/>
        <v>non-original</v>
      </c>
      <c r="P317" t="str">
        <f t="shared" si="30"/>
        <v>non-franchise</v>
      </c>
      <c r="Q317" t="str">
        <f t="shared" si="31"/>
        <v>new</v>
      </c>
      <c r="R317" s="2">
        <f t="shared" si="32"/>
        <v>3.0905159950616614E-4</v>
      </c>
      <c r="S317">
        <f t="shared" si="33"/>
        <v>0.47971804511278199</v>
      </c>
      <c r="T317" t="str">
        <f t="shared" si="34"/>
        <v>Scenario 2: Weak Commitment/Convenience</v>
      </c>
    </row>
    <row r="318" spans="1:20" x14ac:dyDescent="0.35">
      <c r="A318" t="s">
        <v>437</v>
      </c>
      <c r="B318" s="1">
        <v>44777</v>
      </c>
      <c r="C318">
        <v>2022</v>
      </c>
      <c r="D318">
        <v>8</v>
      </c>
      <c r="E318" t="s">
        <v>78</v>
      </c>
      <c r="F318">
        <v>97</v>
      </c>
      <c r="G318" t="s">
        <v>21</v>
      </c>
      <c r="H318" t="s">
        <v>30</v>
      </c>
      <c r="I318">
        <v>0</v>
      </c>
      <c r="J318">
        <v>0</v>
      </c>
      <c r="K318">
        <v>6.4</v>
      </c>
      <c r="L318">
        <v>12281</v>
      </c>
      <c r="M318" t="s">
        <v>17</v>
      </c>
      <c r="N318" t="str">
        <f t="shared" si="28"/>
        <v>streaming</v>
      </c>
      <c r="O318" t="str">
        <f t="shared" si="29"/>
        <v>non-original</v>
      </c>
      <c r="P318" t="str">
        <f t="shared" si="30"/>
        <v>non-franchise</v>
      </c>
      <c r="Q318" t="str">
        <f t="shared" si="31"/>
        <v>new</v>
      </c>
      <c r="R318" s="2">
        <f t="shared" si="32"/>
        <v>4.4514827552495856E-3</v>
      </c>
      <c r="S318">
        <f t="shared" si="33"/>
        <v>0.6099248120300752</v>
      </c>
      <c r="T318" t="str">
        <f t="shared" si="34"/>
        <v>Scenario 3: Strong Convenience</v>
      </c>
    </row>
    <row r="319" spans="1:20" x14ac:dyDescent="0.35">
      <c r="A319" t="s">
        <v>438</v>
      </c>
      <c r="B319" s="1">
        <v>44778</v>
      </c>
      <c r="C319">
        <v>2022</v>
      </c>
      <c r="D319">
        <v>8</v>
      </c>
      <c r="E319" t="s">
        <v>78</v>
      </c>
      <c r="F319">
        <v>134</v>
      </c>
      <c r="G319" t="s">
        <v>58</v>
      </c>
      <c r="H319" t="s">
        <v>265</v>
      </c>
      <c r="I319">
        <v>0</v>
      </c>
      <c r="J319">
        <v>0</v>
      </c>
      <c r="K319">
        <v>5.0999999999999996</v>
      </c>
      <c r="L319">
        <v>10743</v>
      </c>
      <c r="M319" t="s">
        <v>88</v>
      </c>
      <c r="N319" t="str">
        <f t="shared" si="28"/>
        <v>streaming</v>
      </c>
      <c r="O319" t="str">
        <f t="shared" si="29"/>
        <v>non-original</v>
      </c>
      <c r="P319" t="str">
        <f t="shared" si="30"/>
        <v>non-franchise</v>
      </c>
      <c r="Q319" t="str">
        <f t="shared" si="31"/>
        <v>new</v>
      </c>
      <c r="R319" s="2">
        <f t="shared" si="32"/>
        <v>5.3793475447469381E-3</v>
      </c>
      <c r="S319">
        <f t="shared" si="33"/>
        <v>0.37962406015037592</v>
      </c>
      <c r="T319" t="str">
        <f t="shared" si="34"/>
        <v>Scenario 2: Weak Commitment/Convenience</v>
      </c>
    </row>
    <row r="320" spans="1:20" x14ac:dyDescent="0.35">
      <c r="A320" t="s">
        <v>439</v>
      </c>
      <c r="B320" s="1">
        <v>44778</v>
      </c>
      <c r="C320">
        <v>2022</v>
      </c>
      <c r="D320">
        <v>8</v>
      </c>
      <c r="E320" t="s">
        <v>78</v>
      </c>
      <c r="F320">
        <v>134</v>
      </c>
      <c r="G320" t="s">
        <v>116</v>
      </c>
      <c r="H320" t="s">
        <v>30</v>
      </c>
      <c r="I320">
        <v>0</v>
      </c>
      <c r="J320">
        <v>0</v>
      </c>
      <c r="K320">
        <v>6.7</v>
      </c>
      <c r="L320">
        <v>23231</v>
      </c>
      <c r="M320" t="s">
        <v>88</v>
      </c>
      <c r="N320" t="str">
        <f t="shared" si="28"/>
        <v>streaming</v>
      </c>
      <c r="O320" t="str">
        <f t="shared" si="29"/>
        <v>non-original</v>
      </c>
      <c r="P320" t="str">
        <f t="shared" si="30"/>
        <v>non-franchise</v>
      </c>
      <c r="Q320" t="str">
        <f t="shared" si="31"/>
        <v>new</v>
      </c>
      <c r="R320" s="2">
        <f t="shared" si="32"/>
        <v>1.1632469776786386E-2</v>
      </c>
      <c r="S320">
        <f t="shared" si="33"/>
        <v>0.49872180451127823</v>
      </c>
      <c r="T320" t="str">
        <f t="shared" si="34"/>
        <v>Scenario 2: Weak Commitment/Convenience</v>
      </c>
    </row>
    <row r="321" spans="1:20" x14ac:dyDescent="0.35">
      <c r="A321" t="s">
        <v>440</v>
      </c>
      <c r="B321" s="1">
        <v>44778</v>
      </c>
      <c r="C321">
        <v>2022</v>
      </c>
      <c r="D321">
        <v>8</v>
      </c>
      <c r="E321" t="s">
        <v>78</v>
      </c>
      <c r="F321">
        <v>82</v>
      </c>
      <c r="G321" t="s">
        <v>441</v>
      </c>
      <c r="H321" t="s">
        <v>56</v>
      </c>
      <c r="I321">
        <v>0</v>
      </c>
      <c r="J321">
        <v>0</v>
      </c>
      <c r="K321">
        <v>6.2</v>
      </c>
      <c r="L321">
        <v>7826</v>
      </c>
      <c r="M321" t="s">
        <v>17</v>
      </c>
      <c r="N321" t="str">
        <f t="shared" si="28"/>
        <v>streaming</v>
      </c>
      <c r="O321" t="str">
        <f t="shared" si="29"/>
        <v>non-original</v>
      </c>
      <c r="P321" t="str">
        <f t="shared" si="30"/>
        <v>non-franchise</v>
      </c>
      <c r="Q321" t="str">
        <f t="shared" si="31"/>
        <v>new</v>
      </c>
      <c r="R321" s="2">
        <f t="shared" si="32"/>
        <v>2.398020688643867E-3</v>
      </c>
      <c r="S321">
        <f t="shared" si="33"/>
        <v>0.64330827067669161</v>
      </c>
      <c r="T321" t="str">
        <f t="shared" si="34"/>
        <v>Scenario 3: Strong Convenience</v>
      </c>
    </row>
    <row r="322" spans="1:20" x14ac:dyDescent="0.35">
      <c r="A322" t="s">
        <v>442</v>
      </c>
      <c r="B322" s="1">
        <v>44783</v>
      </c>
      <c r="C322">
        <v>2022</v>
      </c>
      <c r="D322">
        <v>8</v>
      </c>
      <c r="E322" t="s">
        <v>78</v>
      </c>
      <c r="F322">
        <v>95</v>
      </c>
      <c r="G322" t="s">
        <v>29</v>
      </c>
      <c r="H322" t="s">
        <v>30</v>
      </c>
      <c r="I322">
        <v>0</v>
      </c>
      <c r="J322">
        <v>0</v>
      </c>
      <c r="K322">
        <v>5.8</v>
      </c>
      <c r="L322">
        <v>2314</v>
      </c>
      <c r="M322" t="s">
        <v>17</v>
      </c>
      <c r="N322" t="str">
        <f t="shared" si="28"/>
        <v>streaming</v>
      </c>
      <c r="O322" t="str">
        <f t="shared" si="29"/>
        <v>non-original</v>
      </c>
      <c r="P322" t="str">
        <f t="shared" si="30"/>
        <v>non-franchise</v>
      </c>
      <c r="Q322" t="str">
        <f t="shared" si="31"/>
        <v>new</v>
      </c>
      <c r="R322" s="2">
        <f t="shared" si="32"/>
        <v>8.2145956253479844E-4</v>
      </c>
      <c r="S322">
        <f t="shared" si="33"/>
        <v>0.55928571428571416</v>
      </c>
      <c r="T322" t="str">
        <f t="shared" si="34"/>
        <v>Scenario 3: Strong Convenience</v>
      </c>
    </row>
    <row r="323" spans="1:20" x14ac:dyDescent="0.35">
      <c r="A323" t="s">
        <v>443</v>
      </c>
      <c r="B323" s="1">
        <v>44785</v>
      </c>
      <c r="C323">
        <v>2022</v>
      </c>
      <c r="D323">
        <v>8</v>
      </c>
      <c r="E323" t="s">
        <v>78</v>
      </c>
      <c r="F323">
        <v>94</v>
      </c>
      <c r="G323" t="s">
        <v>188</v>
      </c>
      <c r="H323" t="s">
        <v>56</v>
      </c>
      <c r="I323">
        <v>0</v>
      </c>
      <c r="J323">
        <v>0</v>
      </c>
      <c r="K323">
        <v>5.2</v>
      </c>
      <c r="L323">
        <v>1249</v>
      </c>
      <c r="M323" t="s">
        <v>17</v>
      </c>
      <c r="N323" t="str">
        <f t="shared" ref="N323:N386" si="35">IF(ISNUMBER(SEARCH("Streaming", M323)), "streaming", "cinema")</f>
        <v>streaming</v>
      </c>
      <c r="O323" t="str">
        <f t="shared" ref="O323:O386" si="36">IF(I323=1, "original", "non-original")</f>
        <v>non-original</v>
      </c>
      <c r="P323" t="str">
        <f t="shared" ref="P323:P386" si="37">IF(J323 = 1, "franchise", "non-franchise")</f>
        <v>non-franchise</v>
      </c>
      <c r="Q323" t="str">
        <f t="shared" ref="Q323:Q386" si="38">IF(OR(I323 = 1,J323 =1), "old", "new")</f>
        <v>new</v>
      </c>
      <c r="R323" s="2">
        <f t="shared" ref="R323:R386" si="39">IF(Q323="old", 1.5, 1) * (L323 / MAX($L$2:$L$1000)) * (F323 / MAX($F$2:$F$1000))</f>
        <v>4.3872210980739907E-4</v>
      </c>
      <c r="S323">
        <f t="shared" ref="S323:S386" si="40">IF(Q323="new", 1.5, 1) * (K323 / 10) * (1 - (F323 / MAX($F$2:$F$1000)))</f>
        <v>0.50436090225563912</v>
      </c>
      <c r="T323" t="str">
        <f t="shared" ref="T323:T386" si="41">IF(AND(R323&gt;=0.03, S323&gt;=0.5), "Scenario 4: Hybrid Logic",
 IF(AND(R323&gt;=0.03, S323&lt;0.5), "Scenario 1: Strong Commitment",
  IF(AND(R323&lt;0.03, S323&gt;=0.5), "Scenario 3: Strong Convenience",
   "Scenario 2: Weak Commitment/Convenience")))</f>
        <v>Scenario 3: Strong Convenience</v>
      </c>
    </row>
    <row r="324" spans="1:20" x14ac:dyDescent="0.35">
      <c r="A324" t="s">
        <v>444</v>
      </c>
      <c r="B324" s="1">
        <v>44785</v>
      </c>
      <c r="C324">
        <v>2022</v>
      </c>
      <c r="D324">
        <v>8</v>
      </c>
      <c r="E324" t="s">
        <v>78</v>
      </c>
      <c r="F324">
        <v>113</v>
      </c>
      <c r="G324" t="s">
        <v>445</v>
      </c>
      <c r="H324" t="s">
        <v>24</v>
      </c>
      <c r="I324">
        <v>0</v>
      </c>
      <c r="J324">
        <v>0</v>
      </c>
      <c r="K324">
        <v>6.1</v>
      </c>
      <c r="L324">
        <v>98521</v>
      </c>
      <c r="M324" t="s">
        <v>88</v>
      </c>
      <c r="N324" t="str">
        <f t="shared" si="35"/>
        <v>streaming</v>
      </c>
      <c r="O324" t="str">
        <f t="shared" si="36"/>
        <v>non-original</v>
      </c>
      <c r="P324" t="str">
        <f t="shared" si="37"/>
        <v>non-franchise</v>
      </c>
      <c r="Q324" t="str">
        <f t="shared" si="38"/>
        <v>new</v>
      </c>
      <c r="R324" s="2">
        <f t="shared" si="39"/>
        <v>4.1601259993337893E-2</v>
      </c>
      <c r="S324">
        <f t="shared" si="40"/>
        <v>0.52629699248120299</v>
      </c>
      <c r="T324" t="str">
        <f t="shared" si="41"/>
        <v>Scenario 4: Hybrid Logic</v>
      </c>
    </row>
    <row r="325" spans="1:20" x14ac:dyDescent="0.35">
      <c r="A325" t="s">
        <v>446</v>
      </c>
      <c r="B325" s="1">
        <v>44790</v>
      </c>
      <c r="C325">
        <v>2022</v>
      </c>
      <c r="D325">
        <v>8</v>
      </c>
      <c r="E325" t="s">
        <v>78</v>
      </c>
      <c r="F325">
        <v>111</v>
      </c>
      <c r="G325" t="s">
        <v>29</v>
      </c>
      <c r="H325" t="s">
        <v>27</v>
      </c>
      <c r="I325">
        <v>0</v>
      </c>
      <c r="J325">
        <v>0</v>
      </c>
      <c r="K325">
        <v>6.3</v>
      </c>
      <c r="L325">
        <v>26940</v>
      </c>
      <c r="M325" t="s">
        <v>17</v>
      </c>
      <c r="N325" t="str">
        <f t="shared" si="35"/>
        <v>streaming</v>
      </c>
      <c r="O325" t="str">
        <f t="shared" si="36"/>
        <v>non-original</v>
      </c>
      <c r="P325" t="str">
        <f t="shared" si="37"/>
        <v>non-franchise</v>
      </c>
      <c r="Q325" t="str">
        <f t="shared" si="38"/>
        <v>new</v>
      </c>
      <c r="R325" s="2">
        <f t="shared" si="39"/>
        <v>1.1174286440569118E-2</v>
      </c>
      <c r="S325">
        <f t="shared" si="40"/>
        <v>0.55065789473684212</v>
      </c>
      <c r="T325" t="str">
        <f t="shared" si="41"/>
        <v>Scenario 3: Strong Convenience</v>
      </c>
    </row>
    <row r="326" spans="1:20" x14ac:dyDescent="0.35">
      <c r="A326" t="s">
        <v>447</v>
      </c>
      <c r="B326" s="1">
        <v>44790</v>
      </c>
      <c r="C326">
        <v>2022</v>
      </c>
      <c r="D326">
        <v>8</v>
      </c>
      <c r="E326" t="s">
        <v>78</v>
      </c>
      <c r="F326">
        <v>108</v>
      </c>
      <c r="G326" t="s">
        <v>448</v>
      </c>
      <c r="H326" t="s">
        <v>24</v>
      </c>
      <c r="I326">
        <v>0</v>
      </c>
      <c r="J326">
        <v>0</v>
      </c>
      <c r="K326">
        <v>5.3</v>
      </c>
      <c r="L326">
        <v>3200</v>
      </c>
      <c r="M326" t="s">
        <v>17</v>
      </c>
      <c r="N326" t="str">
        <f t="shared" si="35"/>
        <v>streaming</v>
      </c>
      <c r="O326" t="str">
        <f t="shared" si="36"/>
        <v>non-original</v>
      </c>
      <c r="P326" t="str">
        <f t="shared" si="37"/>
        <v>non-franchise</v>
      </c>
      <c r="Q326" t="str">
        <f t="shared" si="38"/>
        <v>new</v>
      </c>
      <c r="R326" s="2">
        <f t="shared" si="39"/>
        <v>1.2914362225903029E-3</v>
      </c>
      <c r="S326">
        <f t="shared" si="40"/>
        <v>0.47221804511278198</v>
      </c>
      <c r="T326" t="str">
        <f t="shared" si="41"/>
        <v>Scenario 2: Weak Commitment/Convenience</v>
      </c>
    </row>
    <row r="327" spans="1:20" x14ac:dyDescent="0.35">
      <c r="A327" t="s">
        <v>449</v>
      </c>
      <c r="B327" s="1">
        <v>44792</v>
      </c>
      <c r="C327">
        <v>2022</v>
      </c>
      <c r="D327">
        <v>8</v>
      </c>
      <c r="E327" t="s">
        <v>78</v>
      </c>
      <c r="F327">
        <v>113</v>
      </c>
      <c r="G327" t="s">
        <v>397</v>
      </c>
      <c r="H327" t="s">
        <v>24</v>
      </c>
      <c r="I327">
        <v>0</v>
      </c>
      <c r="J327">
        <v>0</v>
      </c>
      <c r="K327">
        <v>2.9</v>
      </c>
      <c r="L327">
        <v>12940</v>
      </c>
      <c r="M327" t="s">
        <v>17</v>
      </c>
      <c r="N327" t="str">
        <f t="shared" si="35"/>
        <v>streaming</v>
      </c>
      <c r="O327" t="str">
        <f t="shared" si="36"/>
        <v>non-original</v>
      </c>
      <c r="P327" t="str">
        <f t="shared" si="37"/>
        <v>non-franchise</v>
      </c>
      <c r="Q327" t="str">
        <f t="shared" si="38"/>
        <v>new</v>
      </c>
      <c r="R327" s="2">
        <f t="shared" si="39"/>
        <v>5.4640158373726651E-3</v>
      </c>
      <c r="S327">
        <f t="shared" si="40"/>
        <v>0.25020676691729321</v>
      </c>
      <c r="T327" t="str">
        <f t="shared" si="41"/>
        <v>Scenario 2: Weak Commitment/Convenience</v>
      </c>
    </row>
    <row r="328" spans="1:20" x14ac:dyDescent="0.35">
      <c r="A328" t="s">
        <v>450</v>
      </c>
      <c r="B328" s="1">
        <v>44798</v>
      </c>
      <c r="C328">
        <v>2022</v>
      </c>
      <c r="D328">
        <v>8</v>
      </c>
      <c r="E328" t="s">
        <v>78</v>
      </c>
      <c r="F328">
        <v>96</v>
      </c>
      <c r="G328" t="s">
        <v>29</v>
      </c>
      <c r="H328" t="s">
        <v>27</v>
      </c>
      <c r="I328">
        <v>0</v>
      </c>
      <c r="J328">
        <v>0</v>
      </c>
      <c r="K328">
        <v>5.4</v>
      </c>
      <c r="L328">
        <v>4460</v>
      </c>
      <c r="M328" t="s">
        <v>17</v>
      </c>
      <c r="N328" t="str">
        <f t="shared" si="35"/>
        <v>streaming</v>
      </c>
      <c r="O328" t="str">
        <f t="shared" si="36"/>
        <v>non-original</v>
      </c>
      <c r="P328" t="str">
        <f t="shared" si="37"/>
        <v>non-franchise</v>
      </c>
      <c r="Q328" t="str">
        <f t="shared" si="38"/>
        <v>new</v>
      </c>
      <c r="R328" s="2">
        <f t="shared" si="39"/>
        <v>1.5999459868757645E-3</v>
      </c>
      <c r="S328">
        <f t="shared" si="40"/>
        <v>0.51766917293233083</v>
      </c>
      <c r="T328" t="str">
        <f t="shared" si="41"/>
        <v>Scenario 3: Strong Convenience</v>
      </c>
    </row>
    <row r="329" spans="1:20" x14ac:dyDescent="0.35">
      <c r="A329" t="s">
        <v>451</v>
      </c>
      <c r="B329" s="1">
        <v>44799</v>
      </c>
      <c r="C329">
        <v>2022</v>
      </c>
      <c r="D329">
        <v>8</v>
      </c>
      <c r="E329" t="s">
        <v>78</v>
      </c>
      <c r="F329">
        <v>105</v>
      </c>
      <c r="G329" t="s">
        <v>19</v>
      </c>
      <c r="H329" t="s">
        <v>30</v>
      </c>
      <c r="I329">
        <v>0</v>
      </c>
      <c r="J329">
        <v>0</v>
      </c>
      <c r="K329">
        <v>6.5</v>
      </c>
      <c r="L329">
        <v>15952</v>
      </c>
      <c r="M329" t="s">
        <v>88</v>
      </c>
      <c r="N329" t="str">
        <f t="shared" si="35"/>
        <v>streaming</v>
      </c>
      <c r="O329" t="str">
        <f t="shared" si="36"/>
        <v>non-original</v>
      </c>
      <c r="P329" t="str">
        <f t="shared" si="37"/>
        <v>non-franchise</v>
      </c>
      <c r="Q329" t="str">
        <f t="shared" si="38"/>
        <v>new</v>
      </c>
      <c r="R329" s="2">
        <f t="shared" si="39"/>
        <v>6.2589815260123104E-3</v>
      </c>
      <c r="S329">
        <f t="shared" si="40"/>
        <v>0.59013157894736845</v>
      </c>
      <c r="T329" t="str">
        <f t="shared" si="41"/>
        <v>Scenario 3: Strong Convenience</v>
      </c>
    </row>
    <row r="330" spans="1:20" x14ac:dyDescent="0.35">
      <c r="A330" t="s">
        <v>452</v>
      </c>
      <c r="B330" s="1">
        <v>44799</v>
      </c>
      <c r="C330">
        <v>2022</v>
      </c>
      <c r="D330">
        <v>8</v>
      </c>
      <c r="E330" t="s">
        <v>78</v>
      </c>
      <c r="F330">
        <v>104</v>
      </c>
      <c r="G330" t="s">
        <v>21</v>
      </c>
      <c r="H330" t="s">
        <v>24</v>
      </c>
      <c r="I330">
        <v>0</v>
      </c>
      <c r="J330">
        <v>0</v>
      </c>
      <c r="K330">
        <v>5.0999999999999996</v>
      </c>
      <c r="L330">
        <v>45084</v>
      </c>
      <c r="M330" t="s">
        <v>88</v>
      </c>
      <c r="N330" t="str">
        <f t="shared" si="35"/>
        <v>streaming</v>
      </c>
      <c r="O330" t="str">
        <f t="shared" si="36"/>
        <v>non-original</v>
      </c>
      <c r="P330" t="str">
        <f t="shared" si="37"/>
        <v>non-franchise</v>
      </c>
      <c r="Q330" t="str">
        <f t="shared" si="38"/>
        <v>new</v>
      </c>
      <c r="R330" s="2">
        <f t="shared" si="39"/>
        <v>1.7520843485425829E-2</v>
      </c>
      <c r="S330">
        <f t="shared" si="40"/>
        <v>0.46590225563909776</v>
      </c>
      <c r="T330" t="str">
        <f t="shared" si="41"/>
        <v>Scenario 2: Weak Commitment/Convenience</v>
      </c>
    </row>
    <row r="331" spans="1:20" x14ac:dyDescent="0.35">
      <c r="A331" t="s">
        <v>453</v>
      </c>
      <c r="B331" s="1">
        <v>44799</v>
      </c>
      <c r="C331">
        <v>2022</v>
      </c>
      <c r="D331">
        <v>8</v>
      </c>
      <c r="E331" t="s">
        <v>78</v>
      </c>
      <c r="F331">
        <v>140</v>
      </c>
      <c r="G331" t="s">
        <v>58</v>
      </c>
      <c r="H331" t="s">
        <v>24</v>
      </c>
      <c r="I331">
        <v>0</v>
      </c>
      <c r="J331">
        <v>0</v>
      </c>
      <c r="K331">
        <v>5.5</v>
      </c>
      <c r="L331">
        <v>2469</v>
      </c>
      <c r="M331" t="s">
        <v>17</v>
      </c>
      <c r="N331" t="str">
        <f t="shared" si="35"/>
        <v>streaming</v>
      </c>
      <c r="O331" t="str">
        <f t="shared" si="36"/>
        <v>non-original</v>
      </c>
      <c r="P331" t="str">
        <f t="shared" si="37"/>
        <v>non-franchise</v>
      </c>
      <c r="Q331" t="str">
        <f t="shared" si="38"/>
        <v>new</v>
      </c>
      <c r="R331" s="2">
        <f t="shared" si="39"/>
        <v>1.2916604302678361E-3</v>
      </c>
      <c r="S331">
        <f t="shared" si="40"/>
        <v>0.39078947368421058</v>
      </c>
      <c r="T331" t="str">
        <f t="shared" si="41"/>
        <v>Scenario 2: Weak Commitment/Convenience</v>
      </c>
    </row>
    <row r="332" spans="1:20" x14ac:dyDescent="0.35">
      <c r="A332" t="s">
        <v>454</v>
      </c>
      <c r="B332" s="1">
        <v>44804</v>
      </c>
      <c r="C332">
        <v>2022</v>
      </c>
      <c r="D332">
        <v>8</v>
      </c>
      <c r="E332" t="s">
        <v>78</v>
      </c>
      <c r="F332">
        <v>110</v>
      </c>
      <c r="G332" t="s">
        <v>19</v>
      </c>
      <c r="H332" t="s">
        <v>24</v>
      </c>
      <c r="I332">
        <v>0</v>
      </c>
      <c r="J332">
        <v>0</v>
      </c>
      <c r="K332">
        <v>6.2</v>
      </c>
      <c r="L332">
        <v>38882</v>
      </c>
      <c r="M332" t="s">
        <v>17</v>
      </c>
      <c r="N332" t="str">
        <f t="shared" si="35"/>
        <v>streaming</v>
      </c>
      <c r="O332" t="str">
        <f t="shared" si="36"/>
        <v>non-original</v>
      </c>
      <c r="P332" t="str">
        <f t="shared" si="37"/>
        <v>non-franchise</v>
      </c>
      <c r="Q332" t="str">
        <f t="shared" si="38"/>
        <v>new</v>
      </c>
      <c r="R332" s="2">
        <f t="shared" si="39"/>
        <v>1.598234534937262E-2</v>
      </c>
      <c r="S332">
        <f t="shared" si="40"/>
        <v>0.54541353383458646</v>
      </c>
      <c r="T332" t="str">
        <f t="shared" si="41"/>
        <v>Scenario 3: Strong Convenience</v>
      </c>
    </row>
    <row r="333" spans="1:20" x14ac:dyDescent="0.35">
      <c r="A333" t="s">
        <v>455</v>
      </c>
      <c r="B333" s="1">
        <v>44805</v>
      </c>
      <c r="C333">
        <v>2022</v>
      </c>
      <c r="D333">
        <v>9</v>
      </c>
      <c r="E333" t="s">
        <v>125</v>
      </c>
      <c r="F333">
        <v>110</v>
      </c>
      <c r="G333" t="s">
        <v>21</v>
      </c>
      <c r="H333" t="s">
        <v>30</v>
      </c>
      <c r="I333">
        <v>0</v>
      </c>
      <c r="J333">
        <v>0</v>
      </c>
      <c r="K333">
        <v>4.5</v>
      </c>
      <c r="L333">
        <v>841</v>
      </c>
      <c r="M333" t="s">
        <v>17</v>
      </c>
      <c r="N333" t="str">
        <f t="shared" si="35"/>
        <v>streaming</v>
      </c>
      <c r="O333" t="str">
        <f t="shared" si="36"/>
        <v>non-original</v>
      </c>
      <c r="P333" t="str">
        <f t="shared" si="37"/>
        <v>non-franchise</v>
      </c>
      <c r="Q333" t="str">
        <f t="shared" si="38"/>
        <v>new</v>
      </c>
      <c r="R333" s="2">
        <f t="shared" si="39"/>
        <v>3.456908708096902E-4</v>
      </c>
      <c r="S333">
        <f t="shared" si="40"/>
        <v>0.39586466165413542</v>
      </c>
      <c r="T333" t="str">
        <f t="shared" si="41"/>
        <v>Scenario 2: Weak Commitment/Convenience</v>
      </c>
    </row>
    <row r="334" spans="1:20" x14ac:dyDescent="0.35">
      <c r="A334" t="s">
        <v>456</v>
      </c>
      <c r="B334" s="1">
        <v>44805</v>
      </c>
      <c r="C334">
        <v>2022</v>
      </c>
      <c r="D334">
        <v>9</v>
      </c>
      <c r="E334" t="s">
        <v>125</v>
      </c>
      <c r="F334">
        <v>115</v>
      </c>
      <c r="G334" t="s">
        <v>29</v>
      </c>
      <c r="H334" t="s">
        <v>30</v>
      </c>
      <c r="I334">
        <v>0</v>
      </c>
      <c r="J334">
        <v>0</v>
      </c>
      <c r="K334">
        <v>5.5</v>
      </c>
      <c r="L334">
        <v>15129</v>
      </c>
      <c r="M334" t="s">
        <v>17</v>
      </c>
      <c r="N334" t="str">
        <f t="shared" si="35"/>
        <v>streaming</v>
      </c>
      <c r="O334" t="str">
        <f t="shared" si="36"/>
        <v>non-original</v>
      </c>
      <c r="P334" t="str">
        <f t="shared" si="37"/>
        <v>non-franchise</v>
      </c>
      <c r="Q334" t="str">
        <f t="shared" si="38"/>
        <v>new</v>
      </c>
      <c r="R334" s="2">
        <f t="shared" si="39"/>
        <v>6.5014060773449078E-3</v>
      </c>
      <c r="S334">
        <f t="shared" si="40"/>
        <v>0.46832706766917304</v>
      </c>
      <c r="T334" t="str">
        <f t="shared" si="41"/>
        <v>Scenario 2: Weak Commitment/Convenience</v>
      </c>
    </row>
    <row r="335" spans="1:20" x14ac:dyDescent="0.35">
      <c r="A335" t="s">
        <v>457</v>
      </c>
      <c r="B335" s="1">
        <v>44806</v>
      </c>
      <c r="C335">
        <v>2022</v>
      </c>
      <c r="D335">
        <v>9</v>
      </c>
      <c r="E335" t="s">
        <v>125</v>
      </c>
      <c r="F335">
        <v>102</v>
      </c>
      <c r="G335" t="s">
        <v>34</v>
      </c>
      <c r="H335" t="s">
        <v>24</v>
      </c>
      <c r="I335">
        <v>0</v>
      </c>
      <c r="J335">
        <v>0</v>
      </c>
      <c r="K335">
        <v>5.8</v>
      </c>
      <c r="L335">
        <v>3452</v>
      </c>
      <c r="M335" t="s">
        <v>17</v>
      </c>
      <c r="N335" t="str">
        <f t="shared" si="35"/>
        <v>streaming</v>
      </c>
      <c r="O335" t="str">
        <f t="shared" si="36"/>
        <v>non-original</v>
      </c>
      <c r="P335" t="str">
        <f t="shared" si="37"/>
        <v>non-franchise</v>
      </c>
      <c r="Q335" t="str">
        <f t="shared" si="38"/>
        <v>new</v>
      </c>
      <c r="R335" s="2">
        <f t="shared" si="39"/>
        <v>1.3157403348348846E-3</v>
      </c>
      <c r="S335">
        <f t="shared" si="40"/>
        <v>0.53639097744360897</v>
      </c>
      <c r="T335" t="str">
        <f t="shared" si="41"/>
        <v>Scenario 3: Strong Convenience</v>
      </c>
    </row>
    <row r="336" spans="1:20" x14ac:dyDescent="0.35">
      <c r="A336" t="s">
        <v>458</v>
      </c>
      <c r="B336" s="1">
        <v>44813</v>
      </c>
      <c r="C336">
        <v>2022</v>
      </c>
      <c r="D336">
        <v>9</v>
      </c>
      <c r="E336" t="s">
        <v>125</v>
      </c>
      <c r="F336">
        <v>91</v>
      </c>
      <c r="G336" t="s">
        <v>76</v>
      </c>
      <c r="H336" t="s">
        <v>24</v>
      </c>
      <c r="I336">
        <v>0</v>
      </c>
      <c r="J336">
        <v>0</v>
      </c>
      <c r="K336">
        <v>4.8</v>
      </c>
      <c r="L336">
        <v>9702</v>
      </c>
      <c r="M336" t="s">
        <v>17</v>
      </c>
      <c r="N336" t="str">
        <f t="shared" si="35"/>
        <v>streaming</v>
      </c>
      <c r="O336" t="str">
        <f t="shared" si="36"/>
        <v>non-original</v>
      </c>
      <c r="P336" t="str">
        <f t="shared" si="37"/>
        <v>non-franchise</v>
      </c>
      <c r="Q336" t="str">
        <f t="shared" si="38"/>
        <v>new</v>
      </c>
      <c r="R336" s="2">
        <f t="shared" si="39"/>
        <v>3.2991487125954054E-3</v>
      </c>
      <c r="S336">
        <f t="shared" si="40"/>
        <v>0.47368421052631582</v>
      </c>
      <c r="T336" t="str">
        <f t="shared" si="41"/>
        <v>Scenario 2: Weak Commitment/Convenience</v>
      </c>
    </row>
    <row r="337" spans="1:20" x14ac:dyDescent="0.35">
      <c r="A337" t="s">
        <v>459</v>
      </c>
      <c r="B337" s="1">
        <v>44813</v>
      </c>
      <c r="C337">
        <v>2022</v>
      </c>
      <c r="D337">
        <v>9</v>
      </c>
      <c r="E337" t="s">
        <v>125</v>
      </c>
      <c r="F337">
        <v>118</v>
      </c>
      <c r="G337" t="s">
        <v>19</v>
      </c>
      <c r="H337" t="s">
        <v>30</v>
      </c>
      <c r="I337">
        <v>0</v>
      </c>
      <c r="J337">
        <v>0</v>
      </c>
      <c r="K337">
        <v>5.8</v>
      </c>
      <c r="L337">
        <v>4465</v>
      </c>
      <c r="M337" t="s">
        <v>88</v>
      </c>
      <c r="N337" t="str">
        <f t="shared" si="35"/>
        <v>streaming</v>
      </c>
      <c r="O337" t="str">
        <f t="shared" si="36"/>
        <v>non-original</v>
      </c>
      <c r="P337" t="str">
        <f t="shared" si="37"/>
        <v>non-franchise</v>
      </c>
      <c r="Q337" t="str">
        <f t="shared" si="38"/>
        <v>new</v>
      </c>
      <c r="R337" s="2">
        <f t="shared" si="39"/>
        <v>1.9688049843638684E-3</v>
      </c>
      <c r="S337">
        <f t="shared" si="40"/>
        <v>0.48406015037593986</v>
      </c>
      <c r="T337" t="str">
        <f t="shared" si="41"/>
        <v>Scenario 2: Weak Commitment/Convenience</v>
      </c>
    </row>
    <row r="338" spans="1:20" x14ac:dyDescent="0.35">
      <c r="A338" t="s">
        <v>460</v>
      </c>
      <c r="B338" s="1">
        <v>44818</v>
      </c>
      <c r="C338">
        <v>2022</v>
      </c>
      <c r="D338">
        <v>9</v>
      </c>
      <c r="E338" t="s">
        <v>125</v>
      </c>
      <c r="F338">
        <v>102</v>
      </c>
      <c r="G338" t="s">
        <v>19</v>
      </c>
      <c r="H338" t="s">
        <v>30</v>
      </c>
      <c r="I338">
        <v>0</v>
      </c>
      <c r="J338">
        <v>0</v>
      </c>
      <c r="K338">
        <v>6</v>
      </c>
      <c r="L338">
        <v>2529</v>
      </c>
      <c r="M338" t="s">
        <v>17</v>
      </c>
      <c r="N338" t="str">
        <f t="shared" si="35"/>
        <v>streaming</v>
      </c>
      <c r="O338" t="str">
        <f t="shared" si="36"/>
        <v>non-original</v>
      </c>
      <c r="P338" t="str">
        <f t="shared" si="37"/>
        <v>non-franchise</v>
      </c>
      <c r="Q338" t="str">
        <f t="shared" si="38"/>
        <v>new</v>
      </c>
      <c r="R338" s="2">
        <f t="shared" si="39"/>
        <v>9.6393606801779331E-4</v>
      </c>
      <c r="S338">
        <f t="shared" si="40"/>
        <v>0.55488721804511276</v>
      </c>
      <c r="T338" t="str">
        <f t="shared" si="41"/>
        <v>Scenario 3: Strong Convenience</v>
      </c>
    </row>
    <row r="339" spans="1:20" x14ac:dyDescent="0.35">
      <c r="A339" t="s">
        <v>461</v>
      </c>
      <c r="B339" s="1">
        <v>44820</v>
      </c>
      <c r="C339">
        <v>2022</v>
      </c>
      <c r="D339">
        <v>9</v>
      </c>
      <c r="E339" t="s">
        <v>125</v>
      </c>
      <c r="F339">
        <v>118</v>
      </c>
      <c r="G339" t="s">
        <v>73</v>
      </c>
      <c r="H339" t="s">
        <v>16</v>
      </c>
      <c r="I339">
        <v>0</v>
      </c>
      <c r="J339">
        <v>0</v>
      </c>
      <c r="K339">
        <v>6.3</v>
      </c>
      <c r="L339">
        <v>56580</v>
      </c>
      <c r="M339" t="s">
        <v>17</v>
      </c>
      <c r="N339" t="str">
        <f t="shared" si="35"/>
        <v>streaming</v>
      </c>
      <c r="O339" t="str">
        <f t="shared" si="36"/>
        <v>non-original</v>
      </c>
      <c r="P339" t="str">
        <f t="shared" si="37"/>
        <v>non-franchise</v>
      </c>
      <c r="Q339" t="str">
        <f t="shared" si="38"/>
        <v>new</v>
      </c>
      <c r="R339" s="2">
        <f t="shared" si="39"/>
        <v>2.494848510981135E-2</v>
      </c>
      <c r="S339">
        <f t="shared" si="40"/>
        <v>0.52578947368421058</v>
      </c>
      <c r="T339" t="str">
        <f t="shared" si="41"/>
        <v>Scenario 3: Strong Convenience</v>
      </c>
    </row>
    <row r="340" spans="1:20" x14ac:dyDescent="0.35">
      <c r="A340" t="s">
        <v>462</v>
      </c>
      <c r="B340" s="1">
        <v>44820</v>
      </c>
      <c r="C340">
        <v>2022</v>
      </c>
      <c r="D340">
        <v>9</v>
      </c>
      <c r="E340" t="s">
        <v>125</v>
      </c>
      <c r="F340">
        <v>120</v>
      </c>
      <c r="G340" t="s">
        <v>400</v>
      </c>
      <c r="H340" t="s">
        <v>56</v>
      </c>
      <c r="I340">
        <v>0</v>
      </c>
      <c r="J340">
        <v>0</v>
      </c>
      <c r="K340">
        <v>6.3</v>
      </c>
      <c r="L340">
        <v>5715</v>
      </c>
      <c r="M340" t="s">
        <v>17</v>
      </c>
      <c r="N340" t="str">
        <f t="shared" si="35"/>
        <v>streaming</v>
      </c>
      <c r="O340" t="str">
        <f t="shared" si="36"/>
        <v>non-original</v>
      </c>
      <c r="P340" t="str">
        <f t="shared" si="37"/>
        <v>non-franchise</v>
      </c>
      <c r="Q340" t="str">
        <f t="shared" si="38"/>
        <v>new</v>
      </c>
      <c r="R340" s="2">
        <f t="shared" si="39"/>
        <v>2.5626937542026326E-3</v>
      </c>
      <c r="S340">
        <f t="shared" si="40"/>
        <v>0.51868421052631586</v>
      </c>
      <c r="T340" t="str">
        <f t="shared" si="41"/>
        <v>Scenario 3: Strong Convenience</v>
      </c>
    </row>
    <row r="341" spans="1:20" x14ac:dyDescent="0.35">
      <c r="A341" t="s">
        <v>463</v>
      </c>
      <c r="B341" s="1">
        <v>44820</v>
      </c>
      <c r="C341">
        <v>2022</v>
      </c>
      <c r="D341">
        <v>9</v>
      </c>
      <c r="E341" t="s">
        <v>125</v>
      </c>
      <c r="F341">
        <v>104</v>
      </c>
      <c r="G341" t="s">
        <v>464</v>
      </c>
      <c r="H341" t="s">
        <v>24</v>
      </c>
      <c r="I341">
        <v>0</v>
      </c>
      <c r="J341">
        <v>0</v>
      </c>
      <c r="K341">
        <v>6.6</v>
      </c>
      <c r="L341">
        <v>12370</v>
      </c>
      <c r="M341" t="s">
        <v>17</v>
      </c>
      <c r="N341" t="str">
        <f t="shared" si="35"/>
        <v>streaming</v>
      </c>
      <c r="O341" t="str">
        <f t="shared" si="36"/>
        <v>non-original</v>
      </c>
      <c r="P341" t="str">
        <f t="shared" si="37"/>
        <v>non-franchise</v>
      </c>
      <c r="Q341" t="str">
        <f t="shared" si="38"/>
        <v>new</v>
      </c>
      <c r="R341" s="2">
        <f t="shared" si="39"/>
        <v>4.8073115498783944E-3</v>
      </c>
      <c r="S341">
        <f t="shared" si="40"/>
        <v>0.60293233082706765</v>
      </c>
      <c r="T341" t="str">
        <f t="shared" si="41"/>
        <v>Scenario 3: Strong Convenience</v>
      </c>
    </row>
    <row r="342" spans="1:20" x14ac:dyDescent="0.35">
      <c r="A342" t="s">
        <v>465</v>
      </c>
      <c r="B342" s="1">
        <v>44820</v>
      </c>
      <c r="C342">
        <v>2022</v>
      </c>
      <c r="D342">
        <v>9</v>
      </c>
      <c r="E342" t="s">
        <v>125</v>
      </c>
      <c r="F342">
        <v>116</v>
      </c>
      <c r="G342" t="s">
        <v>34</v>
      </c>
      <c r="H342" t="s">
        <v>30</v>
      </c>
      <c r="I342">
        <v>0</v>
      </c>
      <c r="J342">
        <v>0</v>
      </c>
      <c r="K342">
        <v>7.1</v>
      </c>
      <c r="L342">
        <v>7273</v>
      </c>
      <c r="M342" t="s">
        <v>17</v>
      </c>
      <c r="N342" t="str">
        <f t="shared" si="35"/>
        <v>streaming</v>
      </c>
      <c r="O342" t="str">
        <f t="shared" si="36"/>
        <v>non-original</v>
      </c>
      <c r="P342" t="str">
        <f t="shared" si="37"/>
        <v>non-franchise</v>
      </c>
      <c r="Q342" t="str">
        <f t="shared" si="38"/>
        <v>new</v>
      </c>
      <c r="R342" s="2">
        <f t="shared" si="39"/>
        <v>3.1526140481490622E-3</v>
      </c>
      <c r="S342">
        <f t="shared" si="40"/>
        <v>0.60056390977443608</v>
      </c>
      <c r="T342" t="str">
        <f t="shared" si="41"/>
        <v>Scenario 3: Strong Convenience</v>
      </c>
    </row>
    <row r="343" spans="1:20" x14ac:dyDescent="0.35">
      <c r="A343" t="s">
        <v>466</v>
      </c>
      <c r="B343" s="1">
        <v>44825</v>
      </c>
      <c r="C343">
        <v>2022</v>
      </c>
      <c r="D343">
        <v>9</v>
      </c>
      <c r="E343" t="s">
        <v>125</v>
      </c>
      <c r="F343">
        <v>96</v>
      </c>
      <c r="G343" t="s">
        <v>43</v>
      </c>
      <c r="H343" t="s">
        <v>24</v>
      </c>
      <c r="I343">
        <v>0</v>
      </c>
      <c r="J343">
        <v>0</v>
      </c>
      <c r="K343">
        <v>3.6</v>
      </c>
      <c r="L343">
        <v>1968</v>
      </c>
      <c r="M343" t="s">
        <v>17</v>
      </c>
      <c r="N343" t="str">
        <f t="shared" si="35"/>
        <v>streaming</v>
      </c>
      <c r="O343" t="str">
        <f t="shared" si="36"/>
        <v>non-original</v>
      </c>
      <c r="P343" t="str">
        <f t="shared" si="37"/>
        <v>non-franchise</v>
      </c>
      <c r="Q343" t="str">
        <f t="shared" si="38"/>
        <v>new</v>
      </c>
      <c r="R343" s="2">
        <f t="shared" si="39"/>
        <v>7.0598513501603233E-4</v>
      </c>
      <c r="S343">
        <f t="shared" si="40"/>
        <v>0.34511278195488726</v>
      </c>
      <c r="T343" t="str">
        <f t="shared" si="41"/>
        <v>Scenario 2: Weak Commitment/Convenience</v>
      </c>
    </row>
    <row r="344" spans="1:20" x14ac:dyDescent="0.35">
      <c r="A344" t="s">
        <v>467</v>
      </c>
      <c r="B344" s="1">
        <v>44827</v>
      </c>
      <c r="C344">
        <v>2022</v>
      </c>
      <c r="D344">
        <v>9</v>
      </c>
      <c r="E344" t="s">
        <v>125</v>
      </c>
      <c r="F344">
        <v>128</v>
      </c>
      <c r="G344" t="s">
        <v>34</v>
      </c>
      <c r="H344" t="s">
        <v>24</v>
      </c>
      <c r="I344">
        <v>0</v>
      </c>
      <c r="J344">
        <v>0</v>
      </c>
      <c r="K344">
        <v>6.8</v>
      </c>
      <c r="L344">
        <v>4896</v>
      </c>
      <c r="M344" t="s">
        <v>17</v>
      </c>
      <c r="N344" t="str">
        <f t="shared" si="35"/>
        <v>streaming</v>
      </c>
      <c r="O344" t="str">
        <f t="shared" si="36"/>
        <v>non-original</v>
      </c>
      <c r="P344" t="str">
        <f t="shared" si="37"/>
        <v>non-franchise</v>
      </c>
      <c r="Q344" t="str">
        <f t="shared" si="38"/>
        <v>new</v>
      </c>
      <c r="R344" s="2">
        <f t="shared" si="39"/>
        <v>2.3418043502970829E-3</v>
      </c>
      <c r="S344">
        <f t="shared" si="40"/>
        <v>0.52917293233082707</v>
      </c>
      <c r="T344" t="str">
        <f t="shared" si="41"/>
        <v>Scenario 3: Strong Convenience</v>
      </c>
    </row>
    <row r="345" spans="1:20" x14ac:dyDescent="0.35">
      <c r="A345" t="s">
        <v>468</v>
      </c>
      <c r="B345" s="1">
        <v>44827</v>
      </c>
      <c r="C345">
        <v>2022</v>
      </c>
      <c r="D345">
        <v>9</v>
      </c>
      <c r="E345" t="s">
        <v>125</v>
      </c>
      <c r="F345">
        <v>107</v>
      </c>
      <c r="G345" t="s">
        <v>19</v>
      </c>
      <c r="H345" t="s">
        <v>24</v>
      </c>
      <c r="I345">
        <v>0</v>
      </c>
      <c r="J345">
        <v>0</v>
      </c>
      <c r="K345">
        <v>6.1</v>
      </c>
      <c r="L345">
        <v>38132</v>
      </c>
      <c r="M345" t="s">
        <v>17</v>
      </c>
      <c r="N345" t="str">
        <f t="shared" si="35"/>
        <v>streaming</v>
      </c>
      <c r="O345" t="str">
        <f t="shared" si="36"/>
        <v>non-original</v>
      </c>
      <c r="P345" t="str">
        <f t="shared" si="37"/>
        <v>non-franchise</v>
      </c>
      <c r="Q345" t="str">
        <f t="shared" si="38"/>
        <v>new</v>
      </c>
      <c r="R345" s="2">
        <f t="shared" si="39"/>
        <v>1.5246585434780203E-2</v>
      </c>
      <c r="S345">
        <f t="shared" si="40"/>
        <v>0.546936090225564</v>
      </c>
      <c r="T345" t="str">
        <f t="shared" si="41"/>
        <v>Scenario 3: Strong Convenience</v>
      </c>
    </row>
    <row r="346" spans="1:20" x14ac:dyDescent="0.35">
      <c r="A346" t="s">
        <v>469</v>
      </c>
      <c r="B346" s="1">
        <v>44827</v>
      </c>
      <c r="C346">
        <v>2022</v>
      </c>
      <c r="D346">
        <v>9</v>
      </c>
      <c r="E346" t="s">
        <v>125</v>
      </c>
      <c r="F346">
        <v>97</v>
      </c>
      <c r="G346" t="s">
        <v>34</v>
      </c>
      <c r="H346" t="s">
        <v>24</v>
      </c>
      <c r="I346">
        <v>0</v>
      </c>
      <c r="J346">
        <v>0</v>
      </c>
      <c r="K346">
        <v>6.8</v>
      </c>
      <c r="L346">
        <v>25339</v>
      </c>
      <c r="M346" t="s">
        <v>17</v>
      </c>
      <c r="N346" t="str">
        <f t="shared" si="35"/>
        <v>streaming</v>
      </c>
      <c r="O346" t="str">
        <f t="shared" si="36"/>
        <v>non-original</v>
      </c>
      <c r="P346" t="str">
        <f t="shared" si="37"/>
        <v>non-franchise</v>
      </c>
      <c r="Q346" t="str">
        <f t="shared" si="38"/>
        <v>new</v>
      </c>
      <c r="R346" s="2">
        <f t="shared" si="39"/>
        <v>9.1846039846322971E-3</v>
      </c>
      <c r="S346">
        <f t="shared" si="40"/>
        <v>0.64804511278195487</v>
      </c>
      <c r="T346" t="str">
        <f t="shared" si="41"/>
        <v>Scenario 3: Strong Convenience</v>
      </c>
    </row>
    <row r="347" spans="1:20" x14ac:dyDescent="0.35">
      <c r="A347" t="s">
        <v>470</v>
      </c>
      <c r="B347" s="1">
        <v>44832</v>
      </c>
      <c r="C347">
        <v>2022</v>
      </c>
      <c r="D347">
        <v>9</v>
      </c>
      <c r="E347" t="s">
        <v>125</v>
      </c>
      <c r="F347">
        <v>167</v>
      </c>
      <c r="G347" t="s">
        <v>111</v>
      </c>
      <c r="H347" t="s">
        <v>265</v>
      </c>
      <c r="I347">
        <v>0</v>
      </c>
      <c r="J347">
        <v>0</v>
      </c>
      <c r="K347">
        <v>5.4</v>
      </c>
      <c r="L347">
        <v>77983</v>
      </c>
      <c r="M347" t="s">
        <v>17</v>
      </c>
      <c r="N347" t="str">
        <f t="shared" si="35"/>
        <v>streaming</v>
      </c>
      <c r="O347" t="str">
        <f t="shared" si="36"/>
        <v>non-original</v>
      </c>
      <c r="P347" t="str">
        <f t="shared" si="37"/>
        <v>non-franchise</v>
      </c>
      <c r="Q347" t="str">
        <f t="shared" si="38"/>
        <v>new</v>
      </c>
      <c r="R347" s="2">
        <f t="shared" si="39"/>
        <v>4.8664878032480777E-2</v>
      </c>
      <c r="S347">
        <f t="shared" si="40"/>
        <v>0.30146616541353383</v>
      </c>
      <c r="T347" t="str">
        <f t="shared" si="41"/>
        <v>Scenario 1: Strong Commitment</v>
      </c>
    </row>
    <row r="348" spans="1:20" x14ac:dyDescent="0.35">
      <c r="A348" t="s">
        <v>471</v>
      </c>
      <c r="B348" s="1">
        <v>44834</v>
      </c>
      <c r="C348">
        <v>2022</v>
      </c>
      <c r="D348">
        <v>9</v>
      </c>
      <c r="E348" t="s">
        <v>125</v>
      </c>
      <c r="F348">
        <v>106</v>
      </c>
      <c r="G348" t="s">
        <v>29</v>
      </c>
      <c r="H348" t="s">
        <v>30</v>
      </c>
      <c r="I348">
        <v>0</v>
      </c>
      <c r="J348">
        <v>0</v>
      </c>
      <c r="K348">
        <v>4.5999999999999996</v>
      </c>
      <c r="L348">
        <v>3596</v>
      </c>
      <c r="M348" t="s">
        <v>17</v>
      </c>
      <c r="N348" t="str">
        <f t="shared" si="35"/>
        <v>streaming</v>
      </c>
      <c r="O348" t="str">
        <f t="shared" si="36"/>
        <v>non-original</v>
      </c>
      <c r="P348" t="str">
        <f t="shared" si="37"/>
        <v>non-franchise</v>
      </c>
      <c r="Q348" t="str">
        <f t="shared" si="38"/>
        <v>new</v>
      </c>
      <c r="R348" s="2">
        <f t="shared" si="39"/>
        <v>1.424376428188893E-3</v>
      </c>
      <c r="S348">
        <f t="shared" si="40"/>
        <v>0.41503759398496237</v>
      </c>
      <c r="T348" t="str">
        <f t="shared" si="41"/>
        <v>Scenario 2: Weak Commitment/Convenience</v>
      </c>
    </row>
    <row r="349" spans="1:20" x14ac:dyDescent="0.35">
      <c r="A349" t="s">
        <v>472</v>
      </c>
      <c r="B349" s="1">
        <v>44834</v>
      </c>
      <c r="C349">
        <v>2022</v>
      </c>
      <c r="D349">
        <v>9</v>
      </c>
      <c r="E349" t="s">
        <v>125</v>
      </c>
      <c r="F349">
        <v>118</v>
      </c>
      <c r="G349" t="s">
        <v>473</v>
      </c>
      <c r="H349" t="s">
        <v>24</v>
      </c>
      <c r="I349">
        <v>0</v>
      </c>
      <c r="J349">
        <v>0</v>
      </c>
      <c r="K349">
        <v>4.7</v>
      </c>
      <c r="L349">
        <v>1198</v>
      </c>
      <c r="M349" t="s">
        <v>17</v>
      </c>
      <c r="N349" t="str">
        <f t="shared" si="35"/>
        <v>streaming</v>
      </c>
      <c r="O349" t="str">
        <f t="shared" si="36"/>
        <v>non-original</v>
      </c>
      <c r="P349" t="str">
        <f t="shared" si="37"/>
        <v>non-franchise</v>
      </c>
      <c r="Q349" t="str">
        <f t="shared" si="38"/>
        <v>new</v>
      </c>
      <c r="R349" s="2">
        <f t="shared" si="39"/>
        <v>5.2824823544634139E-4</v>
      </c>
      <c r="S349">
        <f t="shared" si="40"/>
        <v>0.39225563909774447</v>
      </c>
      <c r="T349" t="str">
        <f t="shared" si="41"/>
        <v>Scenario 2: Weak Commitment/Convenience</v>
      </c>
    </row>
    <row r="350" spans="1:20" x14ac:dyDescent="0.35">
      <c r="A350" t="s">
        <v>474</v>
      </c>
      <c r="B350" s="1">
        <v>44839</v>
      </c>
      <c r="C350">
        <v>2022</v>
      </c>
      <c r="D350">
        <v>10</v>
      </c>
      <c r="E350" t="s">
        <v>125</v>
      </c>
      <c r="F350">
        <v>88</v>
      </c>
      <c r="G350" t="s">
        <v>34</v>
      </c>
      <c r="H350" t="s">
        <v>27</v>
      </c>
      <c r="I350">
        <v>0</v>
      </c>
      <c r="J350">
        <v>0</v>
      </c>
      <c r="K350">
        <v>5.8</v>
      </c>
      <c r="L350">
        <v>1410</v>
      </c>
      <c r="M350" t="s">
        <v>17</v>
      </c>
      <c r="N350" t="str">
        <f t="shared" si="35"/>
        <v>streaming</v>
      </c>
      <c r="O350" t="str">
        <f t="shared" si="36"/>
        <v>non-original</v>
      </c>
      <c r="P350" t="str">
        <f t="shared" si="37"/>
        <v>non-franchise</v>
      </c>
      <c r="Q350" t="str">
        <f t="shared" si="38"/>
        <v>new</v>
      </c>
      <c r="R350" s="2">
        <f t="shared" si="39"/>
        <v>4.6366147713832411E-4</v>
      </c>
      <c r="S350">
        <f t="shared" si="40"/>
        <v>0.58218045112781946</v>
      </c>
      <c r="T350" t="str">
        <f t="shared" si="41"/>
        <v>Scenario 3: Strong Convenience</v>
      </c>
    </row>
    <row r="351" spans="1:20" x14ac:dyDescent="0.35">
      <c r="A351" t="s">
        <v>475</v>
      </c>
      <c r="B351" s="1">
        <v>44839</v>
      </c>
      <c r="C351">
        <v>2022</v>
      </c>
      <c r="D351">
        <v>10</v>
      </c>
      <c r="E351" t="s">
        <v>125</v>
      </c>
      <c r="F351">
        <v>106</v>
      </c>
      <c r="G351" t="s">
        <v>92</v>
      </c>
      <c r="H351" t="s">
        <v>27</v>
      </c>
      <c r="I351">
        <v>1</v>
      </c>
      <c r="J351">
        <v>0</v>
      </c>
      <c r="K351">
        <v>6</v>
      </c>
      <c r="L351">
        <v>44006</v>
      </c>
      <c r="M351" t="s">
        <v>17</v>
      </c>
      <c r="N351" t="str">
        <f t="shared" si="35"/>
        <v>streaming</v>
      </c>
      <c r="O351" t="str">
        <f t="shared" si="36"/>
        <v>original</v>
      </c>
      <c r="P351" t="str">
        <f t="shared" si="37"/>
        <v>non-franchise</v>
      </c>
      <c r="Q351" t="str">
        <f t="shared" si="38"/>
        <v>old</v>
      </c>
      <c r="R351" s="2">
        <f t="shared" si="39"/>
        <v>2.6146180102425094E-2</v>
      </c>
      <c r="S351">
        <f t="shared" si="40"/>
        <v>0.36090225563909772</v>
      </c>
      <c r="T351" t="str">
        <f t="shared" si="41"/>
        <v>Scenario 2: Weak Commitment/Convenience</v>
      </c>
    </row>
    <row r="352" spans="1:20" x14ac:dyDescent="0.35">
      <c r="A352" t="s">
        <v>476</v>
      </c>
      <c r="B352" s="1">
        <v>44839</v>
      </c>
      <c r="C352">
        <v>2022</v>
      </c>
      <c r="D352">
        <v>10</v>
      </c>
      <c r="E352" t="s">
        <v>125</v>
      </c>
      <c r="F352">
        <v>95</v>
      </c>
      <c r="G352" t="s">
        <v>19</v>
      </c>
      <c r="H352" t="s">
        <v>30</v>
      </c>
      <c r="I352">
        <v>0</v>
      </c>
      <c r="J352">
        <v>0</v>
      </c>
      <c r="K352">
        <v>5.4</v>
      </c>
      <c r="L352">
        <v>737</v>
      </c>
      <c r="M352" t="s">
        <v>17</v>
      </c>
      <c r="N352" t="str">
        <f t="shared" si="35"/>
        <v>streaming</v>
      </c>
      <c r="O352" t="str">
        <f t="shared" si="36"/>
        <v>non-original</v>
      </c>
      <c r="P352" t="str">
        <f t="shared" si="37"/>
        <v>non-franchise</v>
      </c>
      <c r="Q352" t="str">
        <f t="shared" si="38"/>
        <v>new</v>
      </c>
      <c r="R352" s="2">
        <f t="shared" si="39"/>
        <v>2.6163167570792848E-4</v>
      </c>
      <c r="S352">
        <f t="shared" si="40"/>
        <v>0.52071428571428569</v>
      </c>
      <c r="T352" t="str">
        <f t="shared" si="41"/>
        <v>Scenario 3: Strong Convenience</v>
      </c>
    </row>
    <row r="353" spans="1:20" x14ac:dyDescent="0.35">
      <c r="A353" t="s">
        <v>477</v>
      </c>
      <c r="B353" s="1">
        <v>44841</v>
      </c>
      <c r="C353">
        <v>2022</v>
      </c>
      <c r="D353">
        <v>10</v>
      </c>
      <c r="E353" t="s">
        <v>125</v>
      </c>
      <c r="F353">
        <v>106</v>
      </c>
      <c r="G353" t="s">
        <v>34</v>
      </c>
      <c r="H353" t="s">
        <v>30</v>
      </c>
      <c r="I353">
        <v>0</v>
      </c>
      <c r="J353">
        <v>0</v>
      </c>
      <c r="K353">
        <v>6.4</v>
      </c>
      <c r="L353">
        <v>602</v>
      </c>
      <c r="M353" t="s">
        <v>17</v>
      </c>
      <c r="N353" t="str">
        <f t="shared" si="35"/>
        <v>streaming</v>
      </c>
      <c r="O353" t="str">
        <f t="shared" si="36"/>
        <v>non-original</v>
      </c>
      <c r="P353" t="str">
        <f t="shared" si="37"/>
        <v>non-franchise</v>
      </c>
      <c r="Q353" t="str">
        <f t="shared" si="38"/>
        <v>new</v>
      </c>
      <c r="R353" s="2">
        <f t="shared" si="39"/>
        <v>2.3845233864563779E-4</v>
      </c>
      <c r="S353">
        <f t="shared" si="40"/>
        <v>0.57744360902255631</v>
      </c>
      <c r="T353" t="str">
        <f t="shared" si="41"/>
        <v>Scenario 3: Strong Convenience</v>
      </c>
    </row>
    <row r="354" spans="1:20" x14ac:dyDescent="0.35">
      <c r="A354" t="s">
        <v>478</v>
      </c>
      <c r="B354" s="1">
        <v>44841</v>
      </c>
      <c r="C354">
        <v>2022</v>
      </c>
      <c r="D354">
        <v>10</v>
      </c>
      <c r="E354" t="s">
        <v>125</v>
      </c>
      <c r="F354">
        <v>115</v>
      </c>
      <c r="G354" t="s">
        <v>479</v>
      </c>
      <c r="H354" t="s">
        <v>24</v>
      </c>
      <c r="I354">
        <v>0</v>
      </c>
      <c r="J354">
        <v>0</v>
      </c>
      <c r="K354">
        <v>6.4</v>
      </c>
      <c r="L354">
        <v>59824</v>
      </c>
      <c r="M354" t="s">
        <v>88</v>
      </c>
      <c r="N354" t="str">
        <f t="shared" si="35"/>
        <v>streaming</v>
      </c>
      <c r="O354" t="str">
        <f t="shared" si="36"/>
        <v>non-original</v>
      </c>
      <c r="P354" t="str">
        <f t="shared" si="37"/>
        <v>non-franchise</v>
      </c>
      <c r="Q354" t="str">
        <f t="shared" si="38"/>
        <v>new</v>
      </c>
      <c r="R354" s="2">
        <f t="shared" si="39"/>
        <v>2.5708250193078312E-2</v>
      </c>
      <c r="S354">
        <f t="shared" si="40"/>
        <v>0.54496240601503765</v>
      </c>
      <c r="T354" t="str">
        <f t="shared" si="41"/>
        <v>Scenario 3: Strong Convenience</v>
      </c>
    </row>
    <row r="355" spans="1:20" x14ac:dyDescent="0.35">
      <c r="A355" t="s">
        <v>480</v>
      </c>
      <c r="B355" s="1">
        <v>44841</v>
      </c>
      <c r="C355">
        <v>2022</v>
      </c>
      <c r="D355">
        <v>10</v>
      </c>
      <c r="E355" t="s">
        <v>125</v>
      </c>
      <c r="F355">
        <v>101</v>
      </c>
      <c r="G355" t="s">
        <v>92</v>
      </c>
      <c r="H355" t="s">
        <v>30</v>
      </c>
      <c r="I355">
        <v>0</v>
      </c>
      <c r="J355">
        <v>0</v>
      </c>
      <c r="K355">
        <v>5.0999999999999996</v>
      </c>
      <c r="L355">
        <v>7905</v>
      </c>
      <c r="M355" t="s">
        <v>17</v>
      </c>
      <c r="N355" t="str">
        <f t="shared" si="35"/>
        <v>streaming</v>
      </c>
      <c r="O355" t="str">
        <f t="shared" si="36"/>
        <v>non-original</v>
      </c>
      <c r="P355" t="str">
        <f t="shared" si="37"/>
        <v>non-franchise</v>
      </c>
      <c r="Q355" t="str">
        <f t="shared" si="38"/>
        <v>new</v>
      </c>
      <c r="R355" s="2">
        <f t="shared" si="39"/>
        <v>2.9834755130127631E-3</v>
      </c>
      <c r="S355">
        <f t="shared" si="40"/>
        <v>0.47453007518796991</v>
      </c>
      <c r="T355" t="str">
        <f t="shared" si="41"/>
        <v>Scenario 2: Weak Commitment/Convenience</v>
      </c>
    </row>
    <row r="356" spans="1:20" x14ac:dyDescent="0.35">
      <c r="A356" t="s">
        <v>481</v>
      </c>
      <c r="B356" s="1">
        <v>44845</v>
      </c>
      <c r="C356">
        <v>2022</v>
      </c>
      <c r="D356">
        <v>10</v>
      </c>
      <c r="E356" t="s">
        <v>125</v>
      </c>
      <c r="F356">
        <v>107</v>
      </c>
      <c r="G356" t="s">
        <v>29</v>
      </c>
      <c r="H356" t="s">
        <v>30</v>
      </c>
      <c r="I356">
        <v>0</v>
      </c>
      <c r="J356">
        <v>0</v>
      </c>
      <c r="K356">
        <v>5.7</v>
      </c>
      <c r="L356">
        <v>1969</v>
      </c>
      <c r="M356" t="s">
        <v>88</v>
      </c>
      <c r="N356" t="str">
        <f t="shared" si="35"/>
        <v>streaming</v>
      </c>
      <c r="O356" t="str">
        <f t="shared" si="36"/>
        <v>non-original</v>
      </c>
      <c r="P356" t="str">
        <f t="shared" si="37"/>
        <v>non-franchise</v>
      </c>
      <c r="Q356" t="str">
        <f t="shared" si="38"/>
        <v>new</v>
      </c>
      <c r="R356" s="2">
        <f t="shared" si="39"/>
        <v>7.8727910209488658E-4</v>
      </c>
      <c r="S356">
        <f t="shared" si="40"/>
        <v>0.51107142857142862</v>
      </c>
      <c r="T356" t="str">
        <f t="shared" si="41"/>
        <v>Scenario 3: Strong Convenience</v>
      </c>
    </row>
    <row r="357" spans="1:20" x14ac:dyDescent="0.35">
      <c r="A357" t="s">
        <v>482</v>
      </c>
      <c r="B357" s="1">
        <v>44848</v>
      </c>
      <c r="C357">
        <v>2022</v>
      </c>
      <c r="D357">
        <v>10</v>
      </c>
      <c r="E357" t="s">
        <v>125</v>
      </c>
      <c r="F357">
        <v>91</v>
      </c>
      <c r="G357" t="s">
        <v>21</v>
      </c>
      <c r="H357" t="s">
        <v>27</v>
      </c>
      <c r="I357">
        <v>0</v>
      </c>
      <c r="J357">
        <v>0</v>
      </c>
      <c r="K357">
        <v>5.6</v>
      </c>
      <c r="L357">
        <v>13985</v>
      </c>
      <c r="M357" t="s">
        <v>88</v>
      </c>
      <c r="N357" t="str">
        <f t="shared" si="35"/>
        <v>streaming</v>
      </c>
      <c r="O357" t="str">
        <f t="shared" si="36"/>
        <v>non-original</v>
      </c>
      <c r="P357" t="str">
        <f t="shared" si="37"/>
        <v>non-franchise</v>
      </c>
      <c r="Q357" t="str">
        <f t="shared" si="38"/>
        <v>new</v>
      </c>
      <c r="R357" s="2">
        <f t="shared" si="39"/>
        <v>4.7555756282876465E-3</v>
      </c>
      <c r="S357">
        <f t="shared" si="40"/>
        <v>0.55263157894736836</v>
      </c>
      <c r="T357" t="str">
        <f t="shared" si="41"/>
        <v>Scenario 3: Strong Convenience</v>
      </c>
    </row>
    <row r="358" spans="1:20" x14ac:dyDescent="0.35">
      <c r="A358" t="s">
        <v>483</v>
      </c>
      <c r="B358" s="1">
        <v>44853</v>
      </c>
      <c r="C358">
        <v>2022</v>
      </c>
      <c r="D358">
        <v>10</v>
      </c>
      <c r="E358" t="s">
        <v>125</v>
      </c>
      <c r="F358">
        <v>148</v>
      </c>
      <c r="G358" t="s">
        <v>484</v>
      </c>
      <c r="H358" t="s">
        <v>27</v>
      </c>
      <c r="I358">
        <v>0</v>
      </c>
      <c r="J358">
        <v>0</v>
      </c>
      <c r="K358">
        <v>5.9</v>
      </c>
      <c r="L358">
        <v>41592</v>
      </c>
      <c r="M358" t="s">
        <v>88</v>
      </c>
      <c r="N358" t="str">
        <f t="shared" si="35"/>
        <v>streaming</v>
      </c>
      <c r="O358" t="str">
        <f t="shared" si="36"/>
        <v>non-original</v>
      </c>
      <c r="P358" t="str">
        <f t="shared" si="37"/>
        <v>non-franchise</v>
      </c>
      <c r="Q358" t="str">
        <f t="shared" si="38"/>
        <v>new</v>
      </c>
      <c r="R358" s="2">
        <f t="shared" si="39"/>
        <v>2.3002272785753564E-2</v>
      </c>
      <c r="S358">
        <f t="shared" si="40"/>
        <v>0.39259398496240611</v>
      </c>
      <c r="T358" t="str">
        <f t="shared" si="41"/>
        <v>Scenario 2: Weak Commitment/Convenience</v>
      </c>
    </row>
    <row r="359" spans="1:20" x14ac:dyDescent="0.35">
      <c r="A359" t="s">
        <v>485</v>
      </c>
      <c r="B359" s="1">
        <v>44853</v>
      </c>
      <c r="C359">
        <v>2022</v>
      </c>
      <c r="D359">
        <v>10</v>
      </c>
      <c r="E359" t="s">
        <v>125</v>
      </c>
      <c r="F359">
        <v>117</v>
      </c>
      <c r="G359" t="s">
        <v>19</v>
      </c>
      <c r="H359" t="s">
        <v>24</v>
      </c>
      <c r="I359">
        <v>0</v>
      </c>
      <c r="J359">
        <v>0</v>
      </c>
      <c r="K359">
        <v>6.6</v>
      </c>
      <c r="L359">
        <v>30255</v>
      </c>
      <c r="M359" t="s">
        <v>17</v>
      </c>
      <c r="N359" t="str">
        <f t="shared" si="35"/>
        <v>streaming</v>
      </c>
      <c r="O359" t="str">
        <f t="shared" si="36"/>
        <v>non-original</v>
      </c>
      <c r="P359" t="str">
        <f t="shared" si="37"/>
        <v>non-franchise</v>
      </c>
      <c r="Q359" t="str">
        <f t="shared" si="38"/>
        <v>new</v>
      </c>
      <c r="R359" s="2">
        <f t="shared" si="39"/>
        <v>1.322763640333607E-2</v>
      </c>
      <c r="S359">
        <f t="shared" si="40"/>
        <v>0.55454887218045101</v>
      </c>
      <c r="T359" t="str">
        <f t="shared" si="41"/>
        <v>Scenario 3: Strong Convenience</v>
      </c>
    </row>
    <row r="360" spans="1:20" x14ac:dyDescent="0.35">
      <c r="A360" t="s">
        <v>486</v>
      </c>
      <c r="B360" s="1">
        <v>44855</v>
      </c>
      <c r="C360">
        <v>2022</v>
      </c>
      <c r="D360">
        <v>10</v>
      </c>
      <c r="E360" t="s">
        <v>125</v>
      </c>
      <c r="F360">
        <v>121</v>
      </c>
      <c r="G360" t="s">
        <v>487</v>
      </c>
      <c r="H360" t="s">
        <v>30</v>
      </c>
      <c r="I360">
        <v>0</v>
      </c>
      <c r="J360">
        <v>0</v>
      </c>
      <c r="K360">
        <v>7.4</v>
      </c>
      <c r="L360">
        <v>14822</v>
      </c>
      <c r="M360" t="s">
        <v>88</v>
      </c>
      <c r="N360" t="str">
        <f t="shared" si="35"/>
        <v>streaming</v>
      </c>
      <c r="O360" t="str">
        <f t="shared" si="36"/>
        <v>non-original</v>
      </c>
      <c r="P360" t="str">
        <f t="shared" si="37"/>
        <v>non-franchise</v>
      </c>
      <c r="Q360" t="str">
        <f t="shared" si="38"/>
        <v>new</v>
      </c>
      <c r="R360" s="2">
        <f t="shared" si="39"/>
        <v>6.7017991627293123E-3</v>
      </c>
      <c r="S360">
        <f t="shared" si="40"/>
        <v>0.60507518796992477</v>
      </c>
      <c r="T360" t="str">
        <f t="shared" si="41"/>
        <v>Scenario 3: Strong Convenience</v>
      </c>
    </row>
    <row r="361" spans="1:20" x14ac:dyDescent="0.35">
      <c r="A361" t="s">
        <v>488</v>
      </c>
      <c r="B361" s="1">
        <v>44860</v>
      </c>
      <c r="C361">
        <v>2022</v>
      </c>
      <c r="D361">
        <v>10</v>
      </c>
      <c r="E361" t="s">
        <v>125</v>
      </c>
      <c r="F361">
        <v>90</v>
      </c>
      <c r="G361" t="s">
        <v>92</v>
      </c>
      <c r="H361" t="s">
        <v>24</v>
      </c>
      <c r="I361">
        <v>0</v>
      </c>
      <c r="J361">
        <v>0</v>
      </c>
      <c r="K361">
        <v>5.8</v>
      </c>
      <c r="L361">
        <v>9708</v>
      </c>
      <c r="M361" t="s">
        <v>17</v>
      </c>
      <c r="N361" t="str">
        <f t="shared" si="35"/>
        <v>streaming</v>
      </c>
      <c r="O361" t="str">
        <f t="shared" si="36"/>
        <v>non-original</v>
      </c>
      <c r="P361" t="str">
        <f t="shared" si="37"/>
        <v>non-franchise</v>
      </c>
      <c r="Q361" t="str">
        <f t="shared" si="38"/>
        <v>new</v>
      </c>
      <c r="R361" s="2">
        <f t="shared" si="39"/>
        <v>3.2649122002361098E-3</v>
      </c>
      <c r="S361">
        <f t="shared" si="40"/>
        <v>0.57563909774436084</v>
      </c>
      <c r="T361" t="str">
        <f t="shared" si="41"/>
        <v>Scenario 3: Strong Convenience</v>
      </c>
    </row>
    <row r="362" spans="1:20" x14ac:dyDescent="0.35">
      <c r="A362" t="s">
        <v>489</v>
      </c>
      <c r="B362" s="1">
        <v>44860</v>
      </c>
      <c r="C362">
        <v>2022</v>
      </c>
      <c r="D362">
        <v>10</v>
      </c>
      <c r="E362" t="s">
        <v>125</v>
      </c>
      <c r="F362">
        <v>90</v>
      </c>
      <c r="G362" t="s">
        <v>41</v>
      </c>
      <c r="H362" t="s">
        <v>30</v>
      </c>
      <c r="I362">
        <v>0</v>
      </c>
      <c r="J362">
        <v>0</v>
      </c>
      <c r="K362">
        <v>5.5</v>
      </c>
      <c r="L362">
        <v>2985</v>
      </c>
      <c r="M362" t="s">
        <v>17</v>
      </c>
      <c r="N362" t="str">
        <f t="shared" si="35"/>
        <v>streaming</v>
      </c>
      <c r="O362" t="str">
        <f t="shared" si="36"/>
        <v>non-original</v>
      </c>
      <c r="P362" t="str">
        <f t="shared" si="37"/>
        <v>non-franchise</v>
      </c>
      <c r="Q362" t="str">
        <f t="shared" si="38"/>
        <v>new</v>
      </c>
      <c r="R362" s="2">
        <f t="shared" si="39"/>
        <v>1.0038898761541809E-3</v>
      </c>
      <c r="S362">
        <f t="shared" si="40"/>
        <v>0.54586466165413539</v>
      </c>
      <c r="T362" t="str">
        <f t="shared" si="41"/>
        <v>Scenario 3: Strong Convenience</v>
      </c>
    </row>
    <row r="363" spans="1:20" x14ac:dyDescent="0.35">
      <c r="A363" t="s">
        <v>490</v>
      </c>
      <c r="B363" s="1">
        <v>44860</v>
      </c>
      <c r="C363">
        <v>2022</v>
      </c>
      <c r="D363">
        <v>10</v>
      </c>
      <c r="E363" t="s">
        <v>125</v>
      </c>
      <c r="F363">
        <v>123</v>
      </c>
      <c r="G363" t="s">
        <v>34</v>
      </c>
      <c r="H363" t="s">
        <v>24</v>
      </c>
      <c r="I363">
        <v>0</v>
      </c>
      <c r="J363">
        <v>0</v>
      </c>
      <c r="K363">
        <v>6.8</v>
      </c>
      <c r="L363">
        <v>89813</v>
      </c>
      <c r="M363" t="s">
        <v>88</v>
      </c>
      <c r="N363" t="str">
        <f t="shared" si="35"/>
        <v>streaming</v>
      </c>
      <c r="O363" t="str">
        <f t="shared" si="36"/>
        <v>non-original</v>
      </c>
      <c r="P363" t="str">
        <f t="shared" si="37"/>
        <v>non-franchise</v>
      </c>
      <c r="Q363" t="str">
        <f t="shared" si="38"/>
        <v>new</v>
      </c>
      <c r="R363" s="2">
        <f t="shared" si="39"/>
        <v>4.1280366491663355E-2</v>
      </c>
      <c r="S363">
        <f t="shared" si="40"/>
        <v>0.54834586466165425</v>
      </c>
      <c r="T363" t="str">
        <f t="shared" si="41"/>
        <v>Scenario 4: Hybrid Logic</v>
      </c>
    </row>
    <row r="364" spans="1:20" x14ac:dyDescent="0.35">
      <c r="A364" t="s">
        <v>491</v>
      </c>
      <c r="B364" s="1">
        <v>44861</v>
      </c>
      <c r="C364">
        <v>2022</v>
      </c>
      <c r="D364">
        <v>10</v>
      </c>
      <c r="E364" t="s">
        <v>125</v>
      </c>
      <c r="F364">
        <v>127</v>
      </c>
      <c r="G364" t="s">
        <v>90</v>
      </c>
      <c r="H364" t="s">
        <v>24</v>
      </c>
      <c r="I364">
        <v>0</v>
      </c>
      <c r="J364">
        <v>0</v>
      </c>
      <c r="K364">
        <v>6.6</v>
      </c>
      <c r="L364">
        <v>2863</v>
      </c>
      <c r="M364" t="s">
        <v>88</v>
      </c>
      <c r="N364" t="str">
        <f t="shared" si="35"/>
        <v>streaming</v>
      </c>
      <c r="O364" t="str">
        <f t="shared" si="36"/>
        <v>non-original</v>
      </c>
      <c r="P364" t="str">
        <f t="shared" si="37"/>
        <v>non-franchise</v>
      </c>
      <c r="Q364" t="str">
        <f t="shared" si="38"/>
        <v>new</v>
      </c>
      <c r="R364" s="2">
        <f t="shared" si="39"/>
        <v>1.3587022626448402E-3</v>
      </c>
      <c r="S364">
        <f t="shared" si="40"/>
        <v>0.51733082706766909</v>
      </c>
      <c r="T364" t="str">
        <f t="shared" si="41"/>
        <v>Scenario 3: Strong Convenience</v>
      </c>
    </row>
    <row r="365" spans="1:20" x14ac:dyDescent="0.35">
      <c r="A365" t="s">
        <v>492</v>
      </c>
      <c r="B365" s="1">
        <v>44862</v>
      </c>
      <c r="C365">
        <v>2022</v>
      </c>
      <c r="D365">
        <v>10</v>
      </c>
      <c r="E365" t="s">
        <v>125</v>
      </c>
      <c r="F365">
        <v>148</v>
      </c>
      <c r="G365" t="s">
        <v>81</v>
      </c>
      <c r="H365" t="s">
        <v>24</v>
      </c>
      <c r="I365">
        <v>0</v>
      </c>
      <c r="J365">
        <v>0</v>
      </c>
      <c r="K365">
        <v>7.8</v>
      </c>
      <c r="L365">
        <v>311513</v>
      </c>
      <c r="M365" t="s">
        <v>88</v>
      </c>
      <c r="N365" t="str">
        <f t="shared" si="35"/>
        <v>streaming</v>
      </c>
      <c r="O365" t="str">
        <f t="shared" si="36"/>
        <v>non-original</v>
      </c>
      <c r="P365" t="str">
        <f t="shared" si="37"/>
        <v>non-franchise</v>
      </c>
      <c r="Q365" t="str">
        <f t="shared" si="38"/>
        <v>new</v>
      </c>
      <c r="R365" s="2">
        <f t="shared" si="39"/>
        <v>0.17228089541999542</v>
      </c>
      <c r="S365">
        <f t="shared" si="40"/>
        <v>0.5190225563909775</v>
      </c>
      <c r="T365" t="str">
        <f t="shared" si="41"/>
        <v>Scenario 4: Hybrid Logic</v>
      </c>
    </row>
    <row r="366" spans="1:20" x14ac:dyDescent="0.35">
      <c r="A366" t="s">
        <v>493</v>
      </c>
      <c r="B366" s="1">
        <v>44862</v>
      </c>
      <c r="C366">
        <v>2022</v>
      </c>
      <c r="D366">
        <v>10</v>
      </c>
      <c r="E366" t="s">
        <v>125</v>
      </c>
      <c r="F366">
        <v>106</v>
      </c>
      <c r="G366" t="s">
        <v>494</v>
      </c>
      <c r="H366" t="s">
        <v>27</v>
      </c>
      <c r="I366">
        <v>0</v>
      </c>
      <c r="J366">
        <v>0</v>
      </c>
      <c r="K366">
        <v>6.4</v>
      </c>
      <c r="L366">
        <v>14790</v>
      </c>
      <c r="M366" t="s">
        <v>17</v>
      </c>
      <c r="N366" t="str">
        <f t="shared" si="35"/>
        <v>streaming</v>
      </c>
      <c r="O366" t="str">
        <f t="shared" si="36"/>
        <v>non-original</v>
      </c>
      <c r="P366" t="str">
        <f t="shared" si="37"/>
        <v>non-franchise</v>
      </c>
      <c r="Q366" t="str">
        <f t="shared" si="38"/>
        <v>new</v>
      </c>
      <c r="R366" s="2">
        <f t="shared" si="39"/>
        <v>5.858322406260769E-3</v>
      </c>
      <c r="S366">
        <f t="shared" si="40"/>
        <v>0.57744360902255631</v>
      </c>
      <c r="T366" t="str">
        <f t="shared" si="41"/>
        <v>Scenario 3: Strong Convenience</v>
      </c>
    </row>
    <row r="367" spans="1:20" x14ac:dyDescent="0.35">
      <c r="A367" t="s">
        <v>495</v>
      </c>
      <c r="B367" s="1">
        <v>44862</v>
      </c>
      <c r="C367">
        <v>2022</v>
      </c>
      <c r="D367">
        <v>10</v>
      </c>
      <c r="E367" t="s">
        <v>125</v>
      </c>
      <c r="F367">
        <v>123</v>
      </c>
      <c r="G367" t="s">
        <v>43</v>
      </c>
      <c r="H367" t="s">
        <v>30</v>
      </c>
      <c r="I367">
        <v>0</v>
      </c>
      <c r="J367">
        <v>0</v>
      </c>
      <c r="K367">
        <v>5.6</v>
      </c>
      <c r="L367">
        <v>1847</v>
      </c>
      <c r="M367" t="s">
        <v>17</v>
      </c>
      <c r="N367" t="str">
        <f t="shared" si="35"/>
        <v>streaming</v>
      </c>
      <c r="O367" t="str">
        <f t="shared" si="36"/>
        <v>non-original</v>
      </c>
      <c r="P367" t="str">
        <f t="shared" si="37"/>
        <v>non-franchise</v>
      </c>
      <c r="Q367" t="str">
        <f t="shared" si="38"/>
        <v>new</v>
      </c>
      <c r="R367" s="2">
        <f t="shared" si="39"/>
        <v>8.4892873982722128E-4</v>
      </c>
      <c r="S367">
        <f t="shared" si="40"/>
        <v>0.45157894736842102</v>
      </c>
      <c r="T367" t="str">
        <f t="shared" si="41"/>
        <v>Scenario 2: Weak Commitment/Convenience</v>
      </c>
    </row>
    <row r="368" spans="1:20" x14ac:dyDescent="0.35">
      <c r="A368" t="s">
        <v>496</v>
      </c>
      <c r="B368" s="1">
        <v>44866</v>
      </c>
      <c r="C368">
        <v>2022</v>
      </c>
      <c r="D368">
        <v>11</v>
      </c>
      <c r="E368" t="s">
        <v>125</v>
      </c>
      <c r="F368">
        <v>88</v>
      </c>
      <c r="G368" t="s">
        <v>497</v>
      </c>
      <c r="H368" t="s">
        <v>30</v>
      </c>
      <c r="I368">
        <v>0</v>
      </c>
      <c r="J368">
        <v>0</v>
      </c>
      <c r="K368">
        <v>5.8</v>
      </c>
      <c r="L368">
        <v>34</v>
      </c>
      <c r="M368" t="s">
        <v>17</v>
      </c>
      <c r="N368" t="str">
        <f t="shared" si="35"/>
        <v>streaming</v>
      </c>
      <c r="O368" t="str">
        <f t="shared" si="36"/>
        <v>non-original</v>
      </c>
      <c r="P368" t="str">
        <f t="shared" si="37"/>
        <v>non-franchise</v>
      </c>
      <c r="Q368" t="str">
        <f t="shared" si="38"/>
        <v>new</v>
      </c>
      <c r="R368" s="2">
        <f t="shared" si="39"/>
        <v>1.1180489519647533E-5</v>
      </c>
      <c r="S368">
        <f t="shared" si="40"/>
        <v>0.58218045112781946</v>
      </c>
      <c r="T368" t="str">
        <f t="shared" si="41"/>
        <v>Scenario 3: Strong Convenience</v>
      </c>
    </row>
    <row r="369" spans="1:20" x14ac:dyDescent="0.35">
      <c r="A369" t="s">
        <v>498</v>
      </c>
      <c r="B369" s="1">
        <v>44874</v>
      </c>
      <c r="C369">
        <v>2022</v>
      </c>
      <c r="D369">
        <v>11</v>
      </c>
      <c r="E369" t="s">
        <v>125</v>
      </c>
      <c r="F369">
        <v>73</v>
      </c>
      <c r="G369" t="s">
        <v>499</v>
      </c>
      <c r="H369" t="s">
        <v>56</v>
      </c>
      <c r="I369">
        <v>0</v>
      </c>
      <c r="J369">
        <v>0</v>
      </c>
      <c r="K369">
        <v>3.1</v>
      </c>
      <c r="L369">
        <v>1454</v>
      </c>
      <c r="M369" t="s">
        <v>17</v>
      </c>
      <c r="N369" t="str">
        <f t="shared" si="35"/>
        <v>streaming</v>
      </c>
      <c r="O369" t="str">
        <f t="shared" si="36"/>
        <v>non-original</v>
      </c>
      <c r="P369" t="str">
        <f t="shared" si="37"/>
        <v>non-franchise</v>
      </c>
      <c r="Q369" t="str">
        <f t="shared" si="38"/>
        <v>new</v>
      </c>
      <c r="R369" s="2">
        <f t="shared" si="39"/>
        <v>3.9663085514519665E-4</v>
      </c>
      <c r="S369">
        <f t="shared" si="40"/>
        <v>0.33738721804511274</v>
      </c>
      <c r="T369" t="str">
        <f t="shared" si="41"/>
        <v>Scenario 2: Weak Commitment/Convenience</v>
      </c>
    </row>
    <row r="370" spans="1:20" x14ac:dyDescent="0.35">
      <c r="A370" t="s">
        <v>500</v>
      </c>
      <c r="B370" s="1">
        <v>44875</v>
      </c>
      <c r="C370">
        <v>2022</v>
      </c>
      <c r="D370">
        <v>11</v>
      </c>
      <c r="E370" t="s">
        <v>125</v>
      </c>
      <c r="F370">
        <v>95</v>
      </c>
      <c r="G370" t="s">
        <v>29</v>
      </c>
      <c r="H370" t="s">
        <v>56</v>
      </c>
      <c r="I370">
        <v>0</v>
      </c>
      <c r="J370">
        <v>0</v>
      </c>
      <c r="K370">
        <v>5.3</v>
      </c>
      <c r="L370">
        <v>33783</v>
      </c>
      <c r="M370" t="s">
        <v>88</v>
      </c>
      <c r="N370" t="str">
        <f t="shared" si="35"/>
        <v>streaming</v>
      </c>
      <c r="O370" t="str">
        <f t="shared" si="36"/>
        <v>non-original</v>
      </c>
      <c r="P370" t="str">
        <f t="shared" si="37"/>
        <v>non-franchise</v>
      </c>
      <c r="Q370" t="str">
        <f t="shared" si="38"/>
        <v>new</v>
      </c>
      <c r="R370" s="2">
        <f t="shared" si="39"/>
        <v>1.1992812619322859E-2</v>
      </c>
      <c r="S370">
        <f t="shared" si="40"/>
        <v>0.51107142857142851</v>
      </c>
      <c r="T370" t="str">
        <f t="shared" si="41"/>
        <v>Scenario 3: Strong Convenience</v>
      </c>
    </row>
    <row r="371" spans="1:20" x14ac:dyDescent="0.35">
      <c r="A371" t="s">
        <v>501</v>
      </c>
      <c r="B371" s="1">
        <v>44875</v>
      </c>
      <c r="C371">
        <v>2022</v>
      </c>
      <c r="D371">
        <v>11</v>
      </c>
      <c r="E371" t="s">
        <v>125</v>
      </c>
      <c r="F371">
        <v>100</v>
      </c>
      <c r="G371" t="s">
        <v>58</v>
      </c>
      <c r="H371" t="s">
        <v>24</v>
      </c>
      <c r="I371">
        <v>0</v>
      </c>
      <c r="J371">
        <v>1</v>
      </c>
      <c r="K371">
        <v>6.3</v>
      </c>
      <c r="L371">
        <v>7095</v>
      </c>
      <c r="M371" t="s">
        <v>17</v>
      </c>
      <c r="N371" t="str">
        <f t="shared" si="35"/>
        <v>streaming</v>
      </c>
      <c r="O371" t="str">
        <f t="shared" si="36"/>
        <v>non-original</v>
      </c>
      <c r="P371" t="str">
        <f t="shared" si="37"/>
        <v>franchise</v>
      </c>
      <c r="Q371" t="str">
        <f t="shared" si="38"/>
        <v>old</v>
      </c>
      <c r="R371" s="2">
        <f t="shared" si="39"/>
        <v>3.9768836802422745E-3</v>
      </c>
      <c r="S371">
        <f t="shared" si="40"/>
        <v>0.3931578947368421</v>
      </c>
      <c r="T371" t="str">
        <f t="shared" si="41"/>
        <v>Scenario 2: Weak Commitment/Convenience</v>
      </c>
    </row>
    <row r="372" spans="1:20" x14ac:dyDescent="0.35">
      <c r="A372" t="s">
        <v>502</v>
      </c>
      <c r="B372" s="1">
        <v>44876</v>
      </c>
      <c r="C372">
        <v>2022</v>
      </c>
      <c r="D372">
        <v>11</v>
      </c>
      <c r="E372" t="s">
        <v>125</v>
      </c>
      <c r="F372">
        <v>107</v>
      </c>
      <c r="G372" t="s">
        <v>34</v>
      </c>
      <c r="H372" t="s">
        <v>24</v>
      </c>
      <c r="I372">
        <v>0</v>
      </c>
      <c r="J372">
        <v>0</v>
      </c>
      <c r="K372">
        <v>5.2</v>
      </c>
      <c r="L372">
        <v>2173</v>
      </c>
      <c r="M372" t="s">
        <v>17</v>
      </c>
      <c r="N372" t="str">
        <f t="shared" si="35"/>
        <v>streaming</v>
      </c>
      <c r="O372" t="str">
        <f t="shared" si="36"/>
        <v>non-original</v>
      </c>
      <c r="P372" t="str">
        <f t="shared" si="37"/>
        <v>non-franchise</v>
      </c>
      <c r="Q372" t="str">
        <f t="shared" si="38"/>
        <v>new</v>
      </c>
      <c r="R372" s="2">
        <f t="shared" si="39"/>
        <v>8.6884585518140608E-4</v>
      </c>
      <c r="S372">
        <f t="shared" si="40"/>
        <v>0.46624060150375946</v>
      </c>
      <c r="T372" t="str">
        <f t="shared" si="41"/>
        <v>Scenario 2: Weak Commitment/Convenience</v>
      </c>
    </row>
    <row r="373" spans="1:20" x14ac:dyDescent="0.35">
      <c r="A373" t="s">
        <v>503</v>
      </c>
      <c r="B373" s="1">
        <v>44876</v>
      </c>
      <c r="C373">
        <v>2022</v>
      </c>
      <c r="D373">
        <v>11</v>
      </c>
      <c r="E373" t="s">
        <v>125</v>
      </c>
      <c r="F373">
        <v>130</v>
      </c>
      <c r="G373" t="s">
        <v>504</v>
      </c>
      <c r="H373" t="s">
        <v>24</v>
      </c>
      <c r="I373">
        <v>0</v>
      </c>
      <c r="J373">
        <v>0</v>
      </c>
      <c r="K373">
        <v>7.4</v>
      </c>
      <c r="L373">
        <v>23961</v>
      </c>
      <c r="M373" t="s">
        <v>17</v>
      </c>
      <c r="N373" t="str">
        <f t="shared" si="35"/>
        <v>streaming</v>
      </c>
      <c r="O373" t="str">
        <f t="shared" si="36"/>
        <v>non-original</v>
      </c>
      <c r="P373" t="str">
        <f t="shared" si="37"/>
        <v>non-franchise</v>
      </c>
      <c r="Q373" t="str">
        <f t="shared" si="38"/>
        <v>new</v>
      </c>
      <c r="R373" s="2">
        <f t="shared" si="39"/>
        <v>1.1639853682966472E-2</v>
      </c>
      <c r="S373">
        <f t="shared" si="40"/>
        <v>0.56751879699248109</v>
      </c>
      <c r="T373" t="str">
        <f t="shared" si="41"/>
        <v>Scenario 3: Strong Convenience</v>
      </c>
    </row>
    <row r="374" spans="1:20" x14ac:dyDescent="0.35">
      <c r="A374" t="s">
        <v>505</v>
      </c>
      <c r="B374" s="1">
        <v>44876</v>
      </c>
      <c r="C374">
        <v>2022</v>
      </c>
      <c r="D374">
        <v>11</v>
      </c>
      <c r="E374" t="s">
        <v>125</v>
      </c>
      <c r="F374">
        <v>103</v>
      </c>
      <c r="G374" t="s">
        <v>506</v>
      </c>
      <c r="H374" t="s">
        <v>56</v>
      </c>
      <c r="I374">
        <v>0</v>
      </c>
      <c r="J374">
        <v>0</v>
      </c>
      <c r="K374">
        <v>6.5</v>
      </c>
      <c r="L374">
        <v>4123</v>
      </c>
      <c r="M374" t="s">
        <v>17</v>
      </c>
      <c r="N374" t="str">
        <f t="shared" si="35"/>
        <v>streaming</v>
      </c>
      <c r="O374" t="str">
        <f t="shared" si="36"/>
        <v>non-original</v>
      </c>
      <c r="P374" t="str">
        <f t="shared" si="37"/>
        <v>non-franchise</v>
      </c>
      <c r="Q374" t="str">
        <f t="shared" si="38"/>
        <v>new</v>
      </c>
      <c r="R374" s="2">
        <f t="shared" si="39"/>
        <v>1.5869008368379672E-3</v>
      </c>
      <c r="S374">
        <f t="shared" si="40"/>
        <v>0.59746240601503764</v>
      </c>
      <c r="T374" t="str">
        <f t="shared" si="41"/>
        <v>Scenario 3: Strong Convenience</v>
      </c>
    </row>
    <row r="375" spans="1:20" x14ac:dyDescent="0.35">
      <c r="A375" t="s">
        <v>507</v>
      </c>
      <c r="B375" s="1">
        <v>44881</v>
      </c>
      <c r="C375">
        <v>2022</v>
      </c>
      <c r="D375">
        <v>11</v>
      </c>
      <c r="E375" t="s">
        <v>125</v>
      </c>
      <c r="F375">
        <v>106</v>
      </c>
      <c r="G375" t="s">
        <v>21</v>
      </c>
      <c r="H375" t="s">
        <v>30</v>
      </c>
      <c r="I375">
        <v>0</v>
      </c>
      <c r="J375">
        <v>0</v>
      </c>
      <c r="K375">
        <v>5.5</v>
      </c>
      <c r="L375">
        <v>431</v>
      </c>
      <c r="M375" t="s">
        <v>17</v>
      </c>
      <c r="N375" t="str">
        <f t="shared" si="35"/>
        <v>streaming</v>
      </c>
      <c r="O375" t="str">
        <f t="shared" si="36"/>
        <v>non-original</v>
      </c>
      <c r="P375" t="str">
        <f t="shared" si="37"/>
        <v>non-franchise</v>
      </c>
      <c r="Q375" t="str">
        <f t="shared" si="38"/>
        <v>new</v>
      </c>
      <c r="R375" s="2">
        <f t="shared" si="39"/>
        <v>1.7071919926290677E-4</v>
      </c>
      <c r="S375">
        <f t="shared" si="40"/>
        <v>0.49624060150375943</v>
      </c>
      <c r="T375" t="str">
        <f t="shared" si="41"/>
        <v>Scenario 2: Weak Commitment/Convenience</v>
      </c>
    </row>
    <row r="376" spans="1:20" x14ac:dyDescent="0.35">
      <c r="A376" t="s">
        <v>508</v>
      </c>
      <c r="B376" s="1">
        <v>44881</v>
      </c>
      <c r="C376">
        <v>2022</v>
      </c>
      <c r="D376">
        <v>11</v>
      </c>
      <c r="E376" t="s">
        <v>125</v>
      </c>
      <c r="F376">
        <v>109</v>
      </c>
      <c r="G376" t="s">
        <v>23</v>
      </c>
      <c r="H376" t="s">
        <v>24</v>
      </c>
      <c r="I376">
        <v>0</v>
      </c>
      <c r="J376">
        <v>0</v>
      </c>
      <c r="K376">
        <v>6.6</v>
      </c>
      <c r="L376">
        <v>49098</v>
      </c>
      <c r="M376" t="s">
        <v>17</v>
      </c>
      <c r="N376" t="str">
        <f t="shared" si="35"/>
        <v>streaming</v>
      </c>
      <c r="O376" t="str">
        <f t="shared" si="36"/>
        <v>non-original</v>
      </c>
      <c r="P376" t="str">
        <f t="shared" si="37"/>
        <v>non-franchise</v>
      </c>
      <c r="Q376" t="str">
        <f t="shared" si="38"/>
        <v>new</v>
      </c>
      <c r="R376" s="2">
        <f t="shared" si="39"/>
        <v>1.9998136535256131E-2</v>
      </c>
      <c r="S376">
        <f t="shared" si="40"/>
        <v>0.58432330827067658</v>
      </c>
      <c r="T376" t="str">
        <f t="shared" si="41"/>
        <v>Scenario 3: Strong Convenience</v>
      </c>
    </row>
    <row r="377" spans="1:20" x14ac:dyDescent="0.35">
      <c r="A377" t="s">
        <v>509</v>
      </c>
      <c r="B377" s="1">
        <v>44882</v>
      </c>
      <c r="C377">
        <v>2022</v>
      </c>
      <c r="D377">
        <v>11</v>
      </c>
      <c r="E377" t="s">
        <v>125</v>
      </c>
      <c r="F377">
        <v>90</v>
      </c>
      <c r="G377" t="s">
        <v>29</v>
      </c>
      <c r="H377" t="s">
        <v>56</v>
      </c>
      <c r="I377">
        <v>0</v>
      </c>
      <c r="J377">
        <v>0</v>
      </c>
      <c r="K377">
        <v>5.6</v>
      </c>
      <c r="L377">
        <v>8624</v>
      </c>
      <c r="M377" t="s">
        <v>17</v>
      </c>
      <c r="N377" t="str">
        <f t="shared" si="35"/>
        <v>streaming</v>
      </c>
      <c r="O377" t="str">
        <f t="shared" si="36"/>
        <v>non-original</v>
      </c>
      <c r="P377" t="str">
        <f t="shared" si="37"/>
        <v>non-franchise</v>
      </c>
      <c r="Q377" t="str">
        <f t="shared" si="38"/>
        <v>new</v>
      </c>
      <c r="R377" s="2">
        <f t="shared" si="39"/>
        <v>2.9003505165673894E-3</v>
      </c>
      <c r="S377">
        <f t="shared" si="40"/>
        <v>0.55578947368421039</v>
      </c>
      <c r="T377" t="str">
        <f t="shared" si="41"/>
        <v>Scenario 3: Strong Convenience</v>
      </c>
    </row>
    <row r="378" spans="1:20" x14ac:dyDescent="0.35">
      <c r="A378" t="s">
        <v>510</v>
      </c>
      <c r="B378" s="1">
        <v>44883</v>
      </c>
      <c r="C378">
        <v>2022</v>
      </c>
      <c r="D378">
        <v>11</v>
      </c>
      <c r="E378" t="s">
        <v>125</v>
      </c>
      <c r="F378">
        <v>120</v>
      </c>
      <c r="G378" t="s">
        <v>511</v>
      </c>
      <c r="H378" t="s">
        <v>56</v>
      </c>
      <c r="I378">
        <v>1</v>
      </c>
      <c r="J378">
        <v>1</v>
      </c>
      <c r="K378">
        <v>6.7</v>
      </c>
      <c r="L378">
        <v>35782</v>
      </c>
      <c r="M378" t="s">
        <v>88</v>
      </c>
      <c r="N378" t="str">
        <f t="shared" si="35"/>
        <v>streaming</v>
      </c>
      <c r="O378" t="str">
        <f t="shared" si="36"/>
        <v>original</v>
      </c>
      <c r="P378" t="str">
        <f t="shared" si="37"/>
        <v>franchise</v>
      </c>
      <c r="Q378" t="str">
        <f t="shared" si="38"/>
        <v>old</v>
      </c>
      <c r="R378" s="2">
        <f t="shared" si="39"/>
        <v>2.4067797352461572E-2</v>
      </c>
      <c r="S378">
        <f t="shared" si="40"/>
        <v>0.36774436090225565</v>
      </c>
      <c r="T378" t="str">
        <f t="shared" si="41"/>
        <v>Scenario 2: Weak Commitment/Convenience</v>
      </c>
    </row>
    <row r="379" spans="1:20" x14ac:dyDescent="0.35">
      <c r="A379" t="s">
        <v>512</v>
      </c>
      <c r="B379" s="1">
        <v>44888</v>
      </c>
      <c r="C379">
        <v>2022</v>
      </c>
      <c r="D379">
        <v>11</v>
      </c>
      <c r="E379" t="s">
        <v>125</v>
      </c>
      <c r="F379">
        <v>103</v>
      </c>
      <c r="G379" t="s">
        <v>21</v>
      </c>
      <c r="H379" t="s">
        <v>86</v>
      </c>
      <c r="I379">
        <v>0</v>
      </c>
      <c r="J379">
        <v>0</v>
      </c>
      <c r="K379">
        <v>4.5</v>
      </c>
      <c r="L379">
        <v>2269</v>
      </c>
      <c r="M379" t="s">
        <v>17</v>
      </c>
      <c r="N379" t="str">
        <f t="shared" si="35"/>
        <v>streaming</v>
      </c>
      <c r="O379" t="str">
        <f t="shared" si="36"/>
        <v>non-original</v>
      </c>
      <c r="P379" t="str">
        <f t="shared" si="37"/>
        <v>non-franchise</v>
      </c>
      <c r="Q379" t="str">
        <f t="shared" si="38"/>
        <v>new</v>
      </c>
      <c r="R379" s="2">
        <f t="shared" si="39"/>
        <v>8.7331506155356481E-4</v>
      </c>
      <c r="S379">
        <f t="shared" si="40"/>
        <v>0.41362781954887218</v>
      </c>
      <c r="T379" t="str">
        <f t="shared" si="41"/>
        <v>Scenario 2: Weak Commitment/Convenience</v>
      </c>
    </row>
    <row r="380" spans="1:20" x14ac:dyDescent="0.35">
      <c r="A380" t="s">
        <v>513</v>
      </c>
      <c r="B380" s="1">
        <v>44888</v>
      </c>
      <c r="C380">
        <v>2022</v>
      </c>
      <c r="D380">
        <v>11</v>
      </c>
      <c r="E380" t="s">
        <v>125</v>
      </c>
      <c r="F380">
        <v>99</v>
      </c>
      <c r="G380" t="s">
        <v>43</v>
      </c>
      <c r="H380" t="s">
        <v>30</v>
      </c>
      <c r="I380">
        <v>0</v>
      </c>
      <c r="J380">
        <v>0</v>
      </c>
      <c r="K380">
        <v>5</v>
      </c>
      <c r="L380">
        <v>2313</v>
      </c>
      <c r="M380" t="s">
        <v>17</v>
      </c>
      <c r="N380" t="str">
        <f t="shared" si="35"/>
        <v>streaming</v>
      </c>
      <c r="O380" t="str">
        <f t="shared" si="36"/>
        <v>non-original</v>
      </c>
      <c r="P380" t="str">
        <f t="shared" si="37"/>
        <v>non-franchise</v>
      </c>
      <c r="Q380" t="str">
        <f t="shared" si="38"/>
        <v>new</v>
      </c>
      <c r="R380" s="2">
        <f t="shared" si="39"/>
        <v>8.5567739092096563E-4</v>
      </c>
      <c r="S380">
        <f t="shared" si="40"/>
        <v>0.47086466165413537</v>
      </c>
      <c r="T380" t="str">
        <f t="shared" si="41"/>
        <v>Scenario 2: Weak Commitment/Convenience</v>
      </c>
    </row>
    <row r="381" spans="1:20" x14ac:dyDescent="0.35">
      <c r="A381" t="s">
        <v>514</v>
      </c>
      <c r="B381" s="1">
        <v>44888</v>
      </c>
      <c r="C381">
        <v>2022</v>
      </c>
      <c r="D381">
        <v>11</v>
      </c>
      <c r="E381" t="s">
        <v>125</v>
      </c>
      <c r="F381">
        <v>135</v>
      </c>
      <c r="G381" t="s">
        <v>34</v>
      </c>
      <c r="H381" t="s">
        <v>27</v>
      </c>
      <c r="I381">
        <v>0</v>
      </c>
      <c r="J381">
        <v>0</v>
      </c>
      <c r="K381">
        <v>7.4</v>
      </c>
      <c r="L381">
        <v>40149</v>
      </c>
      <c r="M381" t="s">
        <v>17</v>
      </c>
      <c r="N381" t="str">
        <f t="shared" si="35"/>
        <v>streaming</v>
      </c>
      <c r="O381" t="str">
        <f t="shared" si="36"/>
        <v>non-original</v>
      </c>
      <c r="P381" t="str">
        <f t="shared" si="37"/>
        <v>non-franchise</v>
      </c>
      <c r="Q381" t="str">
        <f t="shared" si="38"/>
        <v>new</v>
      </c>
      <c r="R381" s="2">
        <f t="shared" si="39"/>
        <v>2.0253856601866439E-2</v>
      </c>
      <c r="S381">
        <f t="shared" si="40"/>
        <v>0.54665413533834573</v>
      </c>
      <c r="T381" t="str">
        <f t="shared" si="41"/>
        <v>Scenario 3: Strong Convenience</v>
      </c>
    </row>
    <row r="382" spans="1:20" x14ac:dyDescent="0.35">
      <c r="A382" t="s">
        <v>515</v>
      </c>
      <c r="B382" s="1">
        <v>44888</v>
      </c>
      <c r="C382">
        <v>2022</v>
      </c>
      <c r="D382">
        <v>11</v>
      </c>
      <c r="E382" t="s">
        <v>125</v>
      </c>
      <c r="F382">
        <v>95</v>
      </c>
      <c r="G382" t="s">
        <v>21</v>
      </c>
      <c r="H382" t="s">
        <v>24</v>
      </c>
      <c r="I382">
        <v>0</v>
      </c>
      <c r="J382">
        <v>0</v>
      </c>
      <c r="K382">
        <v>4.7</v>
      </c>
      <c r="L382">
        <v>885</v>
      </c>
      <c r="M382" t="s">
        <v>17</v>
      </c>
      <c r="N382" t="str">
        <f t="shared" si="35"/>
        <v>streaming</v>
      </c>
      <c r="O382" t="str">
        <f t="shared" si="36"/>
        <v>non-original</v>
      </c>
      <c r="P382" t="str">
        <f t="shared" si="37"/>
        <v>non-franchise</v>
      </c>
      <c r="Q382" t="str">
        <f t="shared" si="38"/>
        <v>new</v>
      </c>
      <c r="R382" s="2">
        <f t="shared" si="39"/>
        <v>3.1417100814317057E-4</v>
      </c>
      <c r="S382">
        <f t="shared" si="40"/>
        <v>0.45321428571428574</v>
      </c>
      <c r="T382" t="str">
        <f t="shared" si="41"/>
        <v>Scenario 2: Weak Commitment/Convenience</v>
      </c>
    </row>
    <row r="383" spans="1:20" x14ac:dyDescent="0.35">
      <c r="A383" t="s">
        <v>516</v>
      </c>
      <c r="B383" s="1">
        <v>44889</v>
      </c>
      <c r="C383">
        <v>2022</v>
      </c>
      <c r="D383">
        <v>11</v>
      </c>
      <c r="E383" t="s">
        <v>125</v>
      </c>
      <c r="F383">
        <v>100</v>
      </c>
      <c r="G383" t="s">
        <v>34</v>
      </c>
      <c r="H383" t="s">
        <v>56</v>
      </c>
      <c r="I383">
        <v>0</v>
      </c>
      <c r="J383">
        <v>0</v>
      </c>
      <c r="K383">
        <v>6.2</v>
      </c>
      <c r="L383">
        <v>22216</v>
      </c>
      <c r="M383" t="s">
        <v>88</v>
      </c>
      <c r="N383" t="str">
        <f t="shared" si="35"/>
        <v>streaming</v>
      </c>
      <c r="O383" t="str">
        <f t="shared" si="36"/>
        <v>non-original</v>
      </c>
      <c r="P383" t="str">
        <f t="shared" si="37"/>
        <v>non-franchise</v>
      </c>
      <c r="Q383" t="str">
        <f t="shared" si="38"/>
        <v>new</v>
      </c>
      <c r="R383" s="2">
        <f t="shared" si="39"/>
        <v>8.3016629401233138E-3</v>
      </c>
      <c r="S383">
        <f t="shared" si="40"/>
        <v>0.58037593984962399</v>
      </c>
      <c r="T383" t="str">
        <f t="shared" si="41"/>
        <v>Scenario 3: Strong Convenience</v>
      </c>
    </row>
    <row r="384" spans="1:20" x14ac:dyDescent="0.35">
      <c r="A384" t="s">
        <v>517</v>
      </c>
      <c r="B384" s="1">
        <v>44895</v>
      </c>
      <c r="C384">
        <v>2022</v>
      </c>
      <c r="D384">
        <v>11</v>
      </c>
      <c r="E384" t="s">
        <v>125</v>
      </c>
      <c r="F384">
        <v>111</v>
      </c>
      <c r="G384" t="s">
        <v>62</v>
      </c>
      <c r="H384" t="s">
        <v>30</v>
      </c>
      <c r="I384">
        <v>0</v>
      </c>
      <c r="J384">
        <v>0</v>
      </c>
      <c r="K384">
        <v>6.4</v>
      </c>
      <c r="L384">
        <v>3841</v>
      </c>
      <c r="M384" t="s">
        <v>17</v>
      </c>
      <c r="N384" t="str">
        <f t="shared" si="35"/>
        <v>streaming</v>
      </c>
      <c r="O384" t="str">
        <f t="shared" si="36"/>
        <v>non-original</v>
      </c>
      <c r="P384" t="str">
        <f t="shared" si="37"/>
        <v>non-franchise</v>
      </c>
      <c r="Q384" t="str">
        <f t="shared" si="38"/>
        <v>new</v>
      </c>
      <c r="R384" s="2">
        <f t="shared" si="39"/>
        <v>1.5931861253981434E-3</v>
      </c>
      <c r="S384">
        <f t="shared" si="40"/>
        <v>0.55939849624060145</v>
      </c>
      <c r="T384" t="str">
        <f t="shared" si="41"/>
        <v>Scenario 3: Strong Convenience</v>
      </c>
    </row>
    <row r="385" spans="1:20" x14ac:dyDescent="0.35">
      <c r="A385" t="s">
        <v>518</v>
      </c>
      <c r="B385" s="1">
        <v>44895</v>
      </c>
      <c r="C385">
        <v>2022</v>
      </c>
      <c r="D385">
        <v>11</v>
      </c>
      <c r="E385" t="s">
        <v>125</v>
      </c>
      <c r="F385">
        <v>105</v>
      </c>
      <c r="G385" t="s">
        <v>29</v>
      </c>
      <c r="H385" t="s">
        <v>24</v>
      </c>
      <c r="I385">
        <v>0</v>
      </c>
      <c r="J385">
        <v>0</v>
      </c>
      <c r="K385">
        <v>4.5999999999999996</v>
      </c>
      <c r="L385">
        <v>936</v>
      </c>
      <c r="M385" t="s">
        <v>17</v>
      </c>
      <c r="N385" t="str">
        <f t="shared" si="35"/>
        <v>streaming</v>
      </c>
      <c r="O385" t="str">
        <f t="shared" si="36"/>
        <v>non-original</v>
      </c>
      <c r="P385" t="str">
        <f t="shared" si="37"/>
        <v>non-franchise</v>
      </c>
      <c r="Q385" t="str">
        <f t="shared" si="38"/>
        <v>new</v>
      </c>
      <c r="R385" s="2">
        <f t="shared" si="39"/>
        <v>3.6725217579911749E-4</v>
      </c>
      <c r="S385">
        <f t="shared" si="40"/>
        <v>0.41763157894736841</v>
      </c>
      <c r="T385" t="str">
        <f t="shared" si="41"/>
        <v>Scenario 2: Weak Commitment/Convenience</v>
      </c>
    </row>
    <row r="386" spans="1:20" x14ac:dyDescent="0.35">
      <c r="A386" t="s">
        <v>519</v>
      </c>
      <c r="B386" s="1">
        <v>44895</v>
      </c>
      <c r="C386">
        <v>2022</v>
      </c>
      <c r="D386">
        <v>11</v>
      </c>
      <c r="E386" t="s">
        <v>125</v>
      </c>
      <c r="F386">
        <v>90</v>
      </c>
      <c r="G386" t="s">
        <v>19</v>
      </c>
      <c r="H386" t="s">
        <v>24</v>
      </c>
      <c r="I386">
        <v>0</v>
      </c>
      <c r="J386">
        <v>0</v>
      </c>
      <c r="K386">
        <v>5.6</v>
      </c>
      <c r="L386">
        <v>6918</v>
      </c>
      <c r="M386" t="s">
        <v>88</v>
      </c>
      <c r="N386" t="str">
        <f t="shared" si="35"/>
        <v>streaming</v>
      </c>
      <c r="O386" t="str">
        <f t="shared" si="36"/>
        <v>non-original</v>
      </c>
      <c r="P386" t="str">
        <f t="shared" si="37"/>
        <v>non-franchise</v>
      </c>
      <c r="Q386" t="str">
        <f t="shared" si="38"/>
        <v>new</v>
      </c>
      <c r="R386" s="2">
        <f t="shared" si="39"/>
        <v>2.3266030697603429E-3</v>
      </c>
      <c r="S386">
        <f t="shared" si="40"/>
        <v>0.55578947368421039</v>
      </c>
      <c r="T386" t="str">
        <f t="shared" si="41"/>
        <v>Scenario 3: Strong Convenience</v>
      </c>
    </row>
    <row r="387" spans="1:20" x14ac:dyDescent="0.35">
      <c r="A387" t="s">
        <v>520</v>
      </c>
      <c r="B387" s="1">
        <v>44896</v>
      </c>
      <c r="C387">
        <v>2022</v>
      </c>
      <c r="D387">
        <v>12</v>
      </c>
      <c r="E387" t="s">
        <v>14</v>
      </c>
      <c r="F387">
        <v>119</v>
      </c>
      <c r="G387" t="s">
        <v>34</v>
      </c>
      <c r="H387" t="s">
        <v>30</v>
      </c>
      <c r="I387">
        <v>0</v>
      </c>
      <c r="J387">
        <v>0</v>
      </c>
      <c r="K387">
        <v>7.2</v>
      </c>
      <c r="L387">
        <v>8476</v>
      </c>
      <c r="M387" t="s">
        <v>17</v>
      </c>
      <c r="N387" t="str">
        <f t="shared" ref="N387:N450" si="42">IF(ISNUMBER(SEARCH("Streaming", M387)), "streaming", "cinema")</f>
        <v>streaming</v>
      </c>
      <c r="O387" t="str">
        <f t="shared" ref="O387:O450" si="43">IF(I387=1, "original", "non-original")</f>
        <v>non-original</v>
      </c>
      <c r="P387" t="str">
        <f t="shared" ref="P387:P450" si="44">IF(J387 = 1, "franchise", "non-franchise")</f>
        <v>non-franchise</v>
      </c>
      <c r="Q387" t="str">
        <f t="shared" ref="Q387:Q450" si="45">IF(OR(I387 = 1,J387 =1), "old", "new")</f>
        <v>new</v>
      </c>
      <c r="R387" s="2">
        <f t="shared" ref="R387:R450" si="46">IF(Q387="old", 1.5, 1) * (L387 / MAX($L$2:$L$1000)) * (F387 / MAX($F$2:$F$1000))</f>
        <v>3.769095478293905E-3</v>
      </c>
      <c r="S387">
        <f t="shared" ref="S387:S450" si="47">IF(Q387="new", 1.5, 1) * (K387 / 10) * (1 - (F387 / MAX($F$2:$F$1000)))</f>
        <v>0.59684210526315784</v>
      </c>
      <c r="T387" t="str">
        <f t="shared" ref="T387:T450" si="48">IF(AND(R387&gt;=0.03, S387&gt;=0.5), "Scenario 4: Hybrid Logic",
 IF(AND(R387&gt;=0.03, S387&lt;0.5), "Scenario 1: Strong Commitment",
  IF(AND(R387&lt;0.03, S387&gt;=0.5), "Scenario 3: Strong Convenience",
   "Scenario 2: Weak Commitment/Convenience")))</f>
        <v>Scenario 3: Strong Convenience</v>
      </c>
    </row>
    <row r="388" spans="1:20" x14ac:dyDescent="0.35">
      <c r="A388" t="s">
        <v>521</v>
      </c>
      <c r="B388" s="1">
        <v>44896</v>
      </c>
      <c r="C388">
        <v>2022</v>
      </c>
      <c r="D388">
        <v>12</v>
      </c>
      <c r="E388" t="s">
        <v>14</v>
      </c>
      <c r="F388">
        <v>103</v>
      </c>
      <c r="G388" t="s">
        <v>522</v>
      </c>
      <c r="H388" t="s">
        <v>27</v>
      </c>
      <c r="I388">
        <v>0</v>
      </c>
      <c r="J388">
        <v>0</v>
      </c>
      <c r="K388">
        <v>5.8</v>
      </c>
      <c r="L388">
        <v>58319</v>
      </c>
      <c r="M388" t="s">
        <v>88</v>
      </c>
      <c r="N388" t="str">
        <f t="shared" si="42"/>
        <v>streaming</v>
      </c>
      <c r="O388" t="str">
        <f t="shared" si="43"/>
        <v>non-original</v>
      </c>
      <c r="P388" t="str">
        <f t="shared" si="44"/>
        <v>non-franchise</v>
      </c>
      <c r="Q388" t="str">
        <f t="shared" si="45"/>
        <v>new</v>
      </c>
      <c r="R388" s="2">
        <f t="shared" si="46"/>
        <v>2.2446390954051276E-2</v>
      </c>
      <c r="S388">
        <f t="shared" si="47"/>
        <v>0.53312030075187955</v>
      </c>
      <c r="T388" t="str">
        <f t="shared" si="48"/>
        <v>Scenario 3: Strong Convenience</v>
      </c>
    </row>
    <row r="389" spans="1:20" x14ac:dyDescent="0.35">
      <c r="A389" t="s">
        <v>523</v>
      </c>
      <c r="B389" s="1">
        <v>44897</v>
      </c>
      <c r="C389">
        <v>2022</v>
      </c>
      <c r="D389">
        <v>12</v>
      </c>
      <c r="E389" t="s">
        <v>14</v>
      </c>
      <c r="F389">
        <v>127</v>
      </c>
      <c r="G389" t="s">
        <v>90</v>
      </c>
      <c r="H389" t="s">
        <v>24</v>
      </c>
      <c r="I389">
        <v>0</v>
      </c>
      <c r="J389">
        <v>0</v>
      </c>
      <c r="K389">
        <v>6.6</v>
      </c>
      <c r="L389">
        <v>27312</v>
      </c>
      <c r="M389" t="s">
        <v>17</v>
      </c>
      <c r="N389" t="str">
        <f t="shared" si="42"/>
        <v>streaming</v>
      </c>
      <c r="O389" t="str">
        <f t="shared" si="43"/>
        <v>non-original</v>
      </c>
      <c r="P389" t="str">
        <f t="shared" si="44"/>
        <v>non-franchise</v>
      </c>
      <c r="Q389" t="str">
        <f t="shared" si="45"/>
        <v>new</v>
      </c>
      <c r="R389" s="2">
        <f t="shared" si="46"/>
        <v>1.2961535521255984E-2</v>
      </c>
      <c r="S389">
        <f t="shared" si="47"/>
        <v>0.51733082706766909</v>
      </c>
      <c r="T389" t="str">
        <f t="shared" si="48"/>
        <v>Scenario 3: Strong Convenience</v>
      </c>
    </row>
    <row r="390" spans="1:20" x14ac:dyDescent="0.35">
      <c r="A390" t="s">
        <v>524</v>
      </c>
      <c r="B390" s="1">
        <v>44897</v>
      </c>
      <c r="C390">
        <v>2022</v>
      </c>
      <c r="D390">
        <v>12</v>
      </c>
      <c r="E390" t="s">
        <v>14</v>
      </c>
      <c r="F390">
        <v>101</v>
      </c>
      <c r="G390" t="s">
        <v>525</v>
      </c>
      <c r="H390" t="s">
        <v>86</v>
      </c>
      <c r="I390">
        <v>1</v>
      </c>
      <c r="J390">
        <v>1</v>
      </c>
      <c r="K390">
        <v>6.2</v>
      </c>
      <c r="L390">
        <v>9194</v>
      </c>
      <c r="M390" t="s">
        <v>17</v>
      </c>
      <c r="N390" t="str">
        <f t="shared" si="42"/>
        <v>streaming</v>
      </c>
      <c r="O390" t="str">
        <f t="shared" si="43"/>
        <v>original</v>
      </c>
      <c r="P390" t="str">
        <f t="shared" si="44"/>
        <v>franchise</v>
      </c>
      <c r="Q390" t="str">
        <f t="shared" si="45"/>
        <v>old</v>
      </c>
      <c r="R390" s="2">
        <f t="shared" si="46"/>
        <v>5.2049476027778638E-3</v>
      </c>
      <c r="S390">
        <f t="shared" si="47"/>
        <v>0.38458646616541353</v>
      </c>
      <c r="T390" t="str">
        <f t="shared" si="48"/>
        <v>Scenario 2: Weak Commitment/Convenience</v>
      </c>
    </row>
    <row r="391" spans="1:20" x14ac:dyDescent="0.35">
      <c r="A391" t="s">
        <v>526</v>
      </c>
      <c r="B391" s="1">
        <v>44901</v>
      </c>
      <c r="C391">
        <v>2022</v>
      </c>
      <c r="D391">
        <v>12</v>
      </c>
      <c r="E391" t="s">
        <v>14</v>
      </c>
      <c r="F391">
        <v>100</v>
      </c>
      <c r="G391" t="s">
        <v>29</v>
      </c>
      <c r="H391" t="s">
        <v>30</v>
      </c>
      <c r="I391">
        <v>0</v>
      </c>
      <c r="J391">
        <v>0</v>
      </c>
      <c r="K391">
        <v>5.6</v>
      </c>
      <c r="L391">
        <v>1119</v>
      </c>
      <c r="M391" t="s">
        <v>17</v>
      </c>
      <c r="N391" t="str">
        <f t="shared" si="42"/>
        <v>streaming</v>
      </c>
      <c r="O391" t="str">
        <f t="shared" si="43"/>
        <v>non-original</v>
      </c>
      <c r="P391" t="str">
        <f t="shared" si="44"/>
        <v>non-franchise</v>
      </c>
      <c r="Q391" t="str">
        <f t="shared" si="45"/>
        <v>new</v>
      </c>
      <c r="R391" s="2">
        <f t="shared" si="46"/>
        <v>4.1814731859911726E-4</v>
      </c>
      <c r="S391">
        <f t="shared" si="47"/>
        <v>0.52421052631578935</v>
      </c>
      <c r="T391" t="str">
        <f t="shared" si="48"/>
        <v>Scenario 3: Strong Convenience</v>
      </c>
    </row>
    <row r="392" spans="1:20" x14ac:dyDescent="0.35">
      <c r="A392" t="s">
        <v>527</v>
      </c>
      <c r="B392" s="1">
        <v>44902</v>
      </c>
      <c r="C392">
        <v>2022</v>
      </c>
      <c r="D392">
        <v>12</v>
      </c>
      <c r="E392" t="s">
        <v>14</v>
      </c>
      <c r="F392">
        <v>90</v>
      </c>
      <c r="G392" t="s">
        <v>34</v>
      </c>
      <c r="H392" t="s">
        <v>16</v>
      </c>
      <c r="I392">
        <v>0</v>
      </c>
      <c r="J392">
        <v>0</v>
      </c>
      <c r="K392">
        <v>6</v>
      </c>
      <c r="L392">
        <v>409</v>
      </c>
      <c r="M392" t="s">
        <v>17</v>
      </c>
      <c r="N392" t="str">
        <f t="shared" si="42"/>
        <v>streaming</v>
      </c>
      <c r="O392" t="str">
        <f t="shared" si="43"/>
        <v>non-original</v>
      </c>
      <c r="P392" t="str">
        <f t="shared" si="44"/>
        <v>non-franchise</v>
      </c>
      <c r="Q392" t="str">
        <f t="shared" si="45"/>
        <v>new</v>
      </c>
      <c r="R392" s="2">
        <f t="shared" si="46"/>
        <v>1.3755141016651926E-4</v>
      </c>
      <c r="S392">
        <f t="shared" si="47"/>
        <v>0.59548872180451118</v>
      </c>
      <c r="T392" t="str">
        <f t="shared" si="48"/>
        <v>Scenario 3: Strong Convenience</v>
      </c>
    </row>
    <row r="393" spans="1:20" x14ac:dyDescent="0.35">
      <c r="A393" t="s">
        <v>528</v>
      </c>
      <c r="B393" s="1">
        <v>44902</v>
      </c>
      <c r="C393">
        <v>2022</v>
      </c>
      <c r="D393">
        <v>12</v>
      </c>
      <c r="E393" t="s">
        <v>14</v>
      </c>
      <c r="F393">
        <v>101</v>
      </c>
      <c r="G393" t="s">
        <v>34</v>
      </c>
      <c r="H393" t="s">
        <v>24</v>
      </c>
      <c r="I393">
        <v>0</v>
      </c>
      <c r="J393">
        <v>0</v>
      </c>
      <c r="K393">
        <v>5.5</v>
      </c>
      <c r="L393">
        <v>2341</v>
      </c>
      <c r="M393" t="s">
        <v>17</v>
      </c>
      <c r="N393" t="str">
        <f t="shared" si="42"/>
        <v>streaming</v>
      </c>
      <c r="O393" t="str">
        <f t="shared" si="43"/>
        <v>non-original</v>
      </c>
      <c r="P393" t="str">
        <f t="shared" si="44"/>
        <v>non-franchise</v>
      </c>
      <c r="Q393" t="str">
        <f t="shared" si="45"/>
        <v>new</v>
      </c>
      <c r="R393" s="2">
        <f t="shared" si="46"/>
        <v>8.8353145805982023E-4</v>
      </c>
      <c r="S393">
        <f t="shared" si="47"/>
        <v>0.5117481203007519</v>
      </c>
      <c r="T393" t="str">
        <f t="shared" si="48"/>
        <v>Scenario 3: Strong Convenience</v>
      </c>
    </row>
    <row r="394" spans="1:20" x14ac:dyDescent="0.35">
      <c r="A394" t="s">
        <v>529</v>
      </c>
      <c r="B394" s="1">
        <v>44903</v>
      </c>
      <c r="C394">
        <v>2022</v>
      </c>
      <c r="D394">
        <v>12</v>
      </c>
      <c r="E394" t="s">
        <v>14</v>
      </c>
      <c r="F394">
        <v>73</v>
      </c>
      <c r="G394" t="s">
        <v>343</v>
      </c>
      <c r="H394" t="s">
        <v>30</v>
      </c>
      <c r="I394">
        <v>0</v>
      </c>
      <c r="J394">
        <v>1</v>
      </c>
      <c r="K394">
        <v>4.5999999999999996</v>
      </c>
      <c r="L394">
        <v>873</v>
      </c>
      <c r="M394" t="s">
        <v>17</v>
      </c>
      <c r="N394" t="str">
        <f t="shared" si="42"/>
        <v>streaming</v>
      </c>
      <c r="O394" t="str">
        <f t="shared" si="43"/>
        <v>non-original</v>
      </c>
      <c r="P394" t="str">
        <f t="shared" si="44"/>
        <v>franchise</v>
      </c>
      <c r="Q394" t="str">
        <f t="shared" si="45"/>
        <v>old</v>
      </c>
      <c r="R394" s="2">
        <f t="shared" si="46"/>
        <v>3.5721327703757566E-4</v>
      </c>
      <c r="S394">
        <f t="shared" si="47"/>
        <v>0.33375939849624059</v>
      </c>
      <c r="T394" t="str">
        <f t="shared" si="48"/>
        <v>Scenario 2: Weak Commitment/Convenience</v>
      </c>
    </row>
    <row r="395" spans="1:20" x14ac:dyDescent="0.35">
      <c r="A395" t="s">
        <v>530</v>
      </c>
      <c r="B395" s="1">
        <v>44904</v>
      </c>
      <c r="C395">
        <v>2022</v>
      </c>
      <c r="D395">
        <v>12</v>
      </c>
      <c r="E395" t="s">
        <v>14</v>
      </c>
      <c r="F395">
        <v>116</v>
      </c>
      <c r="G395" t="s">
        <v>531</v>
      </c>
      <c r="H395" t="s">
        <v>56</v>
      </c>
      <c r="I395">
        <v>0</v>
      </c>
      <c r="J395">
        <v>0</v>
      </c>
      <c r="K395">
        <v>7.6</v>
      </c>
      <c r="L395">
        <v>143117</v>
      </c>
      <c r="M395" t="s">
        <v>17</v>
      </c>
      <c r="N395" t="str">
        <f t="shared" si="42"/>
        <v>streaming</v>
      </c>
      <c r="O395" t="str">
        <f t="shared" si="43"/>
        <v>non-original</v>
      </c>
      <c r="P395" t="str">
        <f t="shared" si="44"/>
        <v>non-franchise</v>
      </c>
      <c r="Q395" t="str">
        <f t="shared" si="45"/>
        <v>new</v>
      </c>
      <c r="R395" s="2">
        <f t="shared" si="46"/>
        <v>6.2036665025292086E-2</v>
      </c>
      <c r="S395">
        <f t="shared" si="47"/>
        <v>0.6428571428571429</v>
      </c>
      <c r="T395" t="str">
        <f t="shared" si="48"/>
        <v>Scenario 4: Hybrid Logic</v>
      </c>
    </row>
    <row r="396" spans="1:20" x14ac:dyDescent="0.35">
      <c r="A396" t="s">
        <v>532</v>
      </c>
      <c r="B396" s="1">
        <v>44909</v>
      </c>
      <c r="C396">
        <v>2022</v>
      </c>
      <c r="D396">
        <v>12</v>
      </c>
      <c r="E396" t="s">
        <v>14</v>
      </c>
      <c r="F396">
        <v>90</v>
      </c>
      <c r="G396" t="s">
        <v>29</v>
      </c>
      <c r="H396" t="s">
        <v>56</v>
      </c>
      <c r="I396">
        <v>0</v>
      </c>
      <c r="J396">
        <v>0</v>
      </c>
      <c r="K396">
        <v>4.5999999999999996</v>
      </c>
      <c r="L396">
        <v>4945</v>
      </c>
      <c r="M396" t="s">
        <v>17</v>
      </c>
      <c r="N396" t="str">
        <f t="shared" si="42"/>
        <v>streaming</v>
      </c>
      <c r="O396" t="str">
        <f t="shared" si="43"/>
        <v>non-original</v>
      </c>
      <c r="P396" t="str">
        <f t="shared" si="44"/>
        <v>non-franchise</v>
      </c>
      <c r="Q396" t="str">
        <f t="shared" si="45"/>
        <v>new</v>
      </c>
      <c r="R396" s="2">
        <f t="shared" si="46"/>
        <v>1.6630604481013148E-3</v>
      </c>
      <c r="S396">
        <f t="shared" si="47"/>
        <v>0.45654135338345858</v>
      </c>
      <c r="T396" t="str">
        <f t="shared" si="48"/>
        <v>Scenario 2: Weak Commitment/Convenience</v>
      </c>
    </row>
    <row r="397" spans="1:20" x14ac:dyDescent="0.35">
      <c r="A397" t="s">
        <v>533</v>
      </c>
      <c r="B397" s="1">
        <v>44910</v>
      </c>
      <c r="C397">
        <v>2022</v>
      </c>
      <c r="D397">
        <v>12</v>
      </c>
      <c r="E397" t="s">
        <v>14</v>
      </c>
      <c r="F397">
        <v>141</v>
      </c>
      <c r="G397" t="s">
        <v>41</v>
      </c>
      <c r="H397" t="s">
        <v>30</v>
      </c>
      <c r="I397">
        <v>0</v>
      </c>
      <c r="J397">
        <v>0</v>
      </c>
      <c r="K397">
        <v>6.1</v>
      </c>
      <c r="L397">
        <v>4492</v>
      </c>
      <c r="M397" t="s">
        <v>17</v>
      </c>
      <c r="N397" t="str">
        <f t="shared" si="42"/>
        <v>streaming</v>
      </c>
      <c r="O397" t="str">
        <f t="shared" si="43"/>
        <v>non-original</v>
      </c>
      <c r="P397" t="str">
        <f t="shared" si="44"/>
        <v>non-franchise</v>
      </c>
      <c r="Q397" t="str">
        <f t="shared" si="45"/>
        <v>new</v>
      </c>
      <c r="R397" s="2">
        <f t="shared" si="46"/>
        <v>2.3667810855742635E-3</v>
      </c>
      <c r="S397">
        <f t="shared" si="47"/>
        <v>0.4299812030075188</v>
      </c>
      <c r="T397" t="str">
        <f t="shared" si="48"/>
        <v>Scenario 2: Weak Commitment/Convenience</v>
      </c>
    </row>
    <row r="398" spans="1:20" x14ac:dyDescent="0.35">
      <c r="A398" t="s">
        <v>534</v>
      </c>
      <c r="B398" s="1">
        <v>44911</v>
      </c>
      <c r="C398">
        <v>2022</v>
      </c>
      <c r="D398">
        <v>12</v>
      </c>
      <c r="E398" t="s">
        <v>14</v>
      </c>
      <c r="F398">
        <v>89</v>
      </c>
      <c r="G398" t="s">
        <v>29</v>
      </c>
      <c r="H398" t="s">
        <v>24</v>
      </c>
      <c r="I398">
        <v>0</v>
      </c>
      <c r="J398">
        <v>0</v>
      </c>
      <c r="K398">
        <v>4.8</v>
      </c>
      <c r="L398">
        <v>2384</v>
      </c>
      <c r="M398" t="s">
        <v>17</v>
      </c>
      <c r="N398" t="str">
        <f t="shared" si="42"/>
        <v>streaming</v>
      </c>
      <c r="O398" t="str">
        <f t="shared" si="43"/>
        <v>non-original</v>
      </c>
      <c r="P398" t="str">
        <f t="shared" si="44"/>
        <v>non-franchise</v>
      </c>
      <c r="Q398" t="str">
        <f t="shared" si="45"/>
        <v>new</v>
      </c>
      <c r="R398" s="2">
        <f t="shared" si="46"/>
        <v>7.9285813647083378E-4</v>
      </c>
      <c r="S398">
        <f t="shared" si="47"/>
        <v>0.47909774436090224</v>
      </c>
      <c r="T398" t="str">
        <f t="shared" si="48"/>
        <v>Scenario 2: Weak Commitment/Convenience</v>
      </c>
    </row>
    <row r="399" spans="1:20" x14ac:dyDescent="0.35">
      <c r="A399" t="s">
        <v>535</v>
      </c>
      <c r="B399" s="1">
        <v>44915</v>
      </c>
      <c r="C399">
        <v>2022</v>
      </c>
      <c r="D399">
        <v>12</v>
      </c>
      <c r="E399" t="s">
        <v>14</v>
      </c>
      <c r="F399">
        <v>100</v>
      </c>
      <c r="G399" t="s">
        <v>21</v>
      </c>
      <c r="H399" t="s">
        <v>27</v>
      </c>
      <c r="I399">
        <v>1</v>
      </c>
      <c r="J399">
        <v>1</v>
      </c>
      <c r="K399">
        <v>4.8</v>
      </c>
      <c r="L399">
        <v>1185</v>
      </c>
      <c r="M399" t="s">
        <v>17</v>
      </c>
      <c r="N399" t="str">
        <f t="shared" si="42"/>
        <v>streaming</v>
      </c>
      <c r="O399" t="str">
        <f t="shared" si="43"/>
        <v>original</v>
      </c>
      <c r="P399" t="str">
        <f t="shared" si="44"/>
        <v>franchise</v>
      </c>
      <c r="Q399" t="str">
        <f t="shared" si="45"/>
        <v>old</v>
      </c>
      <c r="R399" s="2">
        <f t="shared" si="46"/>
        <v>6.6421524469162721E-4</v>
      </c>
      <c r="S399">
        <f t="shared" si="47"/>
        <v>0.29954887218045112</v>
      </c>
      <c r="T399" t="str">
        <f t="shared" si="48"/>
        <v>Scenario 2: Weak Commitment/Convenience</v>
      </c>
    </row>
    <row r="400" spans="1:20" x14ac:dyDescent="0.35">
      <c r="A400" t="s">
        <v>536</v>
      </c>
      <c r="B400" s="1">
        <v>44923</v>
      </c>
      <c r="C400">
        <v>2022</v>
      </c>
      <c r="D400">
        <v>12</v>
      </c>
      <c r="E400" t="s">
        <v>14</v>
      </c>
      <c r="F400">
        <v>97</v>
      </c>
      <c r="G400" t="s">
        <v>73</v>
      </c>
      <c r="H400" t="s">
        <v>30</v>
      </c>
      <c r="I400">
        <v>0</v>
      </c>
      <c r="J400">
        <v>0</v>
      </c>
      <c r="K400">
        <v>5.7</v>
      </c>
      <c r="L400">
        <v>749</v>
      </c>
      <c r="M400" t="s">
        <v>17</v>
      </c>
      <c r="N400" t="str">
        <f t="shared" si="42"/>
        <v>streaming</v>
      </c>
      <c r="O400" t="str">
        <f t="shared" si="43"/>
        <v>non-original</v>
      </c>
      <c r="P400" t="str">
        <f t="shared" si="44"/>
        <v>non-franchise</v>
      </c>
      <c r="Q400" t="str">
        <f t="shared" si="45"/>
        <v>new</v>
      </c>
      <c r="R400" s="2">
        <f t="shared" si="46"/>
        <v>2.7148933993013106E-4</v>
      </c>
      <c r="S400">
        <f t="shared" si="47"/>
        <v>0.54321428571428576</v>
      </c>
      <c r="T400" t="str">
        <f t="shared" si="48"/>
        <v>Scenario 3: Strong Convenience</v>
      </c>
    </row>
    <row r="401" spans="1:20" x14ac:dyDescent="0.35">
      <c r="A401" t="s">
        <v>537</v>
      </c>
      <c r="B401" s="1">
        <v>44925</v>
      </c>
      <c r="C401">
        <v>2022</v>
      </c>
      <c r="D401">
        <v>12</v>
      </c>
      <c r="E401" t="s">
        <v>14</v>
      </c>
      <c r="F401">
        <v>136</v>
      </c>
      <c r="G401" t="s">
        <v>73</v>
      </c>
      <c r="H401" t="s">
        <v>24</v>
      </c>
      <c r="I401">
        <v>0</v>
      </c>
      <c r="J401">
        <v>0</v>
      </c>
      <c r="K401">
        <v>5.7</v>
      </c>
      <c r="L401">
        <v>47491</v>
      </c>
      <c r="M401" t="s">
        <v>17</v>
      </c>
      <c r="N401" t="str">
        <f t="shared" si="42"/>
        <v>streaming</v>
      </c>
      <c r="O401" t="str">
        <f t="shared" si="43"/>
        <v>non-original</v>
      </c>
      <c r="P401" t="str">
        <f t="shared" si="44"/>
        <v>non-franchise</v>
      </c>
      <c r="Q401" t="str">
        <f t="shared" si="45"/>
        <v>new</v>
      </c>
      <c r="R401" s="2">
        <f t="shared" si="46"/>
        <v>2.4135119444435495E-2</v>
      </c>
      <c r="S401">
        <f t="shared" si="47"/>
        <v>0.41785714285714293</v>
      </c>
      <c r="T401" t="str">
        <f t="shared" si="48"/>
        <v>Scenario 2: Weak Commitment/Convenience</v>
      </c>
    </row>
    <row r="402" spans="1:20" x14ac:dyDescent="0.35">
      <c r="A402" t="s">
        <v>538</v>
      </c>
      <c r="B402" s="1">
        <v>44939</v>
      </c>
      <c r="C402">
        <v>2023</v>
      </c>
      <c r="D402">
        <v>1</v>
      </c>
      <c r="E402" t="s">
        <v>14</v>
      </c>
      <c r="F402">
        <v>95</v>
      </c>
      <c r="G402" t="s">
        <v>539</v>
      </c>
      <c r="H402" t="s">
        <v>56</v>
      </c>
      <c r="I402">
        <v>0</v>
      </c>
      <c r="J402">
        <v>0</v>
      </c>
      <c r="K402">
        <v>6.1</v>
      </c>
      <c r="L402">
        <v>7094</v>
      </c>
      <c r="M402" t="s">
        <v>17</v>
      </c>
      <c r="N402" t="str">
        <f t="shared" si="42"/>
        <v>streaming</v>
      </c>
      <c r="O402" t="str">
        <f t="shared" si="43"/>
        <v>non-original</v>
      </c>
      <c r="P402" t="str">
        <f t="shared" si="44"/>
        <v>non-franchise</v>
      </c>
      <c r="Q402" t="str">
        <f t="shared" si="45"/>
        <v>new</v>
      </c>
      <c r="R402" s="2">
        <f t="shared" si="46"/>
        <v>2.5183380019973469E-3</v>
      </c>
      <c r="S402">
        <f t="shared" si="47"/>
        <v>0.58821428571428569</v>
      </c>
      <c r="T402" t="str">
        <f t="shared" si="48"/>
        <v>Scenario 3: Strong Convenience</v>
      </c>
    </row>
    <row r="403" spans="1:20" x14ac:dyDescent="0.35">
      <c r="A403" t="s">
        <v>540</v>
      </c>
      <c r="B403" s="1">
        <v>44946</v>
      </c>
      <c r="C403">
        <v>2023</v>
      </c>
      <c r="D403">
        <v>1</v>
      </c>
      <c r="E403" t="s">
        <v>14</v>
      </c>
      <c r="F403">
        <v>129</v>
      </c>
      <c r="G403" t="s">
        <v>431</v>
      </c>
      <c r="H403" t="s">
        <v>30</v>
      </c>
      <c r="I403">
        <v>0</v>
      </c>
      <c r="J403">
        <v>0</v>
      </c>
      <c r="K403">
        <v>6.9</v>
      </c>
      <c r="L403">
        <v>45541</v>
      </c>
      <c r="M403" t="s">
        <v>17</v>
      </c>
      <c r="N403" t="str">
        <f t="shared" si="42"/>
        <v>streaming</v>
      </c>
      <c r="O403" t="str">
        <f t="shared" si="43"/>
        <v>non-original</v>
      </c>
      <c r="P403" t="str">
        <f t="shared" si="44"/>
        <v>non-franchise</v>
      </c>
      <c r="Q403" t="str">
        <f t="shared" si="45"/>
        <v>new</v>
      </c>
      <c r="R403" s="2">
        <f t="shared" si="46"/>
        <v>2.1952879961444051E-2</v>
      </c>
      <c r="S403">
        <f t="shared" si="47"/>
        <v>0.53306390977443618</v>
      </c>
      <c r="T403" t="str">
        <f t="shared" si="48"/>
        <v>Scenario 3: Strong Convenience</v>
      </c>
    </row>
    <row r="404" spans="1:20" x14ac:dyDescent="0.35">
      <c r="A404" t="s">
        <v>541</v>
      </c>
      <c r="B404" s="1">
        <v>44953</v>
      </c>
      <c r="C404">
        <v>2023</v>
      </c>
      <c r="D404">
        <v>1</v>
      </c>
      <c r="E404" t="s">
        <v>14</v>
      </c>
      <c r="F404">
        <v>118</v>
      </c>
      <c r="G404" t="s">
        <v>21</v>
      </c>
      <c r="H404" t="s">
        <v>24</v>
      </c>
      <c r="I404">
        <v>0</v>
      </c>
      <c r="J404">
        <v>0</v>
      </c>
      <c r="K404">
        <v>5.5</v>
      </c>
      <c r="L404">
        <v>66984</v>
      </c>
      <c r="M404" t="s">
        <v>88</v>
      </c>
      <c r="N404" t="str">
        <f t="shared" si="42"/>
        <v>streaming</v>
      </c>
      <c r="O404" t="str">
        <f t="shared" si="43"/>
        <v>non-original</v>
      </c>
      <c r="P404" t="str">
        <f t="shared" si="44"/>
        <v>non-franchise</v>
      </c>
      <c r="Q404" t="str">
        <f t="shared" si="45"/>
        <v>new</v>
      </c>
      <c r="R404" s="2">
        <f t="shared" si="46"/>
        <v>2.9536043241350365E-2</v>
      </c>
      <c r="S404">
        <f t="shared" si="47"/>
        <v>0.45902255639097755</v>
      </c>
      <c r="T404" t="str">
        <f t="shared" si="48"/>
        <v>Scenario 2: Weak Commitment/Convenience</v>
      </c>
    </row>
    <row r="405" spans="1:20" x14ac:dyDescent="0.35">
      <c r="A405" t="s">
        <v>542</v>
      </c>
      <c r="B405" s="1">
        <v>44960</v>
      </c>
      <c r="C405">
        <v>2023</v>
      </c>
      <c r="D405">
        <v>2</v>
      </c>
      <c r="E405" t="s">
        <v>14</v>
      </c>
      <c r="F405">
        <v>109</v>
      </c>
      <c r="G405" t="s">
        <v>62</v>
      </c>
      <c r="H405" t="s">
        <v>56</v>
      </c>
      <c r="I405">
        <v>0</v>
      </c>
      <c r="J405">
        <v>0</v>
      </c>
      <c r="K405">
        <v>6.8</v>
      </c>
      <c r="L405">
        <v>12168</v>
      </c>
      <c r="M405" t="s">
        <v>17</v>
      </c>
      <c r="N405" t="str">
        <f t="shared" si="42"/>
        <v>streaming</v>
      </c>
      <c r="O405" t="str">
        <f t="shared" si="43"/>
        <v>non-original</v>
      </c>
      <c r="P405" t="str">
        <f t="shared" si="44"/>
        <v>non-franchise</v>
      </c>
      <c r="Q405" t="str">
        <f t="shared" si="45"/>
        <v>new</v>
      </c>
      <c r="R405" s="2">
        <f t="shared" si="46"/>
        <v>4.9561555534033278E-3</v>
      </c>
      <c r="S405">
        <f t="shared" si="47"/>
        <v>0.60203007518796992</v>
      </c>
      <c r="T405" t="str">
        <f t="shared" si="48"/>
        <v>Scenario 3: Strong Convenience</v>
      </c>
    </row>
    <row r="406" spans="1:20" x14ac:dyDescent="0.35">
      <c r="A406" t="s">
        <v>543</v>
      </c>
      <c r="B406" s="1">
        <v>44960</v>
      </c>
      <c r="C406">
        <v>2023</v>
      </c>
      <c r="D406">
        <v>2</v>
      </c>
      <c r="E406" t="s">
        <v>14</v>
      </c>
      <c r="F406">
        <v>96</v>
      </c>
      <c r="G406" t="s">
        <v>19</v>
      </c>
      <c r="H406" t="s">
        <v>24</v>
      </c>
      <c r="I406">
        <v>0</v>
      </c>
      <c r="J406">
        <v>0</v>
      </c>
      <c r="K406">
        <v>5.6</v>
      </c>
      <c r="L406">
        <v>5548</v>
      </c>
      <c r="M406" t="s">
        <v>17</v>
      </c>
      <c r="N406" t="str">
        <f t="shared" si="42"/>
        <v>streaming</v>
      </c>
      <c r="O406" t="str">
        <f t="shared" si="43"/>
        <v>non-original</v>
      </c>
      <c r="P406" t="str">
        <f t="shared" si="44"/>
        <v>non-franchise</v>
      </c>
      <c r="Q406" t="str">
        <f t="shared" si="45"/>
        <v>new</v>
      </c>
      <c r="R406" s="2">
        <f t="shared" si="46"/>
        <v>1.990246711925278E-3</v>
      </c>
      <c r="S406">
        <f t="shared" si="47"/>
        <v>0.53684210526315779</v>
      </c>
      <c r="T406" t="str">
        <f t="shared" si="48"/>
        <v>Scenario 3: Strong Convenience</v>
      </c>
    </row>
    <row r="407" spans="1:20" x14ac:dyDescent="0.35">
      <c r="A407" t="s">
        <v>544</v>
      </c>
      <c r="B407" s="1">
        <v>44966</v>
      </c>
      <c r="C407">
        <v>2023</v>
      </c>
      <c r="D407">
        <v>2</v>
      </c>
      <c r="E407" t="s">
        <v>14</v>
      </c>
      <c r="F407">
        <v>118</v>
      </c>
      <c r="G407" t="s">
        <v>545</v>
      </c>
      <c r="H407" t="s">
        <v>27</v>
      </c>
      <c r="I407">
        <v>0</v>
      </c>
      <c r="J407">
        <v>0</v>
      </c>
      <c r="K407">
        <v>5.7</v>
      </c>
      <c r="L407">
        <v>1083</v>
      </c>
      <c r="M407" t="s">
        <v>17</v>
      </c>
      <c r="N407" t="str">
        <f t="shared" si="42"/>
        <v>streaming</v>
      </c>
      <c r="O407" t="str">
        <f t="shared" si="43"/>
        <v>non-original</v>
      </c>
      <c r="P407" t="str">
        <f t="shared" si="44"/>
        <v>non-franchise</v>
      </c>
      <c r="Q407" t="str">
        <f t="shared" si="45"/>
        <v>new</v>
      </c>
      <c r="R407" s="2">
        <f t="shared" si="46"/>
        <v>4.775399323776192E-4</v>
      </c>
      <c r="S407">
        <f t="shared" si="47"/>
        <v>0.47571428571428581</v>
      </c>
      <c r="T407" t="str">
        <f t="shared" si="48"/>
        <v>Scenario 2: Weak Commitment/Convenience</v>
      </c>
    </row>
    <row r="408" spans="1:20" x14ac:dyDescent="0.35">
      <c r="A408" t="s">
        <v>546</v>
      </c>
      <c r="B408" s="1">
        <v>44967</v>
      </c>
      <c r="C408">
        <v>2023</v>
      </c>
      <c r="D408">
        <v>2</v>
      </c>
      <c r="E408" t="s">
        <v>14</v>
      </c>
      <c r="F408">
        <v>111</v>
      </c>
      <c r="G408" t="s">
        <v>29</v>
      </c>
      <c r="H408" t="s">
        <v>27</v>
      </c>
      <c r="I408">
        <v>0</v>
      </c>
      <c r="J408">
        <v>0</v>
      </c>
      <c r="K408">
        <v>5.7</v>
      </c>
      <c r="L408">
        <v>44259</v>
      </c>
      <c r="M408" t="s">
        <v>88</v>
      </c>
      <c r="N408" t="str">
        <f t="shared" si="42"/>
        <v>streaming</v>
      </c>
      <c r="O408" t="str">
        <f t="shared" si="43"/>
        <v>non-original</v>
      </c>
      <c r="P408" t="str">
        <f t="shared" si="44"/>
        <v>non-franchise</v>
      </c>
      <c r="Q408" t="str">
        <f t="shared" si="45"/>
        <v>new</v>
      </c>
      <c r="R408" s="2">
        <f t="shared" si="46"/>
        <v>1.8357934059879309E-2</v>
      </c>
      <c r="S408">
        <f t="shared" si="47"/>
        <v>0.49821428571428572</v>
      </c>
      <c r="T408" t="str">
        <f t="shared" si="48"/>
        <v>Scenario 2: Weak Commitment/Convenience</v>
      </c>
    </row>
    <row r="409" spans="1:20" x14ac:dyDescent="0.35">
      <c r="A409" t="s">
        <v>547</v>
      </c>
      <c r="B409" s="1">
        <v>44970</v>
      </c>
      <c r="C409">
        <v>2023</v>
      </c>
      <c r="D409">
        <v>2</v>
      </c>
      <c r="E409" t="s">
        <v>14</v>
      </c>
      <c r="F409">
        <v>100</v>
      </c>
      <c r="G409" t="s">
        <v>29</v>
      </c>
      <c r="H409" t="s">
        <v>30</v>
      </c>
      <c r="I409">
        <v>0</v>
      </c>
      <c r="J409">
        <v>0</v>
      </c>
      <c r="K409">
        <v>4.7</v>
      </c>
      <c r="L409">
        <v>842</v>
      </c>
      <c r="M409" t="s">
        <v>17</v>
      </c>
      <c r="N409" t="str">
        <f t="shared" si="42"/>
        <v>streaming</v>
      </c>
      <c r="O409" t="str">
        <f t="shared" si="43"/>
        <v>non-original</v>
      </c>
      <c r="P409" t="str">
        <f t="shared" si="44"/>
        <v>non-franchise</v>
      </c>
      <c r="Q409" t="str">
        <f t="shared" si="45"/>
        <v>new</v>
      </c>
      <c r="R409" s="2">
        <f t="shared" si="46"/>
        <v>3.1463810747136433E-4</v>
      </c>
      <c r="S409">
        <f t="shared" si="47"/>
        <v>0.43996240601503767</v>
      </c>
      <c r="T409" t="str">
        <f t="shared" si="48"/>
        <v>Scenario 2: Weak Commitment/Convenience</v>
      </c>
    </row>
    <row r="410" spans="1:20" x14ac:dyDescent="0.35">
      <c r="A410" t="s">
        <v>548</v>
      </c>
      <c r="B410" s="1">
        <v>44971</v>
      </c>
      <c r="C410">
        <v>2023</v>
      </c>
      <c r="D410">
        <v>2</v>
      </c>
      <c r="E410" t="s">
        <v>14</v>
      </c>
      <c r="F410">
        <v>97</v>
      </c>
      <c r="G410" t="s">
        <v>116</v>
      </c>
      <c r="H410" t="s">
        <v>30</v>
      </c>
      <c r="I410">
        <v>0</v>
      </c>
      <c r="J410">
        <v>0</v>
      </c>
      <c r="K410">
        <v>5.6</v>
      </c>
      <c r="L410">
        <v>443</v>
      </c>
      <c r="M410" t="s">
        <v>17</v>
      </c>
      <c r="N410" t="str">
        <f t="shared" si="42"/>
        <v>streaming</v>
      </c>
      <c r="O410" t="str">
        <f t="shared" si="43"/>
        <v>non-original</v>
      </c>
      <c r="P410" t="str">
        <f t="shared" si="44"/>
        <v>non-franchise</v>
      </c>
      <c r="Q410" t="str">
        <f t="shared" si="45"/>
        <v>new</v>
      </c>
      <c r="R410" s="2">
        <f t="shared" si="46"/>
        <v>1.605738018545368E-4</v>
      </c>
      <c r="S410">
        <f t="shared" si="47"/>
        <v>0.53368421052631565</v>
      </c>
      <c r="T410" t="str">
        <f t="shared" si="48"/>
        <v>Scenario 3: Strong Convenience</v>
      </c>
    </row>
    <row r="411" spans="1:20" x14ac:dyDescent="0.35">
      <c r="A411" t="s">
        <v>549</v>
      </c>
      <c r="B411" s="1">
        <v>44974</v>
      </c>
      <c r="C411">
        <v>2023</v>
      </c>
      <c r="D411">
        <v>2</v>
      </c>
      <c r="E411" t="s">
        <v>14</v>
      </c>
      <c r="F411">
        <v>117</v>
      </c>
      <c r="G411" t="s">
        <v>19</v>
      </c>
      <c r="H411" t="s">
        <v>30</v>
      </c>
      <c r="I411">
        <v>1</v>
      </c>
      <c r="J411">
        <v>1</v>
      </c>
      <c r="K411">
        <v>6.4</v>
      </c>
      <c r="L411">
        <v>13846</v>
      </c>
      <c r="M411" t="s">
        <v>88</v>
      </c>
      <c r="N411" t="str">
        <f t="shared" si="42"/>
        <v>streaming</v>
      </c>
      <c r="O411" t="str">
        <f t="shared" si="43"/>
        <v>original</v>
      </c>
      <c r="P411" t="str">
        <f t="shared" si="44"/>
        <v>franchise</v>
      </c>
      <c r="Q411" t="str">
        <f t="shared" si="45"/>
        <v>old</v>
      </c>
      <c r="R411" s="2">
        <f t="shared" si="46"/>
        <v>9.0803100466331794E-3</v>
      </c>
      <c r="S411">
        <f t="shared" si="47"/>
        <v>0.35849624060150376</v>
      </c>
      <c r="T411" t="str">
        <f t="shared" si="48"/>
        <v>Scenario 2: Weak Commitment/Convenience</v>
      </c>
    </row>
    <row r="412" spans="1:20" x14ac:dyDescent="0.35">
      <c r="A412" t="s">
        <v>550</v>
      </c>
      <c r="B412" s="1">
        <v>44979</v>
      </c>
      <c r="C412">
        <v>2023</v>
      </c>
      <c r="D412">
        <v>2</v>
      </c>
      <c r="E412" t="s">
        <v>14</v>
      </c>
      <c r="F412">
        <v>97</v>
      </c>
      <c r="G412" t="s">
        <v>34</v>
      </c>
      <c r="H412" t="s">
        <v>24</v>
      </c>
      <c r="I412">
        <v>0</v>
      </c>
      <c r="J412">
        <v>0</v>
      </c>
      <c r="K412">
        <v>4.9000000000000004</v>
      </c>
      <c r="L412">
        <v>13338</v>
      </c>
      <c r="M412" t="s">
        <v>17</v>
      </c>
      <c r="N412" t="str">
        <f t="shared" si="42"/>
        <v>streaming</v>
      </c>
      <c r="O412" t="str">
        <f t="shared" si="43"/>
        <v>non-original</v>
      </c>
      <c r="P412" t="str">
        <f t="shared" si="44"/>
        <v>non-franchise</v>
      </c>
      <c r="Q412" t="str">
        <f t="shared" si="45"/>
        <v>new</v>
      </c>
      <c r="R412" s="2">
        <f t="shared" si="46"/>
        <v>4.8346125714126683E-3</v>
      </c>
      <c r="S412">
        <f t="shared" si="47"/>
        <v>0.46697368421052637</v>
      </c>
      <c r="T412" t="str">
        <f t="shared" si="48"/>
        <v>Scenario 2: Weak Commitment/Convenience</v>
      </c>
    </row>
    <row r="413" spans="1:20" x14ac:dyDescent="0.35">
      <c r="A413" t="s">
        <v>551</v>
      </c>
      <c r="B413" s="1">
        <v>44980</v>
      </c>
      <c r="C413">
        <v>2023</v>
      </c>
      <c r="D413">
        <v>2</v>
      </c>
      <c r="E413" t="s">
        <v>14</v>
      </c>
      <c r="F413">
        <v>131</v>
      </c>
      <c r="G413" t="s">
        <v>34</v>
      </c>
      <c r="H413" t="s">
        <v>27</v>
      </c>
      <c r="I413">
        <v>0</v>
      </c>
      <c r="J413">
        <v>0</v>
      </c>
      <c r="K413">
        <v>7</v>
      </c>
      <c r="L413">
        <v>4656</v>
      </c>
      <c r="M413" t="s">
        <v>17</v>
      </c>
      <c r="N413" t="str">
        <f t="shared" si="42"/>
        <v>streaming</v>
      </c>
      <c r="O413" t="str">
        <f t="shared" si="43"/>
        <v>non-original</v>
      </c>
      <c r="P413" t="str">
        <f t="shared" si="44"/>
        <v>non-franchise</v>
      </c>
      <c r="Q413" t="str">
        <f t="shared" si="45"/>
        <v>new</v>
      </c>
      <c r="R413" s="2">
        <f t="shared" si="46"/>
        <v>2.2792055667298586E-3</v>
      </c>
      <c r="S413">
        <f t="shared" si="47"/>
        <v>0.5328947368421052</v>
      </c>
      <c r="T413" t="str">
        <f t="shared" si="48"/>
        <v>Scenario 3: Strong Convenience</v>
      </c>
    </row>
    <row r="414" spans="1:20" x14ac:dyDescent="0.35">
      <c r="A414" t="s">
        <v>552</v>
      </c>
      <c r="B414" s="1">
        <v>44981</v>
      </c>
      <c r="C414">
        <v>2023</v>
      </c>
      <c r="D414">
        <v>2</v>
      </c>
      <c r="E414" t="s">
        <v>14</v>
      </c>
      <c r="F414">
        <v>127</v>
      </c>
      <c r="G414" t="s">
        <v>553</v>
      </c>
      <c r="H414" t="s">
        <v>27</v>
      </c>
      <c r="I414">
        <v>0</v>
      </c>
      <c r="J414">
        <v>0</v>
      </c>
      <c r="K414">
        <v>6.1</v>
      </c>
      <c r="L414">
        <v>36657</v>
      </c>
      <c r="M414" t="s">
        <v>88</v>
      </c>
      <c r="N414" t="str">
        <f t="shared" si="42"/>
        <v>streaming</v>
      </c>
      <c r="O414" t="str">
        <f t="shared" si="43"/>
        <v>non-original</v>
      </c>
      <c r="P414" t="str">
        <f t="shared" si="44"/>
        <v>non-franchise</v>
      </c>
      <c r="Q414" t="str">
        <f t="shared" si="45"/>
        <v>new</v>
      </c>
      <c r="R414" s="2">
        <f t="shared" si="46"/>
        <v>1.7396419434778872E-2</v>
      </c>
      <c r="S414">
        <f t="shared" si="47"/>
        <v>0.47813909774436086</v>
      </c>
      <c r="T414" t="str">
        <f t="shared" si="48"/>
        <v>Scenario 2: Weak Commitment/Convenience</v>
      </c>
    </row>
    <row r="415" spans="1:20" x14ac:dyDescent="0.35">
      <c r="A415" t="s">
        <v>554</v>
      </c>
      <c r="B415" s="1">
        <v>44986</v>
      </c>
      <c r="C415">
        <v>2023</v>
      </c>
      <c r="D415">
        <v>3</v>
      </c>
      <c r="E415" t="s">
        <v>38</v>
      </c>
      <c r="F415">
        <v>93</v>
      </c>
      <c r="G415" t="s">
        <v>90</v>
      </c>
      <c r="H415" t="s">
        <v>24</v>
      </c>
      <c r="I415">
        <v>0</v>
      </c>
      <c r="J415">
        <v>0</v>
      </c>
      <c r="K415">
        <v>3.9</v>
      </c>
      <c r="L415">
        <v>1353</v>
      </c>
      <c r="M415" t="s">
        <v>17</v>
      </c>
      <c r="N415" t="str">
        <f t="shared" si="42"/>
        <v>streaming</v>
      </c>
      <c r="O415" t="str">
        <f t="shared" si="43"/>
        <v>non-original</v>
      </c>
      <c r="P415" t="str">
        <f t="shared" si="44"/>
        <v>non-franchise</v>
      </c>
      <c r="Q415" t="str">
        <f t="shared" si="45"/>
        <v>new</v>
      </c>
      <c r="R415" s="2">
        <f t="shared" si="46"/>
        <v>4.7019713093841218E-4</v>
      </c>
      <c r="S415">
        <f t="shared" si="47"/>
        <v>0.38046992481203007</v>
      </c>
      <c r="T415" t="str">
        <f t="shared" si="48"/>
        <v>Scenario 2: Weak Commitment/Convenience</v>
      </c>
    </row>
    <row r="416" spans="1:20" x14ac:dyDescent="0.35">
      <c r="A416" t="s">
        <v>555</v>
      </c>
      <c r="B416" s="1">
        <v>44988</v>
      </c>
      <c r="C416">
        <v>2023</v>
      </c>
      <c r="D416">
        <v>3</v>
      </c>
      <c r="E416" t="s">
        <v>38</v>
      </c>
      <c r="F416">
        <v>124</v>
      </c>
      <c r="G416" t="s">
        <v>34</v>
      </c>
      <c r="H416" t="s">
        <v>24</v>
      </c>
      <c r="I416">
        <v>0</v>
      </c>
      <c r="J416">
        <v>0</v>
      </c>
      <c r="K416">
        <v>6.5</v>
      </c>
      <c r="L416">
        <v>6336</v>
      </c>
      <c r="M416" t="s">
        <v>17</v>
      </c>
      <c r="N416" t="str">
        <f t="shared" si="42"/>
        <v>streaming</v>
      </c>
      <c r="O416" t="str">
        <f t="shared" si="43"/>
        <v>non-original</v>
      </c>
      <c r="P416" t="str">
        <f t="shared" si="44"/>
        <v>non-franchise</v>
      </c>
      <c r="Q416" t="str">
        <f t="shared" si="45"/>
        <v>new</v>
      </c>
      <c r="R416" s="2">
        <f t="shared" si="46"/>
        <v>2.935865012688622E-3</v>
      </c>
      <c r="S416">
        <f t="shared" si="47"/>
        <v>0.52048872180451133</v>
      </c>
      <c r="T416" t="str">
        <f t="shared" si="48"/>
        <v>Scenario 3: Strong Convenience</v>
      </c>
    </row>
    <row r="417" spans="1:20" x14ac:dyDescent="0.35">
      <c r="A417" t="s">
        <v>556</v>
      </c>
      <c r="B417" s="1">
        <v>44993</v>
      </c>
      <c r="C417">
        <v>2023</v>
      </c>
      <c r="D417">
        <v>3</v>
      </c>
      <c r="E417" t="s">
        <v>38</v>
      </c>
      <c r="F417">
        <v>109</v>
      </c>
      <c r="G417" t="s">
        <v>29</v>
      </c>
      <c r="H417" t="s">
        <v>30</v>
      </c>
      <c r="I417">
        <v>0</v>
      </c>
      <c r="J417">
        <v>0</v>
      </c>
      <c r="K417">
        <v>6.7</v>
      </c>
      <c r="L417">
        <v>6709</v>
      </c>
      <c r="M417" t="s">
        <v>17</v>
      </c>
      <c r="N417" t="str">
        <f t="shared" si="42"/>
        <v>streaming</v>
      </c>
      <c r="O417" t="str">
        <f t="shared" si="43"/>
        <v>non-original</v>
      </c>
      <c r="P417" t="str">
        <f t="shared" si="44"/>
        <v>non-franchise</v>
      </c>
      <c r="Q417" t="str">
        <f t="shared" si="45"/>
        <v>new</v>
      </c>
      <c r="R417" s="2">
        <f t="shared" si="46"/>
        <v>2.7326469105673017E-3</v>
      </c>
      <c r="S417">
        <f t="shared" si="47"/>
        <v>0.59317669172932341</v>
      </c>
      <c r="T417" t="str">
        <f t="shared" si="48"/>
        <v>Scenario 3: Strong Convenience</v>
      </c>
    </row>
    <row r="418" spans="1:20" x14ac:dyDescent="0.35">
      <c r="A418" t="s">
        <v>557</v>
      </c>
      <c r="B418" s="1">
        <v>44995</v>
      </c>
      <c r="C418">
        <v>2023</v>
      </c>
      <c r="D418">
        <v>3</v>
      </c>
      <c r="E418" t="s">
        <v>38</v>
      </c>
      <c r="F418">
        <v>93</v>
      </c>
      <c r="G418" t="s">
        <v>21</v>
      </c>
      <c r="H418" t="s">
        <v>30</v>
      </c>
      <c r="I418">
        <v>0</v>
      </c>
      <c r="J418">
        <v>0</v>
      </c>
      <c r="K418">
        <v>5.5</v>
      </c>
      <c r="L418">
        <v>323</v>
      </c>
      <c r="M418" t="s">
        <v>17</v>
      </c>
      <c r="N418" t="str">
        <f t="shared" si="42"/>
        <v>streaming</v>
      </c>
      <c r="O418" t="str">
        <f t="shared" si="43"/>
        <v>non-original</v>
      </c>
      <c r="P418" t="str">
        <f t="shared" si="44"/>
        <v>non-franchise</v>
      </c>
      <c r="Q418" t="str">
        <f t="shared" si="45"/>
        <v>new</v>
      </c>
      <c r="R418" s="2">
        <f t="shared" si="46"/>
        <v>1.1224957375691585E-4</v>
      </c>
      <c r="S418">
        <f t="shared" si="47"/>
        <v>0.53656015037593985</v>
      </c>
      <c r="T418" t="str">
        <f t="shared" si="48"/>
        <v>Scenario 3: Strong Convenience</v>
      </c>
    </row>
    <row r="419" spans="1:20" x14ac:dyDescent="0.35">
      <c r="A419" t="s">
        <v>558</v>
      </c>
      <c r="B419" s="1">
        <v>44995</v>
      </c>
      <c r="C419">
        <v>2023</v>
      </c>
      <c r="D419">
        <v>3</v>
      </c>
      <c r="E419" t="s">
        <v>38</v>
      </c>
      <c r="F419">
        <v>130</v>
      </c>
      <c r="G419" t="s">
        <v>43</v>
      </c>
      <c r="H419" t="s">
        <v>24</v>
      </c>
      <c r="I419">
        <v>0</v>
      </c>
      <c r="J419">
        <v>0</v>
      </c>
      <c r="K419">
        <v>6.4</v>
      </c>
      <c r="L419">
        <v>72040</v>
      </c>
      <c r="M419" t="s">
        <v>88</v>
      </c>
      <c r="N419" t="str">
        <f t="shared" si="42"/>
        <v>streaming</v>
      </c>
      <c r="O419" t="str">
        <f t="shared" si="43"/>
        <v>non-original</v>
      </c>
      <c r="P419" t="str">
        <f t="shared" si="44"/>
        <v>non-franchise</v>
      </c>
      <c r="Q419" t="str">
        <f t="shared" si="45"/>
        <v>new</v>
      </c>
      <c r="R419" s="2">
        <f t="shared" si="46"/>
        <v>3.4995829027206903E-2</v>
      </c>
      <c r="S419">
        <f t="shared" si="47"/>
        <v>0.49082706766917289</v>
      </c>
      <c r="T419" t="str">
        <f t="shared" si="48"/>
        <v>Scenario 1: Strong Commitment</v>
      </c>
    </row>
    <row r="420" spans="1:20" x14ac:dyDescent="0.35">
      <c r="A420" t="s">
        <v>559</v>
      </c>
      <c r="B420" s="1">
        <v>45002</v>
      </c>
      <c r="C420">
        <v>2023</v>
      </c>
      <c r="D420">
        <v>3</v>
      </c>
      <c r="E420" t="s">
        <v>38</v>
      </c>
      <c r="F420">
        <v>89</v>
      </c>
      <c r="G420" t="s">
        <v>34</v>
      </c>
      <c r="H420" t="s">
        <v>30</v>
      </c>
      <c r="I420">
        <v>0</v>
      </c>
      <c r="J420">
        <v>0</v>
      </c>
      <c r="K420">
        <v>4.9000000000000004</v>
      </c>
      <c r="L420">
        <v>995</v>
      </c>
      <c r="M420" t="s">
        <v>17</v>
      </c>
      <c r="N420" t="str">
        <f t="shared" si="42"/>
        <v>streaming</v>
      </c>
      <c r="O420" t="str">
        <f t="shared" si="43"/>
        <v>non-original</v>
      </c>
      <c r="P420" t="str">
        <f t="shared" si="44"/>
        <v>non-franchise</v>
      </c>
      <c r="Q420" t="str">
        <f t="shared" si="45"/>
        <v>new</v>
      </c>
      <c r="R420" s="2">
        <f t="shared" si="46"/>
        <v>3.3091184806563744E-4</v>
      </c>
      <c r="S420">
        <f t="shared" si="47"/>
        <v>0.48907894736842111</v>
      </c>
      <c r="T420" t="str">
        <f t="shared" si="48"/>
        <v>Scenario 2: Weak Commitment/Convenience</v>
      </c>
    </row>
    <row r="421" spans="1:20" x14ac:dyDescent="0.35">
      <c r="A421" t="s">
        <v>560</v>
      </c>
      <c r="B421" s="1">
        <v>45002</v>
      </c>
      <c r="C421">
        <v>2023</v>
      </c>
      <c r="D421">
        <v>3</v>
      </c>
      <c r="E421" t="s">
        <v>38</v>
      </c>
      <c r="F421">
        <v>90</v>
      </c>
      <c r="G421" t="s">
        <v>19</v>
      </c>
      <c r="H421" t="s">
        <v>30</v>
      </c>
      <c r="I421">
        <v>0</v>
      </c>
      <c r="J421">
        <v>0</v>
      </c>
      <c r="K421">
        <v>3.5</v>
      </c>
      <c r="L421">
        <v>4942</v>
      </c>
      <c r="M421" t="s">
        <v>17</v>
      </c>
      <c r="N421" t="str">
        <f t="shared" si="42"/>
        <v>streaming</v>
      </c>
      <c r="O421" t="str">
        <f t="shared" si="43"/>
        <v>non-original</v>
      </c>
      <c r="P421" t="str">
        <f t="shared" si="44"/>
        <v>non-franchise</v>
      </c>
      <c r="Q421" t="str">
        <f t="shared" si="45"/>
        <v>new</v>
      </c>
      <c r="R421" s="2">
        <f t="shared" si="46"/>
        <v>1.6620515135524162E-3</v>
      </c>
      <c r="S421">
        <f t="shared" si="47"/>
        <v>0.34736842105263149</v>
      </c>
      <c r="T421" t="str">
        <f t="shared" si="48"/>
        <v>Scenario 2: Weak Commitment/Convenience</v>
      </c>
    </row>
    <row r="422" spans="1:20" x14ac:dyDescent="0.35">
      <c r="A422" t="s">
        <v>561</v>
      </c>
      <c r="B422" s="1">
        <v>45002</v>
      </c>
      <c r="C422">
        <v>2023</v>
      </c>
      <c r="D422">
        <v>3</v>
      </c>
      <c r="E422" t="s">
        <v>38</v>
      </c>
      <c r="F422">
        <v>103</v>
      </c>
      <c r="G422" t="s">
        <v>562</v>
      </c>
      <c r="H422" t="s">
        <v>56</v>
      </c>
      <c r="I422">
        <v>0</v>
      </c>
      <c r="J422">
        <v>0</v>
      </c>
      <c r="K422">
        <v>6.6</v>
      </c>
      <c r="L422">
        <v>6719</v>
      </c>
      <c r="M422" t="s">
        <v>17</v>
      </c>
      <c r="N422" t="str">
        <f t="shared" si="42"/>
        <v>streaming</v>
      </c>
      <c r="O422" t="str">
        <f t="shared" si="43"/>
        <v>non-original</v>
      </c>
      <c r="P422" t="str">
        <f t="shared" si="44"/>
        <v>non-franchise</v>
      </c>
      <c r="Q422" t="str">
        <f t="shared" si="45"/>
        <v>new</v>
      </c>
      <c r="R422" s="2">
        <f t="shared" si="46"/>
        <v>2.5860748781747034E-3</v>
      </c>
      <c r="S422">
        <f t="shared" si="47"/>
        <v>0.60665413533834578</v>
      </c>
      <c r="T422" t="str">
        <f t="shared" si="48"/>
        <v>Scenario 3: Strong Convenience</v>
      </c>
    </row>
    <row r="423" spans="1:20" x14ac:dyDescent="0.35">
      <c r="A423" t="s">
        <v>563</v>
      </c>
      <c r="B423" s="1">
        <v>45009</v>
      </c>
      <c r="C423">
        <v>2023</v>
      </c>
      <c r="D423">
        <v>3</v>
      </c>
      <c r="E423" t="s">
        <v>38</v>
      </c>
      <c r="F423">
        <v>110</v>
      </c>
      <c r="G423" t="s">
        <v>79</v>
      </c>
      <c r="H423" t="s">
        <v>30</v>
      </c>
      <c r="I423">
        <v>0</v>
      </c>
      <c r="J423">
        <v>0</v>
      </c>
      <c r="K423">
        <v>7.2</v>
      </c>
      <c r="L423">
        <v>56273</v>
      </c>
      <c r="M423" t="s">
        <v>88</v>
      </c>
      <c r="N423" t="str">
        <f t="shared" si="42"/>
        <v>streaming</v>
      </c>
      <c r="O423" t="str">
        <f t="shared" si="43"/>
        <v>non-original</v>
      </c>
      <c r="P423" t="str">
        <f t="shared" si="44"/>
        <v>non-franchise</v>
      </c>
      <c r="Q423" t="str">
        <f t="shared" si="45"/>
        <v>new</v>
      </c>
      <c r="R423" s="2">
        <f t="shared" si="46"/>
        <v>2.3130870835997262E-2</v>
      </c>
      <c r="S423">
        <f t="shared" si="47"/>
        <v>0.63338345864661671</v>
      </c>
      <c r="T423" t="str">
        <f t="shared" si="48"/>
        <v>Scenario 3: Strong Convenience</v>
      </c>
    </row>
    <row r="424" spans="1:20" x14ac:dyDescent="0.35">
      <c r="A424" t="s">
        <v>564</v>
      </c>
      <c r="B424" s="1">
        <v>45016</v>
      </c>
      <c r="C424">
        <v>2023</v>
      </c>
      <c r="D424">
        <v>3</v>
      </c>
      <c r="E424" t="s">
        <v>38</v>
      </c>
      <c r="F424">
        <v>139</v>
      </c>
      <c r="G424" t="s">
        <v>76</v>
      </c>
      <c r="H424" t="s">
        <v>24</v>
      </c>
      <c r="I424">
        <v>0</v>
      </c>
      <c r="J424">
        <v>0</v>
      </c>
      <c r="K424">
        <v>6.6</v>
      </c>
      <c r="L424">
        <v>15980</v>
      </c>
      <c r="M424" t="s">
        <v>88</v>
      </c>
      <c r="N424" t="str">
        <f t="shared" si="42"/>
        <v>streaming</v>
      </c>
      <c r="O424" t="str">
        <f t="shared" si="43"/>
        <v>non-original</v>
      </c>
      <c r="P424" t="str">
        <f t="shared" si="44"/>
        <v>non-franchise</v>
      </c>
      <c r="Q424" t="str">
        <f t="shared" si="45"/>
        <v>new</v>
      </c>
      <c r="R424" s="2">
        <f t="shared" si="46"/>
        <v>8.300242958165607E-3</v>
      </c>
      <c r="S424">
        <f t="shared" si="47"/>
        <v>0.47266917293233074</v>
      </c>
      <c r="T424" t="str">
        <f t="shared" si="48"/>
        <v>Scenario 2: Weak Commitment/Convenience</v>
      </c>
    </row>
    <row r="425" spans="1:20" x14ac:dyDescent="0.35">
      <c r="A425" t="s">
        <v>565</v>
      </c>
      <c r="B425" s="1">
        <v>45016</v>
      </c>
      <c r="C425">
        <v>2023</v>
      </c>
      <c r="D425">
        <v>3</v>
      </c>
      <c r="E425" t="s">
        <v>38</v>
      </c>
      <c r="F425">
        <v>90</v>
      </c>
      <c r="G425" t="s">
        <v>566</v>
      </c>
      <c r="H425" t="s">
        <v>27</v>
      </c>
      <c r="I425">
        <v>0</v>
      </c>
      <c r="J425">
        <v>1</v>
      </c>
      <c r="K425">
        <v>5.7</v>
      </c>
      <c r="L425">
        <v>82892</v>
      </c>
      <c r="M425" t="s">
        <v>88</v>
      </c>
      <c r="N425" t="str">
        <f t="shared" si="42"/>
        <v>streaming</v>
      </c>
      <c r="O425" t="str">
        <f t="shared" si="43"/>
        <v>non-original</v>
      </c>
      <c r="P425" t="str">
        <f t="shared" si="44"/>
        <v>franchise</v>
      </c>
      <c r="Q425" t="str">
        <f t="shared" si="45"/>
        <v>old</v>
      </c>
      <c r="R425" s="2">
        <f t="shared" si="46"/>
        <v>4.181630131365445E-2</v>
      </c>
      <c r="S425">
        <f t="shared" si="47"/>
        <v>0.37714285714285717</v>
      </c>
      <c r="T425" t="str">
        <f t="shared" si="48"/>
        <v>Scenario 1: Strong Commitment</v>
      </c>
    </row>
    <row r="426" spans="1:20" x14ac:dyDescent="0.35">
      <c r="A426" t="s">
        <v>567</v>
      </c>
      <c r="B426" s="1">
        <v>45023</v>
      </c>
      <c r="C426">
        <v>2023</v>
      </c>
      <c r="D426">
        <v>4</v>
      </c>
      <c r="E426" t="s">
        <v>38</v>
      </c>
      <c r="F426">
        <v>98</v>
      </c>
      <c r="G426" t="s">
        <v>511</v>
      </c>
      <c r="H426" t="s">
        <v>56</v>
      </c>
      <c r="I426">
        <v>0</v>
      </c>
      <c r="J426">
        <v>0</v>
      </c>
      <c r="K426">
        <v>5.6</v>
      </c>
      <c r="L426">
        <v>8083</v>
      </c>
      <c r="M426" t="s">
        <v>88</v>
      </c>
      <c r="N426" t="str">
        <f t="shared" si="42"/>
        <v>streaming</v>
      </c>
      <c r="O426" t="str">
        <f t="shared" si="43"/>
        <v>non-original</v>
      </c>
      <c r="P426" t="str">
        <f t="shared" si="44"/>
        <v>non-franchise</v>
      </c>
      <c r="Q426" t="str">
        <f t="shared" si="45"/>
        <v>new</v>
      </c>
      <c r="R426" s="2">
        <f t="shared" si="46"/>
        <v>2.960042073915935E-3</v>
      </c>
      <c r="S426">
        <f t="shared" si="47"/>
        <v>0.53052631578947351</v>
      </c>
      <c r="T426" t="str">
        <f t="shared" si="48"/>
        <v>Scenario 3: Strong Convenience</v>
      </c>
    </row>
    <row r="427" spans="1:20" x14ac:dyDescent="0.35">
      <c r="A427" t="s">
        <v>568</v>
      </c>
      <c r="B427" s="1">
        <v>45023</v>
      </c>
      <c r="C427">
        <v>2023</v>
      </c>
      <c r="D427">
        <v>4</v>
      </c>
      <c r="E427" t="s">
        <v>38</v>
      </c>
      <c r="F427">
        <v>109</v>
      </c>
      <c r="G427" t="s">
        <v>21</v>
      </c>
      <c r="H427" t="s">
        <v>27</v>
      </c>
      <c r="I427">
        <v>0</v>
      </c>
      <c r="J427">
        <v>0</v>
      </c>
      <c r="K427">
        <v>4.7</v>
      </c>
      <c r="L427">
        <v>116</v>
      </c>
      <c r="M427" t="s">
        <v>17</v>
      </c>
      <c r="N427" t="str">
        <f t="shared" si="42"/>
        <v>streaming</v>
      </c>
      <c r="O427" t="str">
        <f t="shared" si="43"/>
        <v>non-original</v>
      </c>
      <c r="P427" t="str">
        <f t="shared" si="44"/>
        <v>non-franchise</v>
      </c>
      <c r="Q427" t="str">
        <f t="shared" si="45"/>
        <v>new</v>
      </c>
      <c r="R427" s="2">
        <f t="shared" si="46"/>
        <v>4.7248031245462366E-5</v>
      </c>
      <c r="S427">
        <f t="shared" si="47"/>
        <v>0.41610902255639104</v>
      </c>
      <c r="T427" t="str">
        <f t="shared" si="48"/>
        <v>Scenario 2: Weak Commitment/Convenience</v>
      </c>
    </row>
    <row r="428" spans="1:20" x14ac:dyDescent="0.35">
      <c r="A428" t="s">
        <v>569</v>
      </c>
      <c r="B428" s="1">
        <v>45023</v>
      </c>
      <c r="C428">
        <v>2023</v>
      </c>
      <c r="D428">
        <v>4</v>
      </c>
      <c r="E428" t="s">
        <v>38</v>
      </c>
      <c r="F428">
        <v>97</v>
      </c>
      <c r="G428" t="s">
        <v>34</v>
      </c>
      <c r="H428" t="s">
        <v>24</v>
      </c>
      <c r="I428">
        <v>1</v>
      </c>
      <c r="J428">
        <v>1</v>
      </c>
      <c r="K428">
        <v>5.3</v>
      </c>
      <c r="L428">
        <v>3808</v>
      </c>
      <c r="M428" t="s">
        <v>17</v>
      </c>
      <c r="N428" t="str">
        <f t="shared" si="42"/>
        <v>streaming</v>
      </c>
      <c r="O428" t="str">
        <f t="shared" si="43"/>
        <v>original</v>
      </c>
      <c r="P428" t="str">
        <f t="shared" si="44"/>
        <v>franchise</v>
      </c>
      <c r="Q428" t="str">
        <f t="shared" si="45"/>
        <v>old</v>
      </c>
      <c r="R428" s="2">
        <f t="shared" si="46"/>
        <v>2.0704233774110929E-3</v>
      </c>
      <c r="S428">
        <f t="shared" si="47"/>
        <v>0.33672932330827071</v>
      </c>
      <c r="T428" t="str">
        <f t="shared" si="48"/>
        <v>Scenario 2: Weak Commitment/Convenience</v>
      </c>
    </row>
    <row r="429" spans="1:20" x14ac:dyDescent="0.35">
      <c r="A429" t="s">
        <v>570</v>
      </c>
      <c r="B429" s="1">
        <v>45030</v>
      </c>
      <c r="C429">
        <v>2023</v>
      </c>
      <c r="D429">
        <v>4</v>
      </c>
      <c r="E429" t="s">
        <v>38</v>
      </c>
      <c r="F429">
        <v>97</v>
      </c>
      <c r="G429" t="s">
        <v>21</v>
      </c>
      <c r="H429" t="s">
        <v>30</v>
      </c>
      <c r="I429">
        <v>0</v>
      </c>
      <c r="J429">
        <v>0</v>
      </c>
      <c r="K429">
        <v>4.5999999999999996</v>
      </c>
      <c r="L429">
        <v>1085</v>
      </c>
      <c r="M429" t="s">
        <v>88</v>
      </c>
      <c r="N429" t="str">
        <f t="shared" si="42"/>
        <v>streaming</v>
      </c>
      <c r="O429" t="str">
        <f t="shared" si="43"/>
        <v>non-original</v>
      </c>
      <c r="P429" t="str">
        <f t="shared" si="44"/>
        <v>non-franchise</v>
      </c>
      <c r="Q429" t="str">
        <f t="shared" si="45"/>
        <v>new</v>
      </c>
      <c r="R429" s="2">
        <f t="shared" si="46"/>
        <v>3.9327895036607772E-4</v>
      </c>
      <c r="S429">
        <f t="shared" si="47"/>
        <v>0.43838345864661649</v>
      </c>
      <c r="T429" t="str">
        <f t="shared" si="48"/>
        <v>Scenario 2: Weak Commitment/Convenience</v>
      </c>
    </row>
    <row r="430" spans="1:20" x14ac:dyDescent="0.35">
      <c r="A430" t="s">
        <v>571</v>
      </c>
      <c r="B430" s="1">
        <v>45030</v>
      </c>
      <c r="C430">
        <v>2023</v>
      </c>
      <c r="D430">
        <v>4</v>
      </c>
      <c r="E430" t="s">
        <v>38</v>
      </c>
      <c r="F430">
        <v>94</v>
      </c>
      <c r="G430" t="s">
        <v>21</v>
      </c>
      <c r="H430" t="s">
        <v>30</v>
      </c>
      <c r="I430">
        <v>0</v>
      </c>
      <c r="J430">
        <v>0</v>
      </c>
      <c r="K430">
        <v>5.4</v>
      </c>
      <c r="L430">
        <v>3498</v>
      </c>
      <c r="M430" t="s">
        <v>17</v>
      </c>
      <c r="N430" t="str">
        <f t="shared" si="42"/>
        <v>streaming</v>
      </c>
      <c r="O430" t="str">
        <f t="shared" si="43"/>
        <v>non-original</v>
      </c>
      <c r="P430" t="str">
        <f t="shared" si="44"/>
        <v>non-franchise</v>
      </c>
      <c r="Q430" t="str">
        <f t="shared" si="45"/>
        <v>new</v>
      </c>
      <c r="R430" s="2">
        <f t="shared" si="46"/>
        <v>1.2287029144165589E-3</v>
      </c>
      <c r="S430">
        <f t="shared" si="47"/>
        <v>0.52375939849624065</v>
      </c>
      <c r="T430" t="str">
        <f t="shared" si="48"/>
        <v>Scenario 3: Strong Convenience</v>
      </c>
    </row>
    <row r="431" spans="1:20" x14ac:dyDescent="0.35">
      <c r="A431" t="s">
        <v>572</v>
      </c>
      <c r="B431" s="1">
        <v>45037</v>
      </c>
      <c r="C431">
        <v>2023</v>
      </c>
      <c r="D431">
        <v>4</v>
      </c>
      <c r="E431" t="s">
        <v>38</v>
      </c>
      <c r="F431">
        <v>96</v>
      </c>
      <c r="G431" t="s">
        <v>29</v>
      </c>
      <c r="H431" t="s">
        <v>56</v>
      </c>
      <c r="I431">
        <v>0</v>
      </c>
      <c r="J431">
        <v>0</v>
      </c>
      <c r="K431">
        <v>5.8</v>
      </c>
      <c r="L431">
        <v>8374</v>
      </c>
      <c r="M431" t="s">
        <v>17</v>
      </c>
      <c r="N431" t="str">
        <f t="shared" si="42"/>
        <v>streaming</v>
      </c>
      <c r="O431" t="str">
        <f t="shared" si="43"/>
        <v>non-original</v>
      </c>
      <c r="P431" t="str">
        <f t="shared" si="44"/>
        <v>non-franchise</v>
      </c>
      <c r="Q431" t="str">
        <f t="shared" si="45"/>
        <v>new</v>
      </c>
      <c r="R431" s="2">
        <f t="shared" si="46"/>
        <v>3.0040241466586662E-3</v>
      </c>
      <c r="S431">
        <f t="shared" si="47"/>
        <v>0.55601503759398485</v>
      </c>
      <c r="T431" t="str">
        <f t="shared" si="48"/>
        <v>Scenario 3: Strong Convenience</v>
      </c>
    </row>
    <row r="432" spans="1:20" x14ac:dyDescent="0.35">
      <c r="A432" t="s">
        <v>573</v>
      </c>
      <c r="B432" s="1">
        <v>45037</v>
      </c>
      <c r="C432">
        <v>2023</v>
      </c>
      <c r="D432">
        <v>4</v>
      </c>
      <c r="E432" t="s">
        <v>38</v>
      </c>
      <c r="F432">
        <v>112</v>
      </c>
      <c r="G432" t="s">
        <v>19</v>
      </c>
      <c r="H432" t="s">
        <v>30</v>
      </c>
      <c r="I432">
        <v>0</v>
      </c>
      <c r="J432">
        <v>0</v>
      </c>
      <c r="K432">
        <v>5.7</v>
      </c>
      <c r="L432">
        <v>5122</v>
      </c>
      <c r="M432" t="s">
        <v>17</v>
      </c>
      <c r="N432" t="str">
        <f t="shared" si="42"/>
        <v>streaming</v>
      </c>
      <c r="O432" t="str">
        <f t="shared" si="43"/>
        <v>non-original</v>
      </c>
      <c r="P432" t="str">
        <f t="shared" si="44"/>
        <v>non-franchise</v>
      </c>
      <c r="Q432" t="str">
        <f t="shared" si="45"/>
        <v>new</v>
      </c>
      <c r="R432" s="2">
        <f t="shared" si="46"/>
        <v>2.1436645520718852E-3</v>
      </c>
      <c r="S432">
        <f t="shared" si="47"/>
        <v>0.49500000000000005</v>
      </c>
      <c r="T432" t="str">
        <f t="shared" si="48"/>
        <v>Scenario 2: Weak Commitment/Convenience</v>
      </c>
    </row>
    <row r="433" spans="1:20" x14ac:dyDescent="0.35">
      <c r="A433" t="s">
        <v>574</v>
      </c>
      <c r="B433" s="1">
        <v>45037</v>
      </c>
      <c r="C433">
        <v>2023</v>
      </c>
      <c r="D433">
        <v>4</v>
      </c>
      <c r="E433" t="s">
        <v>38</v>
      </c>
      <c r="F433">
        <v>85</v>
      </c>
      <c r="G433" t="s">
        <v>21</v>
      </c>
      <c r="H433" t="s">
        <v>24</v>
      </c>
      <c r="I433">
        <v>0</v>
      </c>
      <c r="J433">
        <v>0</v>
      </c>
      <c r="K433">
        <v>5.8</v>
      </c>
      <c r="L433">
        <v>2863</v>
      </c>
      <c r="M433" t="s">
        <v>17</v>
      </c>
      <c r="N433" t="str">
        <f t="shared" si="42"/>
        <v>streaming</v>
      </c>
      <c r="O433" t="str">
        <f t="shared" si="43"/>
        <v>non-original</v>
      </c>
      <c r="P433" t="str">
        <f t="shared" si="44"/>
        <v>non-franchise</v>
      </c>
      <c r="Q433" t="str">
        <f t="shared" si="45"/>
        <v>new</v>
      </c>
      <c r="R433" s="2">
        <f t="shared" si="46"/>
        <v>9.0936765610087741E-4</v>
      </c>
      <c r="S433">
        <f t="shared" si="47"/>
        <v>0.5919924812030074</v>
      </c>
      <c r="T433" t="str">
        <f t="shared" si="48"/>
        <v>Scenario 3: Strong Convenience</v>
      </c>
    </row>
    <row r="434" spans="1:20" x14ac:dyDescent="0.35">
      <c r="A434" t="s">
        <v>575</v>
      </c>
      <c r="B434" s="1">
        <v>45043</v>
      </c>
      <c r="C434">
        <v>2023</v>
      </c>
      <c r="D434">
        <v>4</v>
      </c>
      <c r="E434" t="s">
        <v>38</v>
      </c>
      <c r="F434">
        <v>81</v>
      </c>
      <c r="G434" t="s">
        <v>103</v>
      </c>
      <c r="H434" t="s">
        <v>30</v>
      </c>
      <c r="I434">
        <v>0</v>
      </c>
      <c r="J434">
        <v>0</v>
      </c>
      <c r="K434">
        <v>3.7</v>
      </c>
      <c r="L434">
        <v>654</v>
      </c>
      <c r="M434" t="s">
        <v>17</v>
      </c>
      <c r="N434" t="str">
        <f t="shared" si="42"/>
        <v>streaming</v>
      </c>
      <c r="O434" t="str">
        <f t="shared" si="43"/>
        <v>non-original</v>
      </c>
      <c r="P434" t="str">
        <f t="shared" si="44"/>
        <v>non-franchise</v>
      </c>
      <c r="Q434" t="str">
        <f t="shared" si="45"/>
        <v>new</v>
      </c>
      <c r="R434" s="2">
        <f t="shared" si="46"/>
        <v>1.9795295849391991E-4</v>
      </c>
      <c r="S434">
        <f t="shared" si="47"/>
        <v>0.38599624060150373</v>
      </c>
      <c r="T434" t="str">
        <f t="shared" si="48"/>
        <v>Scenario 2: Weak Commitment/Convenience</v>
      </c>
    </row>
    <row r="435" spans="1:20" x14ac:dyDescent="0.35">
      <c r="A435" t="s">
        <v>576</v>
      </c>
      <c r="B435" s="1">
        <v>45044</v>
      </c>
      <c r="C435">
        <v>2023</v>
      </c>
      <c r="D435">
        <v>4</v>
      </c>
      <c r="E435" t="s">
        <v>38</v>
      </c>
      <c r="F435">
        <v>124</v>
      </c>
      <c r="G435" t="s">
        <v>49</v>
      </c>
      <c r="H435" t="s">
        <v>30</v>
      </c>
      <c r="I435">
        <v>0</v>
      </c>
      <c r="J435">
        <v>0</v>
      </c>
      <c r="K435">
        <v>6.6</v>
      </c>
      <c r="L435">
        <v>14790</v>
      </c>
      <c r="M435" t="s">
        <v>88</v>
      </c>
      <c r="N435" t="str">
        <f t="shared" si="42"/>
        <v>streaming</v>
      </c>
      <c r="O435" t="str">
        <f t="shared" si="43"/>
        <v>non-original</v>
      </c>
      <c r="P435" t="str">
        <f t="shared" si="44"/>
        <v>non-franchise</v>
      </c>
      <c r="Q435" t="str">
        <f t="shared" si="45"/>
        <v>new</v>
      </c>
      <c r="R435" s="2">
        <f t="shared" si="46"/>
        <v>6.8531318714748612E-3</v>
      </c>
      <c r="S435">
        <f t="shared" si="47"/>
        <v>0.52849624060150369</v>
      </c>
      <c r="T435" t="str">
        <f t="shared" si="48"/>
        <v>Scenario 3: Strong Convenience</v>
      </c>
    </row>
    <row r="436" spans="1:20" x14ac:dyDescent="0.35">
      <c r="A436" t="s">
        <v>577</v>
      </c>
      <c r="B436" s="1">
        <v>45057</v>
      </c>
      <c r="C436">
        <v>2023</v>
      </c>
      <c r="D436">
        <v>5</v>
      </c>
      <c r="E436" t="s">
        <v>38</v>
      </c>
      <c r="F436">
        <v>98</v>
      </c>
      <c r="G436" t="s">
        <v>448</v>
      </c>
      <c r="H436" t="s">
        <v>24</v>
      </c>
      <c r="I436">
        <v>0</v>
      </c>
      <c r="J436">
        <v>1</v>
      </c>
      <c r="K436">
        <v>4.7</v>
      </c>
      <c r="L436">
        <v>1089</v>
      </c>
      <c r="M436" t="s">
        <v>17</v>
      </c>
      <c r="N436" t="str">
        <f t="shared" si="42"/>
        <v>streaming</v>
      </c>
      <c r="O436" t="str">
        <f t="shared" si="43"/>
        <v>non-original</v>
      </c>
      <c r="P436" t="str">
        <f t="shared" si="44"/>
        <v>franchise</v>
      </c>
      <c r="Q436" t="str">
        <f t="shared" si="45"/>
        <v>old</v>
      </c>
      <c r="R436" s="2">
        <f t="shared" si="46"/>
        <v>5.9819729404202388E-4</v>
      </c>
      <c r="S436">
        <f t="shared" si="47"/>
        <v>0.29684210526315791</v>
      </c>
      <c r="T436" t="str">
        <f t="shared" si="48"/>
        <v>Scenario 2: Weak Commitment/Convenience</v>
      </c>
    </row>
    <row r="437" spans="1:20" x14ac:dyDescent="0.35">
      <c r="A437" t="s">
        <v>578</v>
      </c>
      <c r="B437" s="1">
        <v>45058</v>
      </c>
      <c r="C437">
        <v>2023</v>
      </c>
      <c r="D437">
        <v>5</v>
      </c>
      <c r="E437" t="s">
        <v>38</v>
      </c>
      <c r="F437">
        <v>117</v>
      </c>
      <c r="G437" t="s">
        <v>411</v>
      </c>
      <c r="H437" t="s">
        <v>24</v>
      </c>
      <c r="I437">
        <v>0</v>
      </c>
      <c r="J437">
        <v>0</v>
      </c>
      <c r="K437">
        <v>5.6</v>
      </c>
      <c r="L437">
        <v>52474</v>
      </c>
      <c r="M437" t="s">
        <v>88</v>
      </c>
      <c r="N437" t="str">
        <f t="shared" si="42"/>
        <v>streaming</v>
      </c>
      <c r="O437" t="str">
        <f t="shared" si="43"/>
        <v>non-original</v>
      </c>
      <c r="P437" t="str">
        <f t="shared" si="44"/>
        <v>non-franchise</v>
      </c>
      <c r="Q437" t="str">
        <f t="shared" si="45"/>
        <v>new</v>
      </c>
      <c r="R437" s="2">
        <f t="shared" si="46"/>
        <v>2.2941893658193917E-2</v>
      </c>
      <c r="S437">
        <f t="shared" si="47"/>
        <v>0.47052631578947363</v>
      </c>
      <c r="T437" t="str">
        <f t="shared" si="48"/>
        <v>Scenario 2: Weak Commitment/Convenience</v>
      </c>
    </row>
    <row r="438" spans="1:20" x14ac:dyDescent="0.35">
      <c r="A438" t="s">
        <v>579</v>
      </c>
      <c r="B438" s="1">
        <v>45063</v>
      </c>
      <c r="C438">
        <v>2023</v>
      </c>
      <c r="D438">
        <v>5</v>
      </c>
      <c r="E438" t="s">
        <v>38</v>
      </c>
      <c r="F438">
        <v>95</v>
      </c>
      <c r="G438" t="s">
        <v>34</v>
      </c>
      <c r="H438" t="s">
        <v>265</v>
      </c>
      <c r="I438">
        <v>0</v>
      </c>
      <c r="J438">
        <v>0</v>
      </c>
      <c r="K438">
        <v>5.8</v>
      </c>
      <c r="L438">
        <v>1599</v>
      </c>
      <c r="M438" t="s">
        <v>17</v>
      </c>
      <c r="N438" t="str">
        <f t="shared" si="42"/>
        <v>streaming</v>
      </c>
      <c r="O438" t="str">
        <f t="shared" si="43"/>
        <v>non-original</v>
      </c>
      <c r="P438" t="str">
        <f t="shared" si="44"/>
        <v>non-franchise</v>
      </c>
      <c r="Q438" t="str">
        <f t="shared" si="45"/>
        <v>new</v>
      </c>
      <c r="R438" s="2">
        <f t="shared" si="46"/>
        <v>5.676377875942709E-4</v>
      </c>
      <c r="S438">
        <f t="shared" si="47"/>
        <v>0.55928571428571416</v>
      </c>
      <c r="T438" t="str">
        <f t="shared" si="48"/>
        <v>Scenario 3: Strong Convenience</v>
      </c>
    </row>
    <row r="439" spans="1:20" x14ac:dyDescent="0.35">
      <c r="A439" t="s">
        <v>580</v>
      </c>
      <c r="B439" s="1">
        <v>45070</v>
      </c>
      <c r="C439">
        <v>2023</v>
      </c>
      <c r="D439">
        <v>5</v>
      </c>
      <c r="E439" t="s">
        <v>38</v>
      </c>
      <c r="F439">
        <v>103</v>
      </c>
      <c r="G439" t="s">
        <v>21</v>
      </c>
      <c r="H439" t="s">
        <v>24</v>
      </c>
      <c r="I439">
        <v>0</v>
      </c>
      <c r="J439">
        <v>0</v>
      </c>
      <c r="K439">
        <v>4.8</v>
      </c>
      <c r="L439">
        <v>3509</v>
      </c>
      <c r="M439" t="s">
        <v>17</v>
      </c>
      <c r="N439" t="str">
        <f t="shared" si="42"/>
        <v>streaming</v>
      </c>
      <c r="O439" t="str">
        <f t="shared" si="43"/>
        <v>non-original</v>
      </c>
      <c r="P439" t="str">
        <f t="shared" si="44"/>
        <v>non-franchise</v>
      </c>
      <c r="Q439" t="str">
        <f t="shared" si="45"/>
        <v>new</v>
      </c>
      <c r="R439" s="2">
        <f t="shared" si="46"/>
        <v>1.3505784711288931E-3</v>
      </c>
      <c r="S439">
        <f t="shared" si="47"/>
        <v>0.44120300751879693</v>
      </c>
      <c r="T439" t="str">
        <f t="shared" si="48"/>
        <v>Scenario 2: Weak Commitment/Convenience</v>
      </c>
    </row>
    <row r="440" spans="1:20" x14ac:dyDescent="0.35">
      <c r="A440" t="s">
        <v>581</v>
      </c>
      <c r="B440" s="1">
        <v>45070</v>
      </c>
      <c r="C440">
        <v>2023</v>
      </c>
      <c r="D440">
        <v>5</v>
      </c>
      <c r="E440" t="s">
        <v>38</v>
      </c>
      <c r="F440">
        <v>94</v>
      </c>
      <c r="G440" t="s">
        <v>58</v>
      </c>
      <c r="H440" t="s">
        <v>24</v>
      </c>
      <c r="I440">
        <v>0</v>
      </c>
      <c r="J440">
        <v>0</v>
      </c>
      <c r="K440">
        <v>5.3</v>
      </c>
      <c r="L440">
        <v>2945</v>
      </c>
      <c r="M440" t="s">
        <v>88</v>
      </c>
      <c r="N440" t="str">
        <f t="shared" si="42"/>
        <v>streaming</v>
      </c>
      <c r="O440" t="str">
        <f t="shared" si="43"/>
        <v>non-original</v>
      </c>
      <c r="P440" t="str">
        <f t="shared" si="44"/>
        <v>non-franchise</v>
      </c>
      <c r="Q440" t="str">
        <f t="shared" si="45"/>
        <v>new</v>
      </c>
      <c r="R440" s="2">
        <f t="shared" si="46"/>
        <v>1.0344568561911852E-3</v>
      </c>
      <c r="S440">
        <f t="shared" si="47"/>
        <v>0.51406015037593988</v>
      </c>
      <c r="T440" t="str">
        <f t="shared" si="48"/>
        <v>Scenario 3: Strong Convenience</v>
      </c>
    </row>
    <row r="441" spans="1:20" x14ac:dyDescent="0.35">
      <c r="A441" t="s">
        <v>582</v>
      </c>
      <c r="B441" s="1">
        <v>45072</v>
      </c>
      <c r="C441">
        <v>2023</v>
      </c>
      <c r="D441">
        <v>5</v>
      </c>
      <c r="E441" t="s">
        <v>38</v>
      </c>
      <c r="F441">
        <v>95</v>
      </c>
      <c r="G441" t="s">
        <v>583</v>
      </c>
      <c r="H441" t="s">
        <v>27</v>
      </c>
      <c r="I441">
        <v>0</v>
      </c>
      <c r="J441">
        <v>0</v>
      </c>
      <c r="K441">
        <v>7.1</v>
      </c>
      <c r="L441">
        <v>1921</v>
      </c>
      <c r="M441" t="s">
        <v>17</v>
      </c>
      <c r="N441" t="str">
        <f t="shared" si="42"/>
        <v>streaming</v>
      </c>
      <c r="O441" t="str">
        <f t="shared" si="43"/>
        <v>non-original</v>
      </c>
      <c r="P441" t="str">
        <f t="shared" si="44"/>
        <v>non-franchise</v>
      </c>
      <c r="Q441" t="str">
        <f t="shared" si="45"/>
        <v>new</v>
      </c>
      <c r="R441" s="2">
        <f t="shared" si="46"/>
        <v>6.8194633518986513E-4</v>
      </c>
      <c r="S441">
        <f t="shared" si="47"/>
        <v>0.684642857142857</v>
      </c>
      <c r="T441" t="str">
        <f t="shared" si="48"/>
        <v>Scenario 3: Strong Convenience</v>
      </c>
    </row>
    <row r="442" spans="1:20" x14ac:dyDescent="0.35">
      <c r="A442" t="s">
        <v>584</v>
      </c>
      <c r="B442" s="1">
        <v>45078</v>
      </c>
      <c r="C442">
        <v>2023</v>
      </c>
      <c r="D442">
        <v>6</v>
      </c>
      <c r="E442" t="s">
        <v>78</v>
      </c>
      <c r="F442">
        <v>99</v>
      </c>
      <c r="G442" t="s">
        <v>34</v>
      </c>
      <c r="H442" t="s">
        <v>24</v>
      </c>
      <c r="I442">
        <v>0</v>
      </c>
      <c r="J442">
        <v>0</v>
      </c>
      <c r="K442">
        <v>6.4</v>
      </c>
      <c r="L442">
        <v>9380</v>
      </c>
      <c r="M442" t="s">
        <v>88</v>
      </c>
      <c r="N442" t="str">
        <f t="shared" si="42"/>
        <v>streaming</v>
      </c>
      <c r="O442" t="str">
        <f t="shared" si="43"/>
        <v>non-original</v>
      </c>
      <c r="P442" t="str">
        <f t="shared" si="44"/>
        <v>non-franchise</v>
      </c>
      <c r="Q442" t="str">
        <f t="shared" si="45"/>
        <v>new</v>
      </c>
      <c r="R442" s="2">
        <f t="shared" si="46"/>
        <v>3.4700622251788403E-3</v>
      </c>
      <c r="S442">
        <f t="shared" si="47"/>
        <v>0.6027067669172933</v>
      </c>
      <c r="T442" t="str">
        <f t="shared" si="48"/>
        <v>Scenario 3: Strong Convenience</v>
      </c>
    </row>
    <row r="443" spans="1:20" x14ac:dyDescent="0.35">
      <c r="A443" t="s">
        <v>585</v>
      </c>
      <c r="B443" s="1">
        <v>45079</v>
      </c>
      <c r="C443">
        <v>2023</v>
      </c>
      <c r="D443">
        <v>6</v>
      </c>
      <c r="E443" t="s">
        <v>78</v>
      </c>
      <c r="F443">
        <v>107</v>
      </c>
      <c r="G443" t="s">
        <v>29</v>
      </c>
      <c r="H443" t="s">
        <v>30</v>
      </c>
      <c r="I443">
        <v>0</v>
      </c>
      <c r="J443">
        <v>0</v>
      </c>
      <c r="K443">
        <v>4.4000000000000004</v>
      </c>
      <c r="L443">
        <v>299</v>
      </c>
      <c r="M443" t="s">
        <v>17</v>
      </c>
      <c r="N443" t="str">
        <f t="shared" si="42"/>
        <v>streaming</v>
      </c>
      <c r="O443" t="str">
        <f t="shared" si="43"/>
        <v>non-original</v>
      </c>
      <c r="P443" t="str">
        <f t="shared" si="44"/>
        <v>non-franchise</v>
      </c>
      <c r="Q443" t="str">
        <f t="shared" si="45"/>
        <v>new</v>
      </c>
      <c r="R443" s="2">
        <f t="shared" si="46"/>
        <v>1.1955127045524181E-4</v>
      </c>
      <c r="S443">
        <f t="shared" si="47"/>
        <v>0.39451127819548881</v>
      </c>
      <c r="T443" t="str">
        <f t="shared" si="48"/>
        <v>Scenario 2: Weak Commitment/Convenience</v>
      </c>
    </row>
    <row r="444" spans="1:20" x14ac:dyDescent="0.35">
      <c r="A444" t="s">
        <v>586</v>
      </c>
      <c r="B444" s="1">
        <v>45079</v>
      </c>
      <c r="C444">
        <v>2023</v>
      </c>
      <c r="D444">
        <v>6</v>
      </c>
      <c r="E444" t="s">
        <v>78</v>
      </c>
      <c r="F444">
        <v>89</v>
      </c>
      <c r="G444" t="s">
        <v>29</v>
      </c>
      <c r="H444" t="s">
        <v>30</v>
      </c>
      <c r="I444">
        <v>0</v>
      </c>
      <c r="J444">
        <v>0</v>
      </c>
      <c r="K444">
        <v>4.9000000000000004</v>
      </c>
      <c r="L444">
        <v>596</v>
      </c>
      <c r="M444" t="s">
        <v>17</v>
      </c>
      <c r="N444" t="str">
        <f t="shared" si="42"/>
        <v>streaming</v>
      </c>
      <c r="O444" t="str">
        <f t="shared" si="43"/>
        <v>non-original</v>
      </c>
      <c r="P444" t="str">
        <f t="shared" si="44"/>
        <v>non-franchise</v>
      </c>
      <c r="Q444" t="str">
        <f t="shared" si="45"/>
        <v>new</v>
      </c>
      <c r="R444" s="2">
        <f t="shared" si="46"/>
        <v>1.9821453411770845E-4</v>
      </c>
      <c r="S444">
        <f t="shared" si="47"/>
        <v>0.48907894736842111</v>
      </c>
      <c r="T444" t="str">
        <f t="shared" si="48"/>
        <v>Scenario 2: Weak Commitment/Convenience</v>
      </c>
    </row>
    <row r="445" spans="1:20" x14ac:dyDescent="0.35">
      <c r="A445" t="s">
        <v>587</v>
      </c>
      <c r="B445" s="1">
        <v>45086</v>
      </c>
      <c r="C445">
        <v>2023</v>
      </c>
      <c r="D445">
        <v>6</v>
      </c>
      <c r="E445" t="s">
        <v>78</v>
      </c>
      <c r="F445">
        <v>99</v>
      </c>
      <c r="G445" t="s">
        <v>29</v>
      </c>
      <c r="H445" t="s">
        <v>27</v>
      </c>
      <c r="I445">
        <v>0</v>
      </c>
      <c r="J445">
        <v>0</v>
      </c>
      <c r="K445">
        <v>5</v>
      </c>
      <c r="L445">
        <v>2831</v>
      </c>
      <c r="M445" t="s">
        <v>88</v>
      </c>
      <c r="N445" t="str">
        <f t="shared" si="42"/>
        <v>streaming</v>
      </c>
      <c r="O445" t="str">
        <f t="shared" si="43"/>
        <v>non-original</v>
      </c>
      <c r="P445" t="str">
        <f t="shared" si="44"/>
        <v>non-franchise</v>
      </c>
      <c r="Q445" t="str">
        <f t="shared" si="45"/>
        <v>new</v>
      </c>
      <c r="R445" s="2">
        <f t="shared" si="46"/>
        <v>1.0473076929084538E-3</v>
      </c>
      <c r="S445">
        <f t="shared" si="47"/>
        <v>0.47086466165413537</v>
      </c>
      <c r="T445" t="str">
        <f t="shared" si="48"/>
        <v>Scenario 2: Weak Commitment/Convenience</v>
      </c>
    </row>
    <row r="446" spans="1:20" x14ac:dyDescent="0.35">
      <c r="A446" t="s">
        <v>588</v>
      </c>
      <c r="B446" s="1">
        <v>45093</v>
      </c>
      <c r="C446">
        <v>2023</v>
      </c>
      <c r="D446">
        <v>6</v>
      </c>
      <c r="E446" t="s">
        <v>78</v>
      </c>
      <c r="F446">
        <v>113</v>
      </c>
      <c r="G446" t="s">
        <v>400</v>
      </c>
      <c r="H446" t="s">
        <v>27</v>
      </c>
      <c r="I446">
        <v>0</v>
      </c>
      <c r="J446">
        <v>0</v>
      </c>
      <c r="K446">
        <v>7.4</v>
      </c>
      <c r="L446">
        <v>9651</v>
      </c>
      <c r="M446" t="s">
        <v>17</v>
      </c>
      <c r="N446" t="str">
        <f t="shared" si="42"/>
        <v>streaming</v>
      </c>
      <c r="O446" t="str">
        <f t="shared" si="43"/>
        <v>non-original</v>
      </c>
      <c r="P446" t="str">
        <f t="shared" si="44"/>
        <v>non-franchise</v>
      </c>
      <c r="Q446" t="str">
        <f t="shared" si="45"/>
        <v>new</v>
      </c>
      <c r="R446" s="2">
        <f t="shared" si="46"/>
        <v>4.0752099572243889E-3</v>
      </c>
      <c r="S446">
        <f t="shared" si="47"/>
        <v>0.63845864661654128</v>
      </c>
      <c r="T446" t="str">
        <f t="shared" si="48"/>
        <v>Scenario 3: Strong Convenience</v>
      </c>
    </row>
    <row r="447" spans="1:20" x14ac:dyDescent="0.35">
      <c r="A447" t="s">
        <v>589</v>
      </c>
      <c r="B447" s="1">
        <v>45100</v>
      </c>
      <c r="C447">
        <v>2023</v>
      </c>
      <c r="D447">
        <v>6</v>
      </c>
      <c r="E447" t="s">
        <v>78</v>
      </c>
      <c r="F447">
        <v>113</v>
      </c>
      <c r="G447" t="s">
        <v>19</v>
      </c>
      <c r="H447" t="s">
        <v>30</v>
      </c>
      <c r="I447">
        <v>0</v>
      </c>
      <c r="J447">
        <v>0</v>
      </c>
      <c r="K447">
        <v>4.4000000000000004</v>
      </c>
      <c r="L447">
        <v>546</v>
      </c>
      <c r="M447" t="s">
        <v>17</v>
      </c>
      <c r="N447" t="str">
        <f t="shared" si="42"/>
        <v>streaming</v>
      </c>
      <c r="O447" t="str">
        <f t="shared" si="43"/>
        <v>non-original</v>
      </c>
      <c r="P447" t="str">
        <f t="shared" si="44"/>
        <v>non-franchise</v>
      </c>
      <c r="Q447" t="str">
        <f t="shared" si="45"/>
        <v>new</v>
      </c>
      <c r="R447" s="2">
        <f t="shared" si="46"/>
        <v>2.3055275480722375E-4</v>
      </c>
      <c r="S447">
        <f t="shared" si="47"/>
        <v>0.37962406015037603</v>
      </c>
      <c r="T447" t="str">
        <f t="shared" si="48"/>
        <v>Scenario 2: Weak Commitment/Convenience</v>
      </c>
    </row>
    <row r="448" spans="1:20" x14ac:dyDescent="0.35">
      <c r="A448" t="s">
        <v>590</v>
      </c>
      <c r="B448" s="1">
        <v>45100</v>
      </c>
      <c r="C448">
        <v>2023</v>
      </c>
      <c r="D448">
        <v>6</v>
      </c>
      <c r="E448" t="s">
        <v>78</v>
      </c>
      <c r="F448">
        <v>104</v>
      </c>
      <c r="G448" t="s">
        <v>29</v>
      </c>
      <c r="H448" t="s">
        <v>24</v>
      </c>
      <c r="I448">
        <v>0</v>
      </c>
      <c r="J448">
        <v>0</v>
      </c>
      <c r="K448">
        <v>5.7</v>
      </c>
      <c r="L448">
        <v>4073</v>
      </c>
      <c r="M448" t="s">
        <v>88</v>
      </c>
      <c r="N448" t="str">
        <f t="shared" si="42"/>
        <v>streaming</v>
      </c>
      <c r="O448" t="str">
        <f t="shared" si="43"/>
        <v>non-original</v>
      </c>
      <c r="P448" t="str">
        <f t="shared" si="44"/>
        <v>non-franchise</v>
      </c>
      <c r="Q448" t="str">
        <f t="shared" si="45"/>
        <v>new</v>
      </c>
      <c r="R448" s="2">
        <f t="shared" si="46"/>
        <v>1.5828763090262488E-3</v>
      </c>
      <c r="S448">
        <f t="shared" si="47"/>
        <v>0.5207142857142858</v>
      </c>
      <c r="T448" t="str">
        <f t="shared" si="48"/>
        <v>Scenario 3: Strong Convenience</v>
      </c>
    </row>
    <row r="449" spans="1:20" x14ac:dyDescent="0.35">
      <c r="A449" t="s">
        <v>591</v>
      </c>
      <c r="B449" s="1">
        <v>45100</v>
      </c>
      <c r="C449">
        <v>2023</v>
      </c>
      <c r="D449">
        <v>6</v>
      </c>
      <c r="E449" t="s">
        <v>78</v>
      </c>
      <c r="F449">
        <v>99</v>
      </c>
      <c r="G449" t="s">
        <v>29</v>
      </c>
      <c r="H449" t="s">
        <v>24</v>
      </c>
      <c r="I449">
        <v>0</v>
      </c>
      <c r="J449">
        <v>0</v>
      </c>
      <c r="K449">
        <v>5.2</v>
      </c>
      <c r="L449">
        <v>3819</v>
      </c>
      <c r="M449" t="s">
        <v>17</v>
      </c>
      <c r="N449" t="str">
        <f t="shared" si="42"/>
        <v>streaming</v>
      </c>
      <c r="O449" t="str">
        <f t="shared" si="43"/>
        <v>non-original</v>
      </c>
      <c r="P449" t="str">
        <f t="shared" si="44"/>
        <v>non-franchise</v>
      </c>
      <c r="Q449" t="str">
        <f t="shared" si="45"/>
        <v>new</v>
      </c>
      <c r="R449" s="2">
        <f t="shared" si="46"/>
        <v>1.4128110488228136E-3</v>
      </c>
      <c r="S449">
        <f t="shared" si="47"/>
        <v>0.4896992481203008</v>
      </c>
      <c r="T449" t="str">
        <f t="shared" si="48"/>
        <v>Scenario 2: Weak Commitment/Convenience</v>
      </c>
    </row>
    <row r="450" spans="1:20" x14ac:dyDescent="0.35">
      <c r="A450" t="s">
        <v>592</v>
      </c>
      <c r="B450" s="1">
        <v>45106</v>
      </c>
      <c r="C450">
        <v>2023</v>
      </c>
      <c r="D450">
        <v>6</v>
      </c>
      <c r="E450" t="s">
        <v>78</v>
      </c>
      <c r="F450">
        <v>132</v>
      </c>
      <c r="G450" t="s">
        <v>293</v>
      </c>
      <c r="H450" t="s">
        <v>24</v>
      </c>
      <c r="I450">
        <v>0</v>
      </c>
      <c r="J450">
        <v>1</v>
      </c>
      <c r="K450">
        <v>5.7</v>
      </c>
      <c r="L450">
        <v>52034</v>
      </c>
      <c r="M450" t="s">
        <v>17</v>
      </c>
      <c r="N450" t="str">
        <f t="shared" si="42"/>
        <v>streaming</v>
      </c>
      <c r="O450" t="str">
        <f t="shared" si="43"/>
        <v>non-original</v>
      </c>
      <c r="P450" t="str">
        <f t="shared" si="44"/>
        <v>franchise</v>
      </c>
      <c r="Q450" t="str">
        <f t="shared" si="45"/>
        <v>old</v>
      </c>
      <c r="R450" s="2">
        <f t="shared" si="46"/>
        <v>3.8499193566088649E-2</v>
      </c>
      <c r="S450">
        <f t="shared" si="47"/>
        <v>0.2871428571428572</v>
      </c>
      <c r="T450" t="str">
        <f t="shared" si="48"/>
        <v>Scenario 1: Strong Commitment</v>
      </c>
    </row>
    <row r="451" spans="1:20" x14ac:dyDescent="0.35">
      <c r="A451" t="s">
        <v>593</v>
      </c>
      <c r="B451" s="1">
        <v>45107</v>
      </c>
      <c r="C451">
        <v>2023</v>
      </c>
      <c r="D451">
        <v>6</v>
      </c>
      <c r="E451" t="s">
        <v>78</v>
      </c>
      <c r="F451">
        <v>102</v>
      </c>
      <c r="G451" t="s">
        <v>594</v>
      </c>
      <c r="H451" t="s">
        <v>56</v>
      </c>
      <c r="I451">
        <v>1</v>
      </c>
      <c r="J451">
        <v>0</v>
      </c>
      <c r="K451">
        <v>7.5</v>
      </c>
      <c r="L451">
        <v>61297</v>
      </c>
      <c r="M451" t="s">
        <v>88</v>
      </c>
      <c r="N451" t="str">
        <f t="shared" ref="N451:N514" si="49">IF(ISNUMBER(SEARCH("Streaming", M451)), "streaming", "cinema")</f>
        <v>streaming</v>
      </c>
      <c r="O451" t="str">
        <f t="shared" ref="O451:O514" si="50">IF(I451=1, "original", "non-original")</f>
        <v>original</v>
      </c>
      <c r="P451" t="str">
        <f t="shared" ref="P451:P514" si="51">IF(J451 = 1, "franchise", "non-franchise")</f>
        <v>non-franchise</v>
      </c>
      <c r="Q451" t="str">
        <f t="shared" ref="Q451:Q514" si="52">IF(OR(I451 = 1,J451 =1), "old", "new")</f>
        <v>old</v>
      </c>
      <c r="R451" s="2">
        <f t="shared" ref="R451:R514" si="53">IF(Q451="old", 1.5, 1) * (L451 / MAX($L$2:$L$1000)) * (F451 / MAX($F$2:$F$1000))</f>
        <v>3.5045307924843824E-2</v>
      </c>
      <c r="S451">
        <f t="shared" ref="S451:S514" si="54">IF(Q451="new", 1.5, 1) * (K451 / 10) * (1 - (F451 / MAX($F$2:$F$1000)))</f>
        <v>0.46240601503759404</v>
      </c>
      <c r="T451" t="str">
        <f t="shared" ref="T451:T514" si="55">IF(AND(R451&gt;=0.03, S451&gt;=0.5), "Scenario 4: Hybrid Logic",
 IF(AND(R451&gt;=0.03, S451&lt;0.5), "Scenario 1: Strong Commitment",
  IF(AND(R451&lt;0.03, S451&gt;=0.5), "Scenario 3: Strong Convenience",
   "Scenario 2: Weak Commitment/Convenience")))</f>
        <v>Scenario 1: Strong Commitment</v>
      </c>
    </row>
    <row r="452" spans="1:20" x14ac:dyDescent="0.35">
      <c r="A452" t="s">
        <v>595</v>
      </c>
      <c r="B452" s="1">
        <v>45113</v>
      </c>
      <c r="C452">
        <v>2023</v>
      </c>
      <c r="D452">
        <v>7</v>
      </c>
      <c r="E452" t="s">
        <v>78</v>
      </c>
      <c r="F452">
        <v>95</v>
      </c>
      <c r="G452" t="s">
        <v>21</v>
      </c>
      <c r="H452" t="s">
        <v>24</v>
      </c>
      <c r="I452">
        <v>0</v>
      </c>
      <c r="J452">
        <v>0</v>
      </c>
      <c r="K452">
        <v>6.2</v>
      </c>
      <c r="L452">
        <v>3852</v>
      </c>
      <c r="M452" t="s">
        <v>88</v>
      </c>
      <c r="N452" t="str">
        <f t="shared" si="49"/>
        <v>streaming</v>
      </c>
      <c r="O452" t="str">
        <f t="shared" si="50"/>
        <v>non-original</v>
      </c>
      <c r="P452" t="str">
        <f t="shared" si="51"/>
        <v>non-franchise</v>
      </c>
      <c r="Q452" t="str">
        <f t="shared" si="52"/>
        <v>new</v>
      </c>
      <c r="R452" s="2">
        <f t="shared" si="53"/>
        <v>1.3674426252740033E-3</v>
      </c>
      <c r="S452">
        <f t="shared" si="54"/>
        <v>0.59785714285714275</v>
      </c>
      <c r="T452" t="str">
        <f t="shared" si="55"/>
        <v>Scenario 3: Strong Convenience</v>
      </c>
    </row>
    <row r="453" spans="1:20" x14ac:dyDescent="0.35">
      <c r="A453" t="s">
        <v>596</v>
      </c>
      <c r="B453" s="1">
        <v>45114</v>
      </c>
      <c r="C453">
        <v>2023</v>
      </c>
      <c r="D453">
        <v>7</v>
      </c>
      <c r="E453" t="s">
        <v>78</v>
      </c>
      <c r="F453">
        <v>109</v>
      </c>
      <c r="G453" t="s">
        <v>269</v>
      </c>
      <c r="H453" t="s">
        <v>24</v>
      </c>
      <c r="I453">
        <v>0</v>
      </c>
      <c r="J453">
        <v>0</v>
      </c>
      <c r="K453">
        <v>5.0999999999999996</v>
      </c>
      <c r="L453">
        <v>425</v>
      </c>
      <c r="M453" t="s">
        <v>17</v>
      </c>
      <c r="N453" t="str">
        <f t="shared" si="49"/>
        <v>streaming</v>
      </c>
      <c r="O453" t="str">
        <f t="shared" si="50"/>
        <v>non-original</v>
      </c>
      <c r="P453" t="str">
        <f t="shared" si="51"/>
        <v>non-franchise</v>
      </c>
      <c r="Q453" t="str">
        <f t="shared" si="52"/>
        <v>new</v>
      </c>
      <c r="R453" s="2">
        <f t="shared" si="53"/>
        <v>1.7310701102863366E-4</v>
      </c>
      <c r="S453">
        <f t="shared" si="54"/>
        <v>0.45152255639097744</v>
      </c>
      <c r="T453" t="str">
        <f t="shared" si="55"/>
        <v>Scenario 2: Weak Commitment/Convenience</v>
      </c>
    </row>
    <row r="454" spans="1:20" x14ac:dyDescent="0.35">
      <c r="A454" t="s">
        <v>597</v>
      </c>
      <c r="B454" s="1">
        <v>45114</v>
      </c>
      <c r="C454">
        <v>2023</v>
      </c>
      <c r="D454">
        <v>7</v>
      </c>
      <c r="E454" t="s">
        <v>78</v>
      </c>
      <c r="F454">
        <v>95</v>
      </c>
      <c r="G454" t="s">
        <v>41</v>
      </c>
      <c r="H454" t="s">
        <v>24</v>
      </c>
      <c r="I454">
        <v>0</v>
      </c>
      <c r="J454">
        <v>0</v>
      </c>
      <c r="K454">
        <v>5.4</v>
      </c>
      <c r="L454">
        <v>41283</v>
      </c>
      <c r="M454" t="s">
        <v>88</v>
      </c>
      <c r="N454" t="str">
        <f t="shared" si="49"/>
        <v>streaming</v>
      </c>
      <c r="O454" t="str">
        <f t="shared" si="50"/>
        <v>non-original</v>
      </c>
      <c r="P454" t="str">
        <f t="shared" si="51"/>
        <v>non-franchise</v>
      </c>
      <c r="Q454" t="str">
        <f t="shared" si="52"/>
        <v>new</v>
      </c>
      <c r="R454" s="2">
        <f t="shared" si="53"/>
        <v>1.4655278790027693E-2</v>
      </c>
      <c r="S454">
        <f t="shared" si="54"/>
        <v>0.52071428571428569</v>
      </c>
      <c r="T454" t="str">
        <f t="shared" si="55"/>
        <v>Scenario 3: Strong Convenience</v>
      </c>
    </row>
    <row r="455" spans="1:20" x14ac:dyDescent="0.35">
      <c r="A455" t="s">
        <v>598</v>
      </c>
      <c r="B455" s="1">
        <v>45119</v>
      </c>
      <c r="C455">
        <v>2023</v>
      </c>
      <c r="D455">
        <v>7</v>
      </c>
      <c r="E455" t="s">
        <v>78</v>
      </c>
      <c r="F455">
        <v>110</v>
      </c>
      <c r="G455" t="s">
        <v>34</v>
      </c>
      <c r="H455" t="s">
        <v>27</v>
      </c>
      <c r="I455">
        <v>0</v>
      </c>
      <c r="J455">
        <v>0</v>
      </c>
      <c r="K455">
        <v>4.4000000000000004</v>
      </c>
      <c r="L455">
        <v>1531</v>
      </c>
      <c r="M455" t="s">
        <v>17</v>
      </c>
      <c r="N455" t="str">
        <f t="shared" si="49"/>
        <v>streaming</v>
      </c>
      <c r="O455" t="str">
        <f t="shared" si="50"/>
        <v>non-original</v>
      </c>
      <c r="P455" t="str">
        <f t="shared" si="51"/>
        <v>non-franchise</v>
      </c>
      <c r="Q455" t="str">
        <f t="shared" si="52"/>
        <v>new</v>
      </c>
      <c r="R455" s="2">
        <f t="shared" si="53"/>
        <v>6.293135828889842E-4</v>
      </c>
      <c r="S455">
        <f t="shared" si="54"/>
        <v>0.38706766917293245</v>
      </c>
      <c r="T455" t="str">
        <f t="shared" si="55"/>
        <v>Scenario 2: Weak Commitment/Convenience</v>
      </c>
    </row>
    <row r="456" spans="1:20" x14ac:dyDescent="0.35">
      <c r="A456" t="s">
        <v>599</v>
      </c>
      <c r="B456" s="1">
        <v>45121</v>
      </c>
      <c r="C456">
        <v>2023</v>
      </c>
      <c r="D456">
        <v>7</v>
      </c>
      <c r="E456" t="s">
        <v>78</v>
      </c>
      <c r="F456">
        <v>98</v>
      </c>
      <c r="G456" t="s">
        <v>29</v>
      </c>
      <c r="H456" t="s">
        <v>27</v>
      </c>
      <c r="I456">
        <v>0</v>
      </c>
      <c r="J456">
        <v>0</v>
      </c>
      <c r="K456">
        <v>5</v>
      </c>
      <c r="L456">
        <v>2990</v>
      </c>
      <c r="M456" t="s">
        <v>17</v>
      </c>
      <c r="N456" t="str">
        <f t="shared" si="49"/>
        <v>streaming</v>
      </c>
      <c r="O456" t="str">
        <f t="shared" si="50"/>
        <v>non-original</v>
      </c>
      <c r="P456" t="str">
        <f t="shared" si="51"/>
        <v>non-franchise</v>
      </c>
      <c r="Q456" t="str">
        <f t="shared" si="52"/>
        <v>new</v>
      </c>
      <c r="R456" s="2">
        <f t="shared" si="53"/>
        <v>1.0949555611788502E-3</v>
      </c>
      <c r="S456">
        <f t="shared" si="54"/>
        <v>0.47368421052631576</v>
      </c>
      <c r="T456" t="str">
        <f t="shared" si="55"/>
        <v>Scenario 2: Weak Commitment/Convenience</v>
      </c>
    </row>
    <row r="457" spans="1:20" x14ac:dyDescent="0.35">
      <c r="A457" t="s">
        <v>600</v>
      </c>
      <c r="B457" s="1">
        <v>45126</v>
      </c>
      <c r="C457">
        <v>2023</v>
      </c>
      <c r="D457">
        <v>7</v>
      </c>
      <c r="E457" t="s">
        <v>78</v>
      </c>
      <c r="F457">
        <v>96</v>
      </c>
      <c r="G457" t="s">
        <v>21</v>
      </c>
      <c r="H457" t="s">
        <v>30</v>
      </c>
      <c r="I457">
        <v>0</v>
      </c>
      <c r="J457">
        <v>0</v>
      </c>
      <c r="K457">
        <v>6.4</v>
      </c>
      <c r="L457">
        <v>667</v>
      </c>
      <c r="M457" t="s">
        <v>17</v>
      </c>
      <c r="N457" t="str">
        <f t="shared" si="49"/>
        <v>streaming</v>
      </c>
      <c r="O457" t="str">
        <f t="shared" si="50"/>
        <v>non-original</v>
      </c>
      <c r="P457" t="str">
        <f t="shared" si="51"/>
        <v>non-franchise</v>
      </c>
      <c r="Q457" t="str">
        <f t="shared" si="52"/>
        <v>new</v>
      </c>
      <c r="R457" s="2">
        <f t="shared" si="53"/>
        <v>2.3927443346325893E-4</v>
      </c>
      <c r="S457">
        <f t="shared" si="54"/>
        <v>0.61353383458646615</v>
      </c>
      <c r="T457" t="str">
        <f t="shared" si="55"/>
        <v>Scenario 3: Strong Convenience</v>
      </c>
    </row>
    <row r="458" spans="1:20" x14ac:dyDescent="0.35">
      <c r="A458" t="s">
        <v>601</v>
      </c>
      <c r="B458" s="1">
        <v>45128</v>
      </c>
      <c r="C458">
        <v>2023</v>
      </c>
      <c r="D458">
        <v>7</v>
      </c>
      <c r="E458" t="s">
        <v>78</v>
      </c>
      <c r="F458">
        <v>119</v>
      </c>
      <c r="G458" t="s">
        <v>602</v>
      </c>
      <c r="H458" t="s">
        <v>24</v>
      </c>
      <c r="I458">
        <v>0</v>
      </c>
      <c r="J458">
        <v>0</v>
      </c>
      <c r="K458">
        <v>6.7</v>
      </c>
      <c r="L458">
        <v>47398</v>
      </c>
      <c r="M458" t="s">
        <v>17</v>
      </c>
      <c r="N458" t="str">
        <f t="shared" si="49"/>
        <v>streaming</v>
      </c>
      <c r="O458" t="str">
        <f t="shared" si="50"/>
        <v>non-original</v>
      </c>
      <c r="P458" t="str">
        <f t="shared" si="51"/>
        <v>non-franchise</v>
      </c>
      <c r="Q458" t="str">
        <f t="shared" si="52"/>
        <v>new</v>
      </c>
      <c r="R458" s="2">
        <f t="shared" si="53"/>
        <v>2.1076874407760092E-2</v>
      </c>
      <c r="S458">
        <f t="shared" si="54"/>
        <v>0.55539473684210527</v>
      </c>
      <c r="T458" t="str">
        <f t="shared" si="55"/>
        <v>Scenario 3: Strong Convenience</v>
      </c>
    </row>
    <row r="459" spans="1:20" x14ac:dyDescent="0.35">
      <c r="A459" t="s">
        <v>603</v>
      </c>
      <c r="B459" s="1">
        <v>45134</v>
      </c>
      <c r="C459">
        <v>2023</v>
      </c>
      <c r="D459">
        <v>7</v>
      </c>
      <c r="E459" t="s">
        <v>78</v>
      </c>
      <c r="F459">
        <v>103</v>
      </c>
      <c r="G459" t="s">
        <v>29</v>
      </c>
      <c r="H459" t="s">
        <v>27</v>
      </c>
      <c r="I459">
        <v>0</v>
      </c>
      <c r="J459">
        <v>0</v>
      </c>
      <c r="K459">
        <v>6.1</v>
      </c>
      <c r="L459">
        <v>22061</v>
      </c>
      <c r="M459" t="s">
        <v>17</v>
      </c>
      <c r="N459" t="str">
        <f t="shared" si="49"/>
        <v>streaming</v>
      </c>
      <c r="O459" t="str">
        <f t="shared" si="50"/>
        <v>non-original</v>
      </c>
      <c r="P459" t="str">
        <f t="shared" si="51"/>
        <v>non-franchise</v>
      </c>
      <c r="Q459" t="str">
        <f t="shared" si="52"/>
        <v>new</v>
      </c>
      <c r="R459" s="2">
        <f t="shared" si="53"/>
        <v>8.4910549021300977E-3</v>
      </c>
      <c r="S459">
        <f t="shared" si="54"/>
        <v>0.56069548872180452</v>
      </c>
      <c r="T459" t="str">
        <f t="shared" si="55"/>
        <v>Scenario 3: Strong Convenience</v>
      </c>
    </row>
    <row r="460" spans="1:20" x14ac:dyDescent="0.35">
      <c r="A460" t="s">
        <v>604</v>
      </c>
      <c r="B460" s="1">
        <v>45134</v>
      </c>
      <c r="C460">
        <v>2023</v>
      </c>
      <c r="D460">
        <v>7</v>
      </c>
      <c r="E460" t="s">
        <v>78</v>
      </c>
      <c r="F460">
        <v>118</v>
      </c>
      <c r="G460" t="s">
        <v>605</v>
      </c>
      <c r="H460" t="s">
        <v>24</v>
      </c>
      <c r="I460">
        <v>0</v>
      </c>
      <c r="J460">
        <v>0</v>
      </c>
      <c r="K460">
        <v>6.3</v>
      </c>
      <c r="L460">
        <v>25263</v>
      </c>
      <c r="M460" t="s">
        <v>88</v>
      </c>
      <c r="N460" t="str">
        <f t="shared" si="49"/>
        <v>streaming</v>
      </c>
      <c r="O460" t="str">
        <f t="shared" si="50"/>
        <v>non-original</v>
      </c>
      <c r="P460" t="str">
        <f t="shared" si="51"/>
        <v>non-franchise</v>
      </c>
      <c r="Q460" t="str">
        <f t="shared" si="52"/>
        <v>new</v>
      </c>
      <c r="R460" s="2">
        <f t="shared" si="53"/>
        <v>1.1139511829783743E-2</v>
      </c>
      <c r="S460">
        <f t="shared" si="54"/>
        <v>0.52578947368421058</v>
      </c>
      <c r="T460" t="str">
        <f t="shared" si="55"/>
        <v>Scenario 3: Strong Convenience</v>
      </c>
    </row>
    <row r="461" spans="1:20" x14ac:dyDescent="0.35">
      <c r="A461" t="s">
        <v>606</v>
      </c>
      <c r="B461" s="1">
        <v>45134</v>
      </c>
      <c r="C461">
        <v>2023</v>
      </c>
      <c r="D461">
        <v>7</v>
      </c>
      <c r="E461" t="s">
        <v>78</v>
      </c>
      <c r="F461">
        <v>120</v>
      </c>
      <c r="G461" t="s">
        <v>73</v>
      </c>
      <c r="H461" t="s">
        <v>24</v>
      </c>
      <c r="I461">
        <v>0</v>
      </c>
      <c r="J461">
        <v>0</v>
      </c>
      <c r="K461">
        <v>6.2</v>
      </c>
      <c r="L461">
        <v>1261</v>
      </c>
      <c r="M461" t="s">
        <v>17</v>
      </c>
      <c r="N461" t="str">
        <f t="shared" si="49"/>
        <v>streaming</v>
      </c>
      <c r="O461" t="str">
        <f t="shared" si="50"/>
        <v>non-original</v>
      </c>
      <c r="P461" t="str">
        <f t="shared" si="51"/>
        <v>non-franchise</v>
      </c>
      <c r="Q461" t="str">
        <f t="shared" si="52"/>
        <v>new</v>
      </c>
      <c r="R461" s="2">
        <f t="shared" si="53"/>
        <v>5.6545176273832358E-4</v>
      </c>
      <c r="S461">
        <f t="shared" si="54"/>
        <v>0.51045112781954882</v>
      </c>
      <c r="T461" t="str">
        <f t="shared" si="55"/>
        <v>Scenario 3: Strong Convenience</v>
      </c>
    </row>
    <row r="462" spans="1:20" x14ac:dyDescent="0.35">
      <c r="A462" t="s">
        <v>607</v>
      </c>
      <c r="B462" s="1">
        <v>45134</v>
      </c>
      <c r="C462">
        <v>2023</v>
      </c>
      <c r="D462">
        <v>7</v>
      </c>
      <c r="E462" t="s">
        <v>78</v>
      </c>
      <c r="F462">
        <v>118</v>
      </c>
      <c r="G462" t="s">
        <v>608</v>
      </c>
      <c r="H462" t="s">
        <v>27</v>
      </c>
      <c r="I462">
        <v>0</v>
      </c>
      <c r="J462">
        <v>0</v>
      </c>
      <c r="K462">
        <v>5.9</v>
      </c>
      <c r="L462">
        <v>242</v>
      </c>
      <c r="M462" t="s">
        <v>17</v>
      </c>
      <c r="N462" t="str">
        <f t="shared" si="49"/>
        <v>streaming</v>
      </c>
      <c r="O462" t="str">
        <f t="shared" si="50"/>
        <v>non-original</v>
      </c>
      <c r="P462" t="str">
        <f t="shared" si="51"/>
        <v>non-franchise</v>
      </c>
      <c r="Q462" t="str">
        <f t="shared" si="52"/>
        <v>new</v>
      </c>
      <c r="R462" s="2">
        <f t="shared" si="53"/>
        <v>1.0670790732722424E-4</v>
      </c>
      <c r="S462">
        <f t="shared" si="54"/>
        <v>0.49240601503759412</v>
      </c>
      <c r="T462" t="str">
        <f t="shared" si="55"/>
        <v>Scenario 2: Weak Commitment/Convenience</v>
      </c>
    </row>
    <row r="463" spans="1:20" x14ac:dyDescent="0.35">
      <c r="A463" t="s">
        <v>609</v>
      </c>
      <c r="B463" s="1">
        <v>45135</v>
      </c>
      <c r="C463">
        <v>2023</v>
      </c>
      <c r="D463">
        <v>7</v>
      </c>
      <c r="E463" t="s">
        <v>78</v>
      </c>
      <c r="F463">
        <v>92</v>
      </c>
      <c r="G463" t="s">
        <v>21</v>
      </c>
      <c r="H463" t="s">
        <v>24</v>
      </c>
      <c r="I463">
        <v>0</v>
      </c>
      <c r="J463">
        <v>0</v>
      </c>
      <c r="K463">
        <v>4.0999999999999996</v>
      </c>
      <c r="L463">
        <v>314</v>
      </c>
      <c r="M463" t="s">
        <v>17</v>
      </c>
      <c r="N463" t="str">
        <f t="shared" si="49"/>
        <v>streaming</v>
      </c>
      <c r="O463" t="str">
        <f t="shared" si="50"/>
        <v>non-original</v>
      </c>
      <c r="P463" t="str">
        <f t="shared" si="51"/>
        <v>non-franchise</v>
      </c>
      <c r="Q463" t="str">
        <f t="shared" si="52"/>
        <v>new</v>
      </c>
      <c r="R463" s="2">
        <f t="shared" si="53"/>
        <v>1.0794852314290704E-4</v>
      </c>
      <c r="S463">
        <f t="shared" si="54"/>
        <v>0.40229323308270676</v>
      </c>
      <c r="T463" t="str">
        <f t="shared" si="55"/>
        <v>Scenario 2: Weak Commitment/Convenience</v>
      </c>
    </row>
    <row r="464" spans="1:20" x14ac:dyDescent="0.35">
      <c r="A464" t="s">
        <v>610</v>
      </c>
      <c r="B464" s="1">
        <v>45140</v>
      </c>
      <c r="C464">
        <v>2023</v>
      </c>
      <c r="D464">
        <v>8</v>
      </c>
      <c r="E464" t="s">
        <v>78</v>
      </c>
      <c r="F464">
        <v>98</v>
      </c>
      <c r="G464" t="s">
        <v>19</v>
      </c>
      <c r="H464" t="s">
        <v>24</v>
      </c>
      <c r="I464">
        <v>0</v>
      </c>
      <c r="J464">
        <v>0</v>
      </c>
      <c r="K464">
        <v>3.7</v>
      </c>
      <c r="L464">
        <v>1602</v>
      </c>
      <c r="M464" t="s">
        <v>17</v>
      </c>
      <c r="N464" t="str">
        <f t="shared" si="49"/>
        <v>streaming</v>
      </c>
      <c r="O464" t="str">
        <f t="shared" si="50"/>
        <v>non-original</v>
      </c>
      <c r="P464" t="str">
        <f t="shared" si="51"/>
        <v>non-franchise</v>
      </c>
      <c r="Q464" t="str">
        <f t="shared" si="52"/>
        <v>new</v>
      </c>
      <c r="R464" s="2">
        <f t="shared" si="53"/>
        <v>5.8666180903294907E-4</v>
      </c>
      <c r="S464">
        <f t="shared" si="54"/>
        <v>0.35052631578947363</v>
      </c>
      <c r="T464" t="str">
        <f t="shared" si="55"/>
        <v>Scenario 2: Weak Commitment/Convenience</v>
      </c>
    </row>
    <row r="465" spans="1:20" x14ac:dyDescent="0.35">
      <c r="A465" t="s">
        <v>611</v>
      </c>
      <c r="B465" s="1">
        <v>45141</v>
      </c>
      <c r="C465">
        <v>2023</v>
      </c>
      <c r="D465">
        <v>8</v>
      </c>
      <c r="E465" t="s">
        <v>78</v>
      </c>
      <c r="F465">
        <v>94</v>
      </c>
      <c r="G465" t="s">
        <v>612</v>
      </c>
      <c r="H465" t="s">
        <v>30</v>
      </c>
      <c r="I465">
        <v>0</v>
      </c>
      <c r="J465">
        <v>0</v>
      </c>
      <c r="K465">
        <v>6</v>
      </c>
      <c r="L465">
        <v>3479</v>
      </c>
      <c r="M465" t="s">
        <v>17</v>
      </c>
      <c r="N465" t="str">
        <f t="shared" si="49"/>
        <v>streaming</v>
      </c>
      <c r="O465" t="str">
        <f t="shared" si="50"/>
        <v>non-original</v>
      </c>
      <c r="P465" t="str">
        <f t="shared" si="51"/>
        <v>non-franchise</v>
      </c>
      <c r="Q465" t="str">
        <f t="shared" si="52"/>
        <v>new</v>
      </c>
      <c r="R465" s="2">
        <f t="shared" si="53"/>
        <v>1.2220289992153253E-3</v>
      </c>
      <c r="S465">
        <f t="shared" si="54"/>
        <v>0.58195488721804511</v>
      </c>
      <c r="T465" t="str">
        <f t="shared" si="55"/>
        <v>Scenario 3: Strong Convenience</v>
      </c>
    </row>
    <row r="466" spans="1:20" x14ac:dyDescent="0.35">
      <c r="A466" t="s">
        <v>613</v>
      </c>
      <c r="B466" s="1">
        <v>45141</v>
      </c>
      <c r="C466">
        <v>2023</v>
      </c>
      <c r="D466">
        <v>8</v>
      </c>
      <c r="E466" t="s">
        <v>78</v>
      </c>
      <c r="F466">
        <v>129</v>
      </c>
      <c r="G466" t="s">
        <v>614</v>
      </c>
      <c r="H466" t="s">
        <v>24</v>
      </c>
      <c r="I466">
        <v>1</v>
      </c>
      <c r="J466">
        <v>0</v>
      </c>
      <c r="K466">
        <v>5.5</v>
      </c>
      <c r="L466">
        <v>8090</v>
      </c>
      <c r="M466" t="s">
        <v>88</v>
      </c>
      <c r="N466" t="str">
        <f t="shared" si="49"/>
        <v>streaming</v>
      </c>
      <c r="O466" t="str">
        <f t="shared" si="50"/>
        <v>original</v>
      </c>
      <c r="P466" t="str">
        <f t="shared" si="51"/>
        <v>non-franchise</v>
      </c>
      <c r="Q466" t="str">
        <f t="shared" si="52"/>
        <v>old</v>
      </c>
      <c r="R466" s="2">
        <f t="shared" si="53"/>
        <v>5.8496343587563643E-3</v>
      </c>
      <c r="S466">
        <f t="shared" si="54"/>
        <v>0.28327067669172934</v>
      </c>
      <c r="T466" t="str">
        <f t="shared" si="55"/>
        <v>Scenario 2: Weak Commitment/Convenience</v>
      </c>
    </row>
    <row r="467" spans="1:20" x14ac:dyDescent="0.35">
      <c r="A467" t="s">
        <v>615</v>
      </c>
      <c r="B467" s="1">
        <v>45149</v>
      </c>
      <c r="C467">
        <v>2023</v>
      </c>
      <c r="D467">
        <v>8</v>
      </c>
      <c r="E467" t="s">
        <v>78</v>
      </c>
      <c r="F467">
        <v>125</v>
      </c>
      <c r="G467" t="s">
        <v>431</v>
      </c>
      <c r="H467" t="s">
        <v>27</v>
      </c>
      <c r="I467">
        <v>0</v>
      </c>
      <c r="J467">
        <v>0</v>
      </c>
      <c r="K467">
        <v>5.7</v>
      </c>
      <c r="L467">
        <v>67906</v>
      </c>
      <c r="M467" t="s">
        <v>88</v>
      </c>
      <c r="N467" t="str">
        <f t="shared" si="49"/>
        <v>streaming</v>
      </c>
      <c r="O467" t="str">
        <f t="shared" si="50"/>
        <v>non-original</v>
      </c>
      <c r="P467" t="str">
        <f t="shared" si="51"/>
        <v>non-franchise</v>
      </c>
      <c r="Q467" t="str">
        <f t="shared" si="52"/>
        <v>new</v>
      </c>
      <c r="R467" s="2">
        <f t="shared" si="53"/>
        <v>3.1718846980330263E-2</v>
      </c>
      <c r="S467">
        <f t="shared" si="54"/>
        <v>0.45321428571428574</v>
      </c>
      <c r="T467" t="str">
        <f t="shared" si="55"/>
        <v>Scenario 1: Strong Commitment</v>
      </c>
    </row>
    <row r="468" spans="1:20" x14ac:dyDescent="0.35">
      <c r="A468" t="s">
        <v>616</v>
      </c>
      <c r="B468" s="1">
        <v>45156</v>
      </c>
      <c r="C468">
        <v>2023</v>
      </c>
      <c r="D468">
        <v>8</v>
      </c>
      <c r="E468" t="s">
        <v>78</v>
      </c>
      <c r="F468">
        <v>124</v>
      </c>
      <c r="G468" t="s">
        <v>34</v>
      </c>
      <c r="H468" t="s">
        <v>24</v>
      </c>
      <c r="I468">
        <v>0</v>
      </c>
      <c r="J468">
        <v>0</v>
      </c>
      <c r="K468">
        <v>6.1</v>
      </c>
      <c r="L468">
        <v>3453</v>
      </c>
      <c r="M468" t="s">
        <v>17</v>
      </c>
      <c r="N468" t="str">
        <f t="shared" si="49"/>
        <v>streaming</v>
      </c>
      <c r="O468" t="str">
        <f t="shared" si="50"/>
        <v>non-original</v>
      </c>
      <c r="P468" t="str">
        <f t="shared" si="51"/>
        <v>non-franchise</v>
      </c>
      <c r="Q468" t="str">
        <f t="shared" si="52"/>
        <v>new</v>
      </c>
      <c r="R468" s="2">
        <f t="shared" si="53"/>
        <v>1.5999908284112709E-3</v>
      </c>
      <c r="S468">
        <f t="shared" si="54"/>
        <v>0.48845864661654137</v>
      </c>
      <c r="T468" t="str">
        <f t="shared" si="55"/>
        <v>Scenario 2: Weak Commitment/Convenience</v>
      </c>
    </row>
    <row r="469" spans="1:20" x14ac:dyDescent="0.35">
      <c r="A469" t="s">
        <v>617</v>
      </c>
      <c r="B469" s="1">
        <v>45156</v>
      </c>
      <c r="C469">
        <v>2023</v>
      </c>
      <c r="D469">
        <v>8</v>
      </c>
      <c r="E469" t="s">
        <v>78</v>
      </c>
      <c r="F469">
        <v>96</v>
      </c>
      <c r="G469" t="s">
        <v>618</v>
      </c>
      <c r="H469" t="s">
        <v>56</v>
      </c>
      <c r="I469">
        <v>0</v>
      </c>
      <c r="J469">
        <v>0</v>
      </c>
      <c r="K469">
        <v>5.8</v>
      </c>
      <c r="L469">
        <v>7820</v>
      </c>
      <c r="M469" t="s">
        <v>17</v>
      </c>
      <c r="N469" t="str">
        <f t="shared" si="49"/>
        <v>streaming</v>
      </c>
      <c r="O469" t="str">
        <f t="shared" si="50"/>
        <v>non-original</v>
      </c>
      <c r="P469" t="str">
        <f t="shared" si="51"/>
        <v>non-franchise</v>
      </c>
      <c r="Q469" t="str">
        <f t="shared" si="52"/>
        <v>new</v>
      </c>
      <c r="R469" s="2">
        <f t="shared" si="53"/>
        <v>2.8052864612933804E-3</v>
      </c>
      <c r="S469">
        <f t="shared" si="54"/>
        <v>0.55601503759398485</v>
      </c>
      <c r="T469" t="str">
        <f t="shared" si="55"/>
        <v>Scenario 3: Strong Convenience</v>
      </c>
    </row>
    <row r="470" spans="1:20" x14ac:dyDescent="0.35">
      <c r="A470" t="s">
        <v>619</v>
      </c>
      <c r="B470" s="1">
        <v>45161</v>
      </c>
      <c r="C470">
        <v>2023</v>
      </c>
      <c r="D470">
        <v>8</v>
      </c>
      <c r="E470" t="s">
        <v>78</v>
      </c>
      <c r="F470">
        <v>102</v>
      </c>
      <c r="G470" t="s">
        <v>29</v>
      </c>
      <c r="H470" t="s">
        <v>27</v>
      </c>
      <c r="I470">
        <v>0</v>
      </c>
      <c r="J470">
        <v>0</v>
      </c>
      <c r="K470">
        <v>4.5</v>
      </c>
      <c r="L470">
        <v>439</v>
      </c>
      <c r="M470" t="s">
        <v>17</v>
      </c>
      <c r="N470" t="str">
        <f t="shared" si="49"/>
        <v>streaming</v>
      </c>
      <c r="O470" t="str">
        <f t="shared" si="50"/>
        <v>non-original</v>
      </c>
      <c r="P470" t="str">
        <f t="shared" si="51"/>
        <v>non-franchise</v>
      </c>
      <c r="Q470" t="str">
        <f t="shared" si="52"/>
        <v>new</v>
      </c>
      <c r="R470" s="2">
        <f t="shared" si="53"/>
        <v>1.673261897429068E-4</v>
      </c>
      <c r="S470">
        <f t="shared" si="54"/>
        <v>0.41616541353383468</v>
      </c>
      <c r="T470" t="str">
        <f t="shared" si="55"/>
        <v>Scenario 2: Weak Commitment/Convenience</v>
      </c>
    </row>
    <row r="471" spans="1:20" x14ac:dyDescent="0.35">
      <c r="A471" t="s">
        <v>620</v>
      </c>
      <c r="B471" s="1">
        <v>45163</v>
      </c>
      <c r="C471">
        <v>2023</v>
      </c>
      <c r="D471">
        <v>8</v>
      </c>
      <c r="E471" t="s">
        <v>78</v>
      </c>
      <c r="F471">
        <v>89</v>
      </c>
      <c r="G471" t="s">
        <v>304</v>
      </c>
      <c r="H471" t="s">
        <v>24</v>
      </c>
      <c r="I471">
        <v>0</v>
      </c>
      <c r="J471">
        <v>0</v>
      </c>
      <c r="K471">
        <v>4.5999999999999996</v>
      </c>
      <c r="L471">
        <v>5853</v>
      </c>
      <c r="M471" t="s">
        <v>17</v>
      </c>
      <c r="N471" t="str">
        <f t="shared" si="49"/>
        <v>streaming</v>
      </c>
      <c r="O471" t="str">
        <f t="shared" si="50"/>
        <v>non-original</v>
      </c>
      <c r="P471" t="str">
        <f t="shared" si="51"/>
        <v>non-franchise</v>
      </c>
      <c r="Q471" t="str">
        <f t="shared" si="52"/>
        <v>new</v>
      </c>
      <c r="R471" s="2">
        <f t="shared" si="53"/>
        <v>1.9465598459579658E-3</v>
      </c>
      <c r="S471">
        <f t="shared" si="54"/>
        <v>0.45913533834586462</v>
      </c>
      <c r="T471" t="str">
        <f t="shared" si="55"/>
        <v>Scenario 2: Weak Commitment/Convenience</v>
      </c>
    </row>
    <row r="472" spans="1:20" x14ac:dyDescent="0.35">
      <c r="A472" t="s">
        <v>621</v>
      </c>
      <c r="B472" s="1">
        <v>45163</v>
      </c>
      <c r="C472">
        <v>2023</v>
      </c>
      <c r="D472">
        <v>8</v>
      </c>
      <c r="E472" t="s">
        <v>78</v>
      </c>
      <c r="F472">
        <v>103</v>
      </c>
      <c r="G472" t="s">
        <v>448</v>
      </c>
      <c r="H472" t="s">
        <v>27</v>
      </c>
      <c r="I472">
        <v>0</v>
      </c>
      <c r="J472">
        <v>0</v>
      </c>
      <c r="K472">
        <v>5.9</v>
      </c>
      <c r="L472">
        <v>27751</v>
      </c>
      <c r="M472" t="s">
        <v>88</v>
      </c>
      <c r="N472" t="str">
        <f t="shared" si="49"/>
        <v>streaming</v>
      </c>
      <c r="O472" t="str">
        <f t="shared" si="50"/>
        <v>non-original</v>
      </c>
      <c r="P472" t="str">
        <f t="shared" si="51"/>
        <v>non-franchise</v>
      </c>
      <c r="Q472" t="str">
        <f t="shared" si="52"/>
        <v>new</v>
      </c>
      <c r="R472" s="2">
        <f t="shared" si="53"/>
        <v>1.0681078128326565E-2</v>
      </c>
      <c r="S472">
        <f t="shared" si="54"/>
        <v>0.54231203007518802</v>
      </c>
      <c r="T472" t="str">
        <f t="shared" si="55"/>
        <v>Scenario 3: Strong Convenience</v>
      </c>
    </row>
    <row r="473" spans="1:20" x14ac:dyDescent="0.35">
      <c r="A473" t="s">
        <v>622</v>
      </c>
      <c r="B473" s="1">
        <v>45168</v>
      </c>
      <c r="C473">
        <v>2023</v>
      </c>
      <c r="D473">
        <v>8</v>
      </c>
      <c r="E473" t="s">
        <v>78</v>
      </c>
      <c r="F473">
        <v>95</v>
      </c>
      <c r="G473" t="s">
        <v>21</v>
      </c>
      <c r="H473" t="s">
        <v>24</v>
      </c>
      <c r="I473">
        <v>0</v>
      </c>
      <c r="J473">
        <v>0</v>
      </c>
      <c r="K473">
        <v>6.5</v>
      </c>
      <c r="L473">
        <v>1826</v>
      </c>
      <c r="M473" t="s">
        <v>88</v>
      </c>
      <c r="N473" t="str">
        <f t="shared" si="49"/>
        <v>streaming</v>
      </c>
      <c r="O473" t="str">
        <f t="shared" si="50"/>
        <v>non-original</v>
      </c>
      <c r="P473" t="str">
        <f t="shared" si="51"/>
        <v>non-franchise</v>
      </c>
      <c r="Q473" t="str">
        <f t="shared" si="52"/>
        <v>new</v>
      </c>
      <c r="R473" s="2">
        <f t="shared" si="53"/>
        <v>6.4822176369427051E-4</v>
      </c>
      <c r="S473">
        <f t="shared" si="54"/>
        <v>0.62678571428571428</v>
      </c>
      <c r="T473" t="str">
        <f t="shared" si="55"/>
        <v>Scenario 3: Strong Convenience</v>
      </c>
    </row>
    <row r="474" spans="1:20" x14ac:dyDescent="0.35">
      <c r="A474" t="s">
        <v>623</v>
      </c>
      <c r="B474" s="1">
        <v>45170</v>
      </c>
      <c r="C474">
        <v>2023</v>
      </c>
      <c r="D474">
        <v>9</v>
      </c>
      <c r="E474" t="s">
        <v>125</v>
      </c>
      <c r="F474">
        <v>95</v>
      </c>
      <c r="G474" t="s">
        <v>19</v>
      </c>
      <c r="H474" t="s">
        <v>24</v>
      </c>
      <c r="I474">
        <v>0</v>
      </c>
      <c r="J474">
        <v>0</v>
      </c>
      <c r="K474">
        <v>5.8</v>
      </c>
      <c r="L474">
        <v>3574</v>
      </c>
      <c r="M474" t="s">
        <v>17</v>
      </c>
      <c r="N474" t="str">
        <f t="shared" si="49"/>
        <v>streaming</v>
      </c>
      <c r="O474" t="str">
        <f t="shared" si="50"/>
        <v>non-original</v>
      </c>
      <c r="P474" t="str">
        <f t="shared" si="51"/>
        <v>non-franchise</v>
      </c>
      <c r="Q474" t="str">
        <f t="shared" si="52"/>
        <v>new</v>
      </c>
      <c r="R474" s="2">
        <f t="shared" si="53"/>
        <v>1.2687538792132108E-3</v>
      </c>
      <c r="S474">
        <f t="shared" si="54"/>
        <v>0.55928571428571416</v>
      </c>
      <c r="T474" t="str">
        <f t="shared" si="55"/>
        <v>Scenario 3: Strong Convenience</v>
      </c>
    </row>
    <row r="475" spans="1:20" x14ac:dyDescent="0.35">
      <c r="A475" t="s">
        <v>624</v>
      </c>
      <c r="B475" s="1">
        <v>45170</v>
      </c>
      <c r="C475">
        <v>2023</v>
      </c>
      <c r="D475">
        <v>9</v>
      </c>
      <c r="E475" t="s">
        <v>125</v>
      </c>
      <c r="F475">
        <v>108</v>
      </c>
      <c r="G475" t="s">
        <v>448</v>
      </c>
      <c r="H475" t="s">
        <v>24</v>
      </c>
      <c r="I475">
        <v>0</v>
      </c>
      <c r="J475">
        <v>0</v>
      </c>
      <c r="K475">
        <v>6.6</v>
      </c>
      <c r="L475">
        <v>2116</v>
      </c>
      <c r="M475" t="s">
        <v>17</v>
      </c>
      <c r="N475" t="str">
        <f t="shared" si="49"/>
        <v>streaming</v>
      </c>
      <c r="O475" t="str">
        <f t="shared" si="50"/>
        <v>non-original</v>
      </c>
      <c r="P475" t="str">
        <f t="shared" si="51"/>
        <v>non-franchise</v>
      </c>
      <c r="Q475" t="str">
        <f t="shared" si="52"/>
        <v>new</v>
      </c>
      <c r="R475" s="2">
        <f t="shared" si="53"/>
        <v>8.5396220218783786E-4</v>
      </c>
      <c r="S475">
        <f t="shared" si="54"/>
        <v>0.58804511278195482</v>
      </c>
      <c r="T475" t="str">
        <f t="shared" si="55"/>
        <v>Scenario 3: Strong Convenience</v>
      </c>
    </row>
    <row r="476" spans="1:20" x14ac:dyDescent="0.35">
      <c r="A476" t="s">
        <v>625</v>
      </c>
      <c r="B476" s="1">
        <v>45170</v>
      </c>
      <c r="C476">
        <v>2023</v>
      </c>
      <c r="D476">
        <v>9</v>
      </c>
      <c r="E476" t="s">
        <v>125</v>
      </c>
      <c r="F476">
        <v>93</v>
      </c>
      <c r="G476" t="s">
        <v>21</v>
      </c>
      <c r="H476" t="s">
        <v>24</v>
      </c>
      <c r="I476">
        <v>0</v>
      </c>
      <c r="J476">
        <v>0</v>
      </c>
      <c r="K476">
        <v>5.4</v>
      </c>
      <c r="L476">
        <v>2370</v>
      </c>
      <c r="M476" t="s">
        <v>17</v>
      </c>
      <c r="N476" t="str">
        <f t="shared" si="49"/>
        <v>streaming</v>
      </c>
      <c r="O476" t="str">
        <f t="shared" si="50"/>
        <v>non-original</v>
      </c>
      <c r="P476" t="str">
        <f t="shared" si="51"/>
        <v>non-franchise</v>
      </c>
      <c r="Q476" t="str">
        <f t="shared" si="52"/>
        <v>new</v>
      </c>
      <c r="R476" s="2">
        <f t="shared" si="53"/>
        <v>8.2362690341761789E-4</v>
      </c>
      <c r="S476">
        <f t="shared" si="54"/>
        <v>0.5268045112781955</v>
      </c>
      <c r="T476" t="str">
        <f t="shared" si="55"/>
        <v>Scenario 3: Strong Convenience</v>
      </c>
    </row>
    <row r="477" spans="1:20" x14ac:dyDescent="0.35">
      <c r="A477" t="s">
        <v>626</v>
      </c>
      <c r="B477" s="1">
        <v>45182</v>
      </c>
      <c r="C477">
        <v>2023</v>
      </c>
      <c r="D477">
        <v>9</v>
      </c>
      <c r="E477" t="s">
        <v>125</v>
      </c>
      <c r="F477">
        <v>88</v>
      </c>
      <c r="G477" t="s">
        <v>19</v>
      </c>
      <c r="H477" t="s">
        <v>30</v>
      </c>
      <c r="I477">
        <v>0</v>
      </c>
      <c r="J477">
        <v>0</v>
      </c>
      <c r="K477">
        <v>4.8</v>
      </c>
      <c r="L477">
        <v>1469</v>
      </c>
      <c r="M477" t="s">
        <v>17</v>
      </c>
      <c r="N477" t="str">
        <f t="shared" si="49"/>
        <v>streaming</v>
      </c>
      <c r="O477" t="str">
        <f t="shared" si="50"/>
        <v>non-original</v>
      </c>
      <c r="P477" t="str">
        <f t="shared" si="51"/>
        <v>non-franchise</v>
      </c>
      <c r="Q477" t="str">
        <f t="shared" si="52"/>
        <v>new</v>
      </c>
      <c r="R477" s="2">
        <f t="shared" si="53"/>
        <v>4.8306291483418305E-4</v>
      </c>
      <c r="S477">
        <f t="shared" si="54"/>
        <v>0.48180451127819546</v>
      </c>
      <c r="T477" t="str">
        <f t="shared" si="55"/>
        <v>Scenario 2: Weak Commitment/Convenience</v>
      </c>
    </row>
    <row r="478" spans="1:20" x14ac:dyDescent="0.35">
      <c r="A478" t="s">
        <v>627</v>
      </c>
      <c r="B478" s="1">
        <v>45183</v>
      </c>
      <c r="C478">
        <v>2023</v>
      </c>
      <c r="D478">
        <v>9</v>
      </c>
      <c r="E478" t="s">
        <v>125</v>
      </c>
      <c r="F478">
        <v>94</v>
      </c>
      <c r="G478" t="s">
        <v>29</v>
      </c>
      <c r="H478" t="s">
        <v>24</v>
      </c>
      <c r="I478">
        <v>0</v>
      </c>
      <c r="J478">
        <v>0</v>
      </c>
      <c r="K478">
        <v>5.8</v>
      </c>
      <c r="L478">
        <v>3458</v>
      </c>
      <c r="M478" t="s">
        <v>17</v>
      </c>
      <c r="N478" t="str">
        <f t="shared" si="49"/>
        <v>streaming</v>
      </c>
      <c r="O478" t="str">
        <f t="shared" si="50"/>
        <v>non-original</v>
      </c>
      <c r="P478" t="str">
        <f t="shared" si="51"/>
        <v>non-franchise</v>
      </c>
      <c r="Q478" t="str">
        <f t="shared" si="52"/>
        <v>new</v>
      </c>
      <c r="R478" s="2">
        <f t="shared" si="53"/>
        <v>1.2146525666244883E-3</v>
      </c>
      <c r="S478">
        <f t="shared" si="54"/>
        <v>0.56255639097744359</v>
      </c>
      <c r="T478" t="str">
        <f t="shared" si="55"/>
        <v>Scenario 3: Strong Convenience</v>
      </c>
    </row>
    <row r="479" spans="1:20" x14ac:dyDescent="0.35">
      <c r="A479" t="s">
        <v>628</v>
      </c>
      <c r="B479" s="1">
        <v>45183</v>
      </c>
      <c r="C479">
        <v>2023</v>
      </c>
      <c r="D479">
        <v>9</v>
      </c>
      <c r="E479" t="s">
        <v>125</v>
      </c>
      <c r="F479">
        <v>107</v>
      </c>
      <c r="G479" t="s">
        <v>343</v>
      </c>
      <c r="H479" t="s">
        <v>56</v>
      </c>
      <c r="I479">
        <v>0</v>
      </c>
      <c r="J479">
        <v>0</v>
      </c>
      <c r="K479">
        <v>5.3</v>
      </c>
      <c r="L479">
        <v>2395</v>
      </c>
      <c r="M479" t="s">
        <v>17</v>
      </c>
      <c r="N479" t="str">
        <f t="shared" si="49"/>
        <v>streaming</v>
      </c>
      <c r="O479" t="str">
        <f t="shared" si="50"/>
        <v>non-original</v>
      </c>
      <c r="P479" t="str">
        <f t="shared" si="51"/>
        <v>non-franchise</v>
      </c>
      <c r="Q479" t="str">
        <f t="shared" si="52"/>
        <v>new</v>
      </c>
      <c r="R479" s="2">
        <f t="shared" si="53"/>
        <v>9.5760967471673626E-4</v>
      </c>
      <c r="S479">
        <f t="shared" si="54"/>
        <v>0.4752067669172933</v>
      </c>
      <c r="T479" t="str">
        <f t="shared" si="55"/>
        <v>Scenario 2: Weak Commitment/Convenience</v>
      </c>
    </row>
    <row r="480" spans="1:20" x14ac:dyDescent="0.35">
      <c r="A480" t="s">
        <v>629</v>
      </c>
      <c r="B480" s="1">
        <v>45184</v>
      </c>
      <c r="C480">
        <v>2023</v>
      </c>
      <c r="D480">
        <v>9</v>
      </c>
      <c r="E480" t="s">
        <v>125</v>
      </c>
      <c r="F480">
        <v>111</v>
      </c>
      <c r="G480" t="s">
        <v>73</v>
      </c>
      <c r="H480" t="s">
        <v>24</v>
      </c>
      <c r="I480">
        <v>0</v>
      </c>
      <c r="J480">
        <v>0</v>
      </c>
      <c r="K480">
        <v>6.3</v>
      </c>
      <c r="L480">
        <v>16214</v>
      </c>
      <c r="M480" t="s">
        <v>17</v>
      </c>
      <c r="N480" t="str">
        <f t="shared" si="49"/>
        <v>streaming</v>
      </c>
      <c r="O480" t="str">
        <f t="shared" si="50"/>
        <v>non-original</v>
      </c>
      <c r="P480" t="str">
        <f t="shared" si="51"/>
        <v>non-franchise</v>
      </c>
      <c r="Q480" t="str">
        <f t="shared" si="52"/>
        <v>new</v>
      </c>
      <c r="R480" s="2">
        <f t="shared" si="53"/>
        <v>6.7253110745132769E-3</v>
      </c>
      <c r="S480">
        <f t="shared" si="54"/>
        <v>0.55065789473684212</v>
      </c>
      <c r="T480" t="str">
        <f t="shared" si="55"/>
        <v>Scenario 3: Strong Convenience</v>
      </c>
    </row>
    <row r="481" spans="1:20" x14ac:dyDescent="0.35">
      <c r="A481" t="s">
        <v>630</v>
      </c>
      <c r="B481" s="1">
        <v>45184</v>
      </c>
      <c r="C481">
        <v>2023</v>
      </c>
      <c r="D481">
        <v>9</v>
      </c>
      <c r="E481" t="s">
        <v>125</v>
      </c>
      <c r="F481">
        <v>91</v>
      </c>
      <c r="G481" t="s">
        <v>269</v>
      </c>
      <c r="H481" t="s">
        <v>27</v>
      </c>
      <c r="I481">
        <v>0</v>
      </c>
      <c r="J481">
        <v>0</v>
      </c>
      <c r="K481">
        <v>6.8</v>
      </c>
      <c r="L481">
        <v>42211</v>
      </c>
      <c r="M481" t="s">
        <v>17</v>
      </c>
      <c r="N481" t="str">
        <f t="shared" si="49"/>
        <v>streaming</v>
      </c>
      <c r="O481" t="str">
        <f t="shared" si="50"/>
        <v>non-original</v>
      </c>
      <c r="P481" t="str">
        <f t="shared" si="51"/>
        <v>non-franchise</v>
      </c>
      <c r="Q481" t="str">
        <f t="shared" si="52"/>
        <v>new</v>
      </c>
      <c r="R481" s="2">
        <f t="shared" si="53"/>
        <v>1.4353779252459767E-2</v>
      </c>
      <c r="S481">
        <f t="shared" si="54"/>
        <v>0.67105263157894746</v>
      </c>
      <c r="T481" t="str">
        <f t="shared" si="55"/>
        <v>Scenario 3: Strong Convenience</v>
      </c>
    </row>
    <row r="482" spans="1:20" x14ac:dyDescent="0.35">
      <c r="A482" t="s">
        <v>631</v>
      </c>
      <c r="B482" s="1">
        <v>45184</v>
      </c>
      <c r="C482">
        <v>2023</v>
      </c>
      <c r="D482">
        <v>9</v>
      </c>
      <c r="E482" t="s">
        <v>125</v>
      </c>
      <c r="F482">
        <v>103</v>
      </c>
      <c r="G482" t="s">
        <v>632</v>
      </c>
      <c r="H482" t="s">
        <v>24</v>
      </c>
      <c r="I482">
        <v>0</v>
      </c>
      <c r="J482">
        <v>0</v>
      </c>
      <c r="K482">
        <v>5.3</v>
      </c>
      <c r="L482">
        <v>11259</v>
      </c>
      <c r="M482" t="s">
        <v>88</v>
      </c>
      <c r="N482" t="str">
        <f t="shared" si="49"/>
        <v>streaming</v>
      </c>
      <c r="O482" t="str">
        <f t="shared" si="50"/>
        <v>non-original</v>
      </c>
      <c r="P482" t="str">
        <f t="shared" si="51"/>
        <v>non-franchise</v>
      </c>
      <c r="Q482" t="str">
        <f t="shared" si="52"/>
        <v>new</v>
      </c>
      <c r="R482" s="2">
        <f t="shared" si="53"/>
        <v>4.3334747809746959E-3</v>
      </c>
      <c r="S482">
        <f t="shared" si="54"/>
        <v>0.4871616541353383</v>
      </c>
      <c r="T482" t="str">
        <f t="shared" si="55"/>
        <v>Scenario 2: Weak Commitment/Convenience</v>
      </c>
    </row>
    <row r="483" spans="1:20" x14ac:dyDescent="0.35">
      <c r="A483" t="s">
        <v>633</v>
      </c>
      <c r="B483" s="1">
        <v>45190</v>
      </c>
      <c r="C483">
        <v>2023</v>
      </c>
      <c r="D483">
        <v>9</v>
      </c>
      <c r="E483" t="s">
        <v>125</v>
      </c>
      <c r="F483">
        <v>139</v>
      </c>
      <c r="G483" t="s">
        <v>19</v>
      </c>
      <c r="H483" t="s">
        <v>24</v>
      </c>
      <c r="I483">
        <v>0</v>
      </c>
      <c r="J483">
        <v>0</v>
      </c>
      <c r="K483">
        <v>7</v>
      </c>
      <c r="L483">
        <v>16721</v>
      </c>
      <c r="M483" t="s">
        <v>17</v>
      </c>
      <c r="N483" t="str">
        <f t="shared" si="49"/>
        <v>streaming</v>
      </c>
      <c r="O483" t="str">
        <f t="shared" si="50"/>
        <v>non-original</v>
      </c>
      <c r="P483" t="str">
        <f t="shared" si="51"/>
        <v>non-franchise</v>
      </c>
      <c r="Q483" t="str">
        <f t="shared" si="52"/>
        <v>new</v>
      </c>
      <c r="R483" s="2">
        <f t="shared" si="53"/>
        <v>8.6851290678026973E-3</v>
      </c>
      <c r="S483">
        <f t="shared" si="54"/>
        <v>0.50131578947368405</v>
      </c>
      <c r="T483" t="str">
        <f t="shared" si="55"/>
        <v>Scenario 3: Strong Convenience</v>
      </c>
    </row>
    <row r="484" spans="1:20" x14ac:dyDescent="0.35">
      <c r="A484" t="s">
        <v>634</v>
      </c>
      <c r="B484" s="1">
        <v>45191</v>
      </c>
      <c r="C484">
        <v>2023</v>
      </c>
      <c r="D484">
        <v>9</v>
      </c>
      <c r="E484" t="s">
        <v>125</v>
      </c>
      <c r="F484">
        <v>97</v>
      </c>
      <c r="G484" t="s">
        <v>635</v>
      </c>
      <c r="H484" t="s">
        <v>56</v>
      </c>
      <c r="I484">
        <v>0</v>
      </c>
      <c r="J484">
        <v>0</v>
      </c>
      <c r="K484">
        <v>4.3</v>
      </c>
      <c r="L484">
        <v>4428</v>
      </c>
      <c r="M484" t="s">
        <v>17</v>
      </c>
      <c r="N484" t="str">
        <f t="shared" si="49"/>
        <v>streaming</v>
      </c>
      <c r="O484" t="str">
        <f t="shared" si="50"/>
        <v>non-original</v>
      </c>
      <c r="P484" t="str">
        <f t="shared" si="51"/>
        <v>non-franchise</v>
      </c>
      <c r="Q484" t="str">
        <f t="shared" si="52"/>
        <v>new</v>
      </c>
      <c r="R484" s="2">
        <f t="shared" si="53"/>
        <v>1.6050130803880111E-3</v>
      </c>
      <c r="S484">
        <f t="shared" si="54"/>
        <v>0.40979323308270676</v>
      </c>
      <c r="T484" t="str">
        <f t="shared" si="55"/>
        <v>Scenario 2: Weak Commitment/Convenience</v>
      </c>
    </row>
    <row r="485" spans="1:20" x14ac:dyDescent="0.35">
      <c r="A485" t="s">
        <v>636</v>
      </c>
      <c r="B485" s="1">
        <v>45191</v>
      </c>
      <c r="C485">
        <v>2023</v>
      </c>
      <c r="D485">
        <v>9</v>
      </c>
      <c r="E485" t="s">
        <v>125</v>
      </c>
      <c r="F485">
        <v>124</v>
      </c>
      <c r="G485" t="s">
        <v>19</v>
      </c>
      <c r="H485" t="s">
        <v>24</v>
      </c>
      <c r="I485">
        <v>0</v>
      </c>
      <c r="J485">
        <v>0</v>
      </c>
      <c r="K485">
        <v>5.3</v>
      </c>
      <c r="L485">
        <v>1514</v>
      </c>
      <c r="M485" t="s">
        <v>17</v>
      </c>
      <c r="N485" t="str">
        <f t="shared" si="49"/>
        <v>streaming</v>
      </c>
      <c r="O485" t="str">
        <f t="shared" si="50"/>
        <v>non-original</v>
      </c>
      <c r="P485" t="str">
        <f t="shared" si="51"/>
        <v>non-franchise</v>
      </c>
      <c r="Q485" t="str">
        <f t="shared" si="52"/>
        <v>new</v>
      </c>
      <c r="R485" s="2">
        <f t="shared" si="53"/>
        <v>7.015308758223759E-4</v>
      </c>
      <c r="S485">
        <f t="shared" si="54"/>
        <v>0.42439849624060155</v>
      </c>
      <c r="T485" t="str">
        <f t="shared" si="55"/>
        <v>Scenario 2: Weak Commitment/Convenience</v>
      </c>
    </row>
    <row r="486" spans="1:20" x14ac:dyDescent="0.35">
      <c r="A486" t="s">
        <v>637</v>
      </c>
      <c r="B486" s="1">
        <v>45196</v>
      </c>
      <c r="C486">
        <v>2023</v>
      </c>
      <c r="D486">
        <v>9</v>
      </c>
      <c r="E486" t="s">
        <v>125</v>
      </c>
      <c r="F486">
        <v>140</v>
      </c>
      <c r="G486" t="s">
        <v>34</v>
      </c>
      <c r="H486" t="s">
        <v>27</v>
      </c>
      <c r="I486">
        <v>0</v>
      </c>
      <c r="J486">
        <v>0</v>
      </c>
      <c r="K486">
        <v>7.5</v>
      </c>
      <c r="L486">
        <v>13667</v>
      </c>
      <c r="M486" t="s">
        <v>88</v>
      </c>
      <c r="N486" t="str">
        <f t="shared" si="49"/>
        <v>streaming</v>
      </c>
      <c r="O486" t="str">
        <f t="shared" si="50"/>
        <v>non-original</v>
      </c>
      <c r="P486" t="str">
        <f t="shared" si="51"/>
        <v>non-franchise</v>
      </c>
      <c r="Q486" t="str">
        <f t="shared" si="52"/>
        <v>new</v>
      </c>
      <c r="R486" s="2">
        <f t="shared" si="53"/>
        <v>7.149908100636094E-3</v>
      </c>
      <c r="S486">
        <f t="shared" si="54"/>
        <v>0.53289473684210531</v>
      </c>
      <c r="T486" t="str">
        <f t="shared" si="55"/>
        <v>Scenario 3: Strong Convenience</v>
      </c>
    </row>
    <row r="487" spans="1:20" x14ac:dyDescent="0.35">
      <c r="A487" t="s">
        <v>638</v>
      </c>
      <c r="B487" s="1">
        <v>45196</v>
      </c>
      <c r="C487">
        <v>2023</v>
      </c>
      <c r="D487">
        <v>9</v>
      </c>
      <c r="E487" t="s">
        <v>125</v>
      </c>
      <c r="F487">
        <v>98</v>
      </c>
      <c r="G487" t="s">
        <v>411</v>
      </c>
      <c r="H487" t="s">
        <v>24</v>
      </c>
      <c r="I487">
        <v>0</v>
      </c>
      <c r="J487">
        <v>0</v>
      </c>
      <c r="K487">
        <v>4.9000000000000004</v>
      </c>
      <c r="L487">
        <v>978</v>
      </c>
      <c r="M487" t="s">
        <v>17</v>
      </c>
      <c r="N487" t="str">
        <f t="shared" si="49"/>
        <v>streaming</v>
      </c>
      <c r="O487" t="str">
        <f t="shared" si="50"/>
        <v>non-original</v>
      </c>
      <c r="P487" t="str">
        <f t="shared" si="51"/>
        <v>non-franchise</v>
      </c>
      <c r="Q487" t="str">
        <f t="shared" si="52"/>
        <v>new</v>
      </c>
      <c r="R487" s="2">
        <f t="shared" si="53"/>
        <v>3.5814934409127608E-4</v>
      </c>
      <c r="S487">
        <f t="shared" si="54"/>
        <v>0.46421052631578952</v>
      </c>
      <c r="T487" t="str">
        <f t="shared" si="55"/>
        <v>Scenario 2: Weak Commitment/Convenience</v>
      </c>
    </row>
    <row r="488" spans="1:20" x14ac:dyDescent="0.35">
      <c r="A488" t="s">
        <v>639</v>
      </c>
      <c r="B488" s="1">
        <v>45196</v>
      </c>
      <c r="C488">
        <v>2023</v>
      </c>
      <c r="D488">
        <v>9</v>
      </c>
      <c r="E488" t="s">
        <v>125</v>
      </c>
      <c r="F488">
        <v>98</v>
      </c>
      <c r="G488" t="s">
        <v>34</v>
      </c>
      <c r="H488" t="s">
        <v>24</v>
      </c>
      <c r="I488">
        <v>0</v>
      </c>
      <c r="J488">
        <v>0</v>
      </c>
      <c r="K488">
        <v>5.3</v>
      </c>
      <c r="L488">
        <v>599</v>
      </c>
      <c r="M488" t="s">
        <v>17</v>
      </c>
      <c r="N488" t="str">
        <f t="shared" si="49"/>
        <v>streaming</v>
      </c>
      <c r="O488" t="str">
        <f t="shared" si="50"/>
        <v>non-original</v>
      </c>
      <c r="P488" t="str">
        <f t="shared" si="51"/>
        <v>non-franchise</v>
      </c>
      <c r="Q488" t="str">
        <f t="shared" si="52"/>
        <v>new</v>
      </c>
      <c r="R488" s="2">
        <f t="shared" si="53"/>
        <v>2.1935731810907399E-4</v>
      </c>
      <c r="S488">
        <f t="shared" si="54"/>
        <v>0.50210526315789472</v>
      </c>
      <c r="T488" t="str">
        <f t="shared" si="55"/>
        <v>Scenario 3: Strong Convenience</v>
      </c>
    </row>
    <row r="489" spans="1:20" x14ac:dyDescent="0.35">
      <c r="A489" t="s">
        <v>640</v>
      </c>
      <c r="B489" s="1">
        <v>45197</v>
      </c>
      <c r="C489">
        <v>2023</v>
      </c>
      <c r="D489">
        <v>9</v>
      </c>
      <c r="E489" t="s">
        <v>125</v>
      </c>
      <c r="F489">
        <v>88</v>
      </c>
      <c r="G489" t="s">
        <v>29</v>
      </c>
      <c r="H489" t="s">
        <v>27</v>
      </c>
      <c r="I489">
        <v>0</v>
      </c>
      <c r="J489">
        <v>0</v>
      </c>
      <c r="K489">
        <v>5.6</v>
      </c>
      <c r="L489">
        <v>5046</v>
      </c>
      <c r="M489" t="s">
        <v>17</v>
      </c>
      <c r="N489" t="str">
        <f t="shared" si="49"/>
        <v>streaming</v>
      </c>
      <c r="O489" t="str">
        <f t="shared" si="50"/>
        <v>non-original</v>
      </c>
      <c r="P489" t="str">
        <f t="shared" si="51"/>
        <v>non-franchise</v>
      </c>
      <c r="Q489" t="str">
        <f t="shared" si="52"/>
        <v>new</v>
      </c>
      <c r="R489" s="2">
        <f t="shared" si="53"/>
        <v>1.6593161798865131E-3</v>
      </c>
      <c r="S489">
        <f t="shared" si="54"/>
        <v>0.56210526315789466</v>
      </c>
      <c r="T489" t="str">
        <f t="shared" si="55"/>
        <v>Scenario 3: Strong Convenience</v>
      </c>
    </row>
    <row r="490" spans="1:20" x14ac:dyDescent="0.35">
      <c r="A490" t="s">
        <v>641</v>
      </c>
      <c r="B490" s="1">
        <v>45198</v>
      </c>
      <c r="C490">
        <v>2023</v>
      </c>
      <c r="D490">
        <v>9</v>
      </c>
      <c r="E490" t="s">
        <v>125</v>
      </c>
      <c r="F490">
        <v>114</v>
      </c>
      <c r="G490" t="s">
        <v>642</v>
      </c>
      <c r="H490" t="s">
        <v>24</v>
      </c>
      <c r="I490">
        <v>0</v>
      </c>
      <c r="J490">
        <v>0</v>
      </c>
      <c r="K490">
        <v>6.3</v>
      </c>
      <c r="L490">
        <v>11787</v>
      </c>
      <c r="M490" t="s">
        <v>17</v>
      </c>
      <c r="N490" t="str">
        <f t="shared" si="49"/>
        <v>streaming</v>
      </c>
      <c r="O490" t="str">
        <f t="shared" si="50"/>
        <v>non-original</v>
      </c>
      <c r="P490" t="str">
        <f t="shared" si="51"/>
        <v>non-franchise</v>
      </c>
      <c r="Q490" t="str">
        <f t="shared" si="52"/>
        <v>new</v>
      </c>
      <c r="R490" s="2">
        <f t="shared" si="53"/>
        <v>5.0211982006556624E-3</v>
      </c>
      <c r="S490">
        <f t="shared" si="54"/>
        <v>0.54</v>
      </c>
      <c r="T490" t="str">
        <f t="shared" si="55"/>
        <v>Scenario 3: Strong Convenience</v>
      </c>
    </row>
    <row r="491" spans="1:20" x14ac:dyDescent="0.35">
      <c r="A491" t="s">
        <v>643</v>
      </c>
      <c r="B491" s="1">
        <v>45198</v>
      </c>
      <c r="C491">
        <v>2023</v>
      </c>
      <c r="D491">
        <v>9</v>
      </c>
      <c r="E491" t="s">
        <v>125</v>
      </c>
      <c r="F491">
        <v>109</v>
      </c>
      <c r="G491" t="s">
        <v>19</v>
      </c>
      <c r="H491" t="s">
        <v>24</v>
      </c>
      <c r="I491">
        <v>0</v>
      </c>
      <c r="J491">
        <v>0</v>
      </c>
      <c r="K491">
        <v>6.3</v>
      </c>
      <c r="L491">
        <v>48368</v>
      </c>
      <c r="M491" t="s">
        <v>88</v>
      </c>
      <c r="N491" t="str">
        <f t="shared" si="49"/>
        <v>streaming</v>
      </c>
      <c r="O491" t="str">
        <f t="shared" si="50"/>
        <v>non-original</v>
      </c>
      <c r="P491" t="str">
        <f t="shared" si="51"/>
        <v>non-franchise</v>
      </c>
      <c r="Q491" t="str">
        <f t="shared" si="52"/>
        <v>new</v>
      </c>
      <c r="R491" s="2">
        <f t="shared" si="53"/>
        <v>1.9700799786901063E-2</v>
      </c>
      <c r="S491">
        <f t="shared" si="54"/>
        <v>0.55776315789473685</v>
      </c>
      <c r="T491" t="str">
        <f t="shared" si="55"/>
        <v>Scenario 3: Strong Convenience</v>
      </c>
    </row>
    <row r="492" spans="1:20" x14ac:dyDescent="0.35">
      <c r="A492" t="s">
        <v>644</v>
      </c>
      <c r="B492" s="1">
        <v>45198</v>
      </c>
      <c r="C492">
        <v>2023</v>
      </c>
      <c r="D492">
        <v>9</v>
      </c>
      <c r="E492" t="s">
        <v>125</v>
      </c>
      <c r="F492">
        <v>136</v>
      </c>
      <c r="G492" t="s">
        <v>43</v>
      </c>
      <c r="H492" t="s">
        <v>24</v>
      </c>
      <c r="I492">
        <v>0</v>
      </c>
      <c r="J492">
        <v>0</v>
      </c>
      <c r="K492">
        <v>6.8</v>
      </c>
      <c r="L492">
        <v>108579</v>
      </c>
      <c r="M492" t="s">
        <v>88</v>
      </c>
      <c r="N492" t="str">
        <f t="shared" si="49"/>
        <v>streaming</v>
      </c>
      <c r="O492" t="str">
        <f t="shared" si="50"/>
        <v>non-original</v>
      </c>
      <c r="P492" t="str">
        <f t="shared" si="51"/>
        <v>non-franchise</v>
      </c>
      <c r="Q492" t="str">
        <f t="shared" si="52"/>
        <v>new</v>
      </c>
      <c r="R492" s="2">
        <f t="shared" si="53"/>
        <v>5.5180289616082241E-2</v>
      </c>
      <c r="S492">
        <f t="shared" si="54"/>
        <v>0.49849624060150377</v>
      </c>
      <c r="T492" t="str">
        <f t="shared" si="55"/>
        <v>Scenario 1: Strong Commitment</v>
      </c>
    </row>
    <row r="493" spans="1:20" x14ac:dyDescent="0.35">
      <c r="A493" t="s">
        <v>645</v>
      </c>
      <c r="B493" s="1">
        <v>45203</v>
      </c>
      <c r="C493">
        <v>2023</v>
      </c>
      <c r="D493">
        <v>10</v>
      </c>
      <c r="E493" t="s">
        <v>125</v>
      </c>
      <c r="F493">
        <v>102</v>
      </c>
      <c r="G493" t="s">
        <v>34</v>
      </c>
      <c r="H493" t="s">
        <v>30</v>
      </c>
      <c r="I493">
        <v>0</v>
      </c>
      <c r="J493">
        <v>0</v>
      </c>
      <c r="K493">
        <v>6.5</v>
      </c>
      <c r="L493">
        <v>354</v>
      </c>
      <c r="M493" t="s">
        <v>17</v>
      </c>
      <c r="N493" t="str">
        <f t="shared" si="49"/>
        <v>streaming</v>
      </c>
      <c r="O493" t="str">
        <f t="shared" si="50"/>
        <v>non-original</v>
      </c>
      <c r="P493" t="str">
        <f t="shared" si="51"/>
        <v>non-franchise</v>
      </c>
      <c r="Q493" t="str">
        <f t="shared" si="52"/>
        <v>new</v>
      </c>
      <c r="R493" s="2">
        <f t="shared" si="53"/>
        <v>1.349281803393827E-4</v>
      </c>
      <c r="S493">
        <f t="shared" si="54"/>
        <v>0.60112781954887229</v>
      </c>
      <c r="T493" t="str">
        <f t="shared" si="55"/>
        <v>Scenario 3: Strong Convenience</v>
      </c>
    </row>
    <row r="494" spans="1:20" x14ac:dyDescent="0.35">
      <c r="A494" t="s">
        <v>646</v>
      </c>
      <c r="B494" s="1">
        <v>45204</v>
      </c>
      <c r="C494">
        <v>2023</v>
      </c>
      <c r="D494">
        <v>10</v>
      </c>
      <c r="E494" t="s">
        <v>125</v>
      </c>
      <c r="F494">
        <v>157</v>
      </c>
      <c r="G494" t="s">
        <v>431</v>
      </c>
      <c r="H494" t="s">
        <v>24</v>
      </c>
      <c r="I494">
        <v>0</v>
      </c>
      <c r="J494">
        <v>0</v>
      </c>
      <c r="K494">
        <v>6.1</v>
      </c>
      <c r="L494">
        <v>8809</v>
      </c>
      <c r="M494" t="s">
        <v>17</v>
      </c>
      <c r="N494" t="str">
        <f t="shared" si="49"/>
        <v>streaming</v>
      </c>
      <c r="O494" t="str">
        <f t="shared" si="50"/>
        <v>non-original</v>
      </c>
      <c r="P494" t="str">
        <f t="shared" si="51"/>
        <v>non-franchise</v>
      </c>
      <c r="Q494" t="str">
        <f t="shared" si="52"/>
        <v>new</v>
      </c>
      <c r="R494" s="2">
        <f t="shared" si="53"/>
        <v>5.1680355454666749E-3</v>
      </c>
      <c r="S494">
        <f t="shared" si="54"/>
        <v>0.37494360902255641</v>
      </c>
      <c r="T494" t="str">
        <f t="shared" si="55"/>
        <v>Scenario 2: Weak Commitment/Convenience</v>
      </c>
    </row>
    <row r="495" spans="1:20" x14ac:dyDescent="0.35">
      <c r="A495" t="s">
        <v>647</v>
      </c>
      <c r="B495" s="1">
        <v>45205</v>
      </c>
      <c r="C495">
        <v>2023</v>
      </c>
      <c r="D495">
        <v>10</v>
      </c>
      <c r="E495" t="s">
        <v>125</v>
      </c>
      <c r="F495">
        <v>115</v>
      </c>
      <c r="G495" t="s">
        <v>397</v>
      </c>
      <c r="H495" t="s">
        <v>24</v>
      </c>
      <c r="I495">
        <v>0</v>
      </c>
      <c r="J495">
        <v>0</v>
      </c>
      <c r="K495">
        <v>6.4</v>
      </c>
      <c r="L495">
        <v>46273</v>
      </c>
      <c r="M495" t="s">
        <v>17</v>
      </c>
      <c r="N495" t="str">
        <f t="shared" si="49"/>
        <v>streaming</v>
      </c>
      <c r="O495" t="str">
        <f t="shared" si="50"/>
        <v>non-original</v>
      </c>
      <c r="P495" t="str">
        <f t="shared" si="51"/>
        <v>non-franchise</v>
      </c>
      <c r="Q495" t="str">
        <f t="shared" si="52"/>
        <v>new</v>
      </c>
      <c r="R495" s="2">
        <f t="shared" si="53"/>
        <v>1.9884960236432079E-2</v>
      </c>
      <c r="S495">
        <f t="shared" si="54"/>
        <v>0.54496240601503765</v>
      </c>
      <c r="T495" t="str">
        <f t="shared" si="55"/>
        <v>Scenario 3: Strong Convenience</v>
      </c>
    </row>
    <row r="496" spans="1:20" x14ac:dyDescent="0.35">
      <c r="A496" t="s">
        <v>648</v>
      </c>
      <c r="B496" s="1">
        <v>45205</v>
      </c>
      <c r="C496">
        <v>2023</v>
      </c>
      <c r="D496">
        <v>10</v>
      </c>
      <c r="E496" t="s">
        <v>125</v>
      </c>
      <c r="F496">
        <v>93</v>
      </c>
      <c r="G496" t="s">
        <v>34</v>
      </c>
      <c r="H496" t="s">
        <v>30</v>
      </c>
      <c r="I496">
        <v>0</v>
      </c>
      <c r="J496">
        <v>0</v>
      </c>
      <c r="K496">
        <v>5.0999999999999996</v>
      </c>
      <c r="L496">
        <v>2501</v>
      </c>
      <c r="M496" t="s">
        <v>88</v>
      </c>
      <c r="N496" t="str">
        <f t="shared" si="49"/>
        <v>streaming</v>
      </c>
      <c r="O496" t="str">
        <f t="shared" si="50"/>
        <v>non-original</v>
      </c>
      <c r="P496" t="str">
        <f t="shared" si="51"/>
        <v>non-franchise</v>
      </c>
      <c r="Q496" t="str">
        <f t="shared" si="52"/>
        <v>new</v>
      </c>
      <c r="R496" s="2">
        <f t="shared" si="53"/>
        <v>8.691522723407013E-4</v>
      </c>
      <c r="S496">
        <f t="shared" si="54"/>
        <v>0.49753759398496239</v>
      </c>
      <c r="T496" t="str">
        <f t="shared" si="55"/>
        <v>Scenario 2: Weak Commitment/Convenience</v>
      </c>
    </row>
    <row r="497" spans="1:20" x14ac:dyDescent="0.35">
      <c r="A497" t="s">
        <v>649</v>
      </c>
      <c r="B497" s="1">
        <v>45205</v>
      </c>
      <c r="C497">
        <v>2023</v>
      </c>
      <c r="D497">
        <v>10</v>
      </c>
      <c r="E497" t="s">
        <v>125</v>
      </c>
      <c r="F497">
        <v>93</v>
      </c>
      <c r="G497" t="s">
        <v>19</v>
      </c>
      <c r="H497" t="s">
        <v>24</v>
      </c>
      <c r="I497">
        <v>0</v>
      </c>
      <c r="J497">
        <v>0</v>
      </c>
      <c r="K497">
        <v>6.3</v>
      </c>
      <c r="L497">
        <v>18773</v>
      </c>
      <c r="M497" t="s">
        <v>88</v>
      </c>
      <c r="N497" t="str">
        <f t="shared" si="49"/>
        <v>streaming</v>
      </c>
      <c r="O497" t="str">
        <f t="shared" si="50"/>
        <v>non-original</v>
      </c>
      <c r="P497" t="str">
        <f t="shared" si="51"/>
        <v>non-franchise</v>
      </c>
      <c r="Q497" t="str">
        <f t="shared" si="52"/>
        <v>new</v>
      </c>
      <c r="R497" s="2">
        <f t="shared" si="53"/>
        <v>6.5240286320079914E-3</v>
      </c>
      <c r="S497">
        <f t="shared" si="54"/>
        <v>0.61460526315789477</v>
      </c>
      <c r="T497" t="str">
        <f t="shared" si="55"/>
        <v>Scenario 3: Strong Convenience</v>
      </c>
    </row>
    <row r="498" spans="1:20" x14ac:dyDescent="0.35">
      <c r="A498" t="s">
        <v>650</v>
      </c>
      <c r="B498" s="1">
        <v>45210</v>
      </c>
      <c r="C498">
        <v>2023</v>
      </c>
      <c r="D498">
        <v>10</v>
      </c>
      <c r="E498" t="s">
        <v>125</v>
      </c>
      <c r="F498">
        <v>138</v>
      </c>
      <c r="G498" t="s">
        <v>34</v>
      </c>
      <c r="H498" t="s">
        <v>30</v>
      </c>
      <c r="I498">
        <v>0</v>
      </c>
      <c r="J498">
        <v>0</v>
      </c>
      <c r="K498">
        <v>7</v>
      </c>
      <c r="L498">
        <v>556</v>
      </c>
      <c r="M498" t="s">
        <v>17</v>
      </c>
      <c r="N498" t="str">
        <f t="shared" si="49"/>
        <v>streaming</v>
      </c>
      <c r="O498" t="str">
        <f t="shared" si="50"/>
        <v>non-original</v>
      </c>
      <c r="P498" t="str">
        <f t="shared" si="51"/>
        <v>non-franchise</v>
      </c>
      <c r="Q498" t="str">
        <f t="shared" si="52"/>
        <v>new</v>
      </c>
      <c r="R498" s="2">
        <f t="shared" si="53"/>
        <v>2.8671677802924992E-4</v>
      </c>
      <c r="S498">
        <f t="shared" si="54"/>
        <v>0.50526315789473675</v>
      </c>
      <c r="T498" t="str">
        <f t="shared" si="55"/>
        <v>Scenario 3: Strong Convenience</v>
      </c>
    </row>
    <row r="499" spans="1:20" x14ac:dyDescent="0.35">
      <c r="A499" t="s">
        <v>651</v>
      </c>
      <c r="B499" s="1">
        <v>45212</v>
      </c>
      <c r="C499">
        <v>2023</v>
      </c>
      <c r="D499">
        <v>10</v>
      </c>
      <c r="E499" t="s">
        <v>125</v>
      </c>
      <c r="F499">
        <v>100</v>
      </c>
      <c r="G499" t="s">
        <v>652</v>
      </c>
      <c r="H499" t="s">
        <v>265</v>
      </c>
      <c r="I499">
        <v>0</v>
      </c>
      <c r="J499">
        <v>0</v>
      </c>
      <c r="K499">
        <v>5.7</v>
      </c>
      <c r="L499">
        <v>15985</v>
      </c>
      <c r="M499" t="s">
        <v>17</v>
      </c>
      <c r="N499" t="str">
        <f t="shared" si="49"/>
        <v>streaming</v>
      </c>
      <c r="O499" t="str">
        <f t="shared" si="50"/>
        <v>non-original</v>
      </c>
      <c r="P499" t="str">
        <f t="shared" si="51"/>
        <v>non-franchise</v>
      </c>
      <c r="Q499" t="str">
        <f t="shared" si="52"/>
        <v>new</v>
      </c>
      <c r="R499" s="2">
        <f t="shared" si="53"/>
        <v>5.9732662089427074E-3</v>
      </c>
      <c r="S499">
        <f t="shared" si="54"/>
        <v>0.5335714285714287</v>
      </c>
      <c r="T499" t="str">
        <f t="shared" si="55"/>
        <v>Scenario 3: Strong Convenience</v>
      </c>
    </row>
    <row r="500" spans="1:20" x14ac:dyDescent="0.35">
      <c r="A500" t="s">
        <v>653</v>
      </c>
      <c r="B500" s="1">
        <v>45218</v>
      </c>
      <c r="C500">
        <v>2023</v>
      </c>
      <c r="D500">
        <v>10</v>
      </c>
      <c r="E500" t="s">
        <v>125</v>
      </c>
      <c r="F500">
        <v>103</v>
      </c>
      <c r="G500" t="s">
        <v>34</v>
      </c>
      <c r="H500" t="s">
        <v>30</v>
      </c>
      <c r="I500">
        <v>0</v>
      </c>
      <c r="J500">
        <v>0</v>
      </c>
      <c r="K500">
        <v>5.8</v>
      </c>
      <c r="L500">
        <v>1445</v>
      </c>
      <c r="M500" t="s">
        <v>17</v>
      </c>
      <c r="N500" t="str">
        <f t="shared" si="49"/>
        <v>streaming</v>
      </c>
      <c r="O500" t="str">
        <f t="shared" si="50"/>
        <v>non-original</v>
      </c>
      <c r="P500" t="str">
        <f t="shared" si="51"/>
        <v>non-franchise</v>
      </c>
      <c r="Q500" t="str">
        <f t="shared" si="52"/>
        <v>new</v>
      </c>
      <c r="R500" s="2">
        <f t="shared" si="53"/>
        <v>5.5616582809383034E-4</v>
      </c>
      <c r="S500">
        <f t="shared" si="54"/>
        <v>0.53312030075187955</v>
      </c>
      <c r="T500" t="str">
        <f t="shared" si="55"/>
        <v>Scenario 3: Strong Convenience</v>
      </c>
    </row>
    <row r="501" spans="1:20" x14ac:dyDescent="0.35">
      <c r="A501" t="s">
        <v>654</v>
      </c>
      <c r="B501" s="1">
        <v>45219</v>
      </c>
      <c r="C501">
        <v>2023</v>
      </c>
      <c r="D501">
        <v>10</v>
      </c>
      <c r="E501" t="s">
        <v>125</v>
      </c>
      <c r="F501">
        <v>93</v>
      </c>
      <c r="G501" t="s">
        <v>21</v>
      </c>
      <c r="H501" t="s">
        <v>27</v>
      </c>
      <c r="I501">
        <v>0</v>
      </c>
      <c r="J501">
        <v>1</v>
      </c>
      <c r="K501">
        <v>4.8</v>
      </c>
      <c r="L501">
        <v>240</v>
      </c>
      <c r="M501" t="s">
        <v>17</v>
      </c>
      <c r="N501" t="str">
        <f t="shared" si="49"/>
        <v>streaming</v>
      </c>
      <c r="O501" t="str">
        <f t="shared" si="50"/>
        <v>non-original</v>
      </c>
      <c r="P501" t="str">
        <f t="shared" si="51"/>
        <v>franchise</v>
      </c>
      <c r="Q501" t="str">
        <f t="shared" si="52"/>
        <v>old</v>
      </c>
      <c r="R501" s="2">
        <f t="shared" si="53"/>
        <v>1.2510788406343561E-4</v>
      </c>
      <c r="S501">
        <f t="shared" si="54"/>
        <v>0.31218045112781956</v>
      </c>
      <c r="T501" t="str">
        <f t="shared" si="55"/>
        <v>Scenario 2: Weak Commitment/Convenience</v>
      </c>
    </row>
    <row r="502" spans="1:20" x14ac:dyDescent="0.35">
      <c r="A502" t="s">
        <v>655</v>
      </c>
      <c r="B502" s="1">
        <v>45219</v>
      </c>
      <c r="C502">
        <v>2023</v>
      </c>
      <c r="D502">
        <v>10</v>
      </c>
      <c r="E502" t="s">
        <v>125</v>
      </c>
      <c r="F502">
        <v>104</v>
      </c>
      <c r="G502" t="s">
        <v>21</v>
      </c>
      <c r="H502" t="s">
        <v>24</v>
      </c>
      <c r="I502">
        <v>0</v>
      </c>
      <c r="J502">
        <v>0</v>
      </c>
      <c r="K502">
        <v>6.2</v>
      </c>
      <c r="L502">
        <v>46933</v>
      </c>
      <c r="M502" t="s">
        <v>17</v>
      </c>
      <c r="N502" t="str">
        <f t="shared" si="49"/>
        <v>streaming</v>
      </c>
      <c r="O502" t="str">
        <f t="shared" si="50"/>
        <v>non-original</v>
      </c>
      <c r="P502" t="str">
        <f t="shared" si="51"/>
        <v>non-franchise</v>
      </c>
      <c r="Q502" t="str">
        <f t="shared" si="52"/>
        <v>new</v>
      </c>
      <c r="R502" s="2">
        <f t="shared" si="53"/>
        <v>1.8239414144740718E-2</v>
      </c>
      <c r="S502">
        <f t="shared" si="54"/>
        <v>0.566390977443609</v>
      </c>
      <c r="T502" t="str">
        <f t="shared" si="55"/>
        <v>Scenario 3: Strong Convenience</v>
      </c>
    </row>
    <row r="503" spans="1:20" x14ac:dyDescent="0.35">
      <c r="A503" t="s">
        <v>656</v>
      </c>
      <c r="B503" s="1">
        <v>45224</v>
      </c>
      <c r="C503">
        <v>2023</v>
      </c>
      <c r="D503">
        <v>10</v>
      </c>
      <c r="E503" t="s">
        <v>125</v>
      </c>
      <c r="F503">
        <v>98</v>
      </c>
      <c r="G503" t="s">
        <v>19</v>
      </c>
      <c r="H503" t="s">
        <v>24</v>
      </c>
      <c r="I503">
        <v>0</v>
      </c>
      <c r="J503">
        <v>0</v>
      </c>
      <c r="K503">
        <v>4.2</v>
      </c>
      <c r="L503">
        <v>4731</v>
      </c>
      <c r="M503" t="s">
        <v>88</v>
      </c>
      <c r="N503" t="str">
        <f t="shared" si="49"/>
        <v>streaming</v>
      </c>
      <c r="O503" t="str">
        <f t="shared" si="50"/>
        <v>non-original</v>
      </c>
      <c r="P503" t="str">
        <f t="shared" si="51"/>
        <v>non-franchise</v>
      </c>
      <c r="Q503" t="str">
        <f t="shared" si="52"/>
        <v>new</v>
      </c>
      <c r="R503" s="2">
        <f t="shared" si="53"/>
        <v>1.7325199866010501E-3</v>
      </c>
      <c r="S503">
        <f t="shared" si="54"/>
        <v>0.3978947368421053</v>
      </c>
      <c r="T503" t="str">
        <f t="shared" si="55"/>
        <v>Scenario 2: Weak Commitment/Convenience</v>
      </c>
    </row>
    <row r="504" spans="1:20" x14ac:dyDescent="0.35">
      <c r="A504" t="s">
        <v>657</v>
      </c>
      <c r="B504" s="1">
        <v>45226</v>
      </c>
      <c r="C504">
        <v>2023</v>
      </c>
      <c r="D504">
        <v>10</v>
      </c>
      <c r="E504" t="s">
        <v>125</v>
      </c>
      <c r="F504">
        <v>124</v>
      </c>
      <c r="G504" t="s">
        <v>43</v>
      </c>
      <c r="H504" t="s">
        <v>24</v>
      </c>
      <c r="I504">
        <v>0</v>
      </c>
      <c r="J504">
        <v>0</v>
      </c>
      <c r="K504">
        <v>6.6</v>
      </c>
      <c r="L504">
        <v>54648</v>
      </c>
      <c r="M504" t="s">
        <v>88</v>
      </c>
      <c r="N504" t="str">
        <f t="shared" si="49"/>
        <v>streaming</v>
      </c>
      <c r="O504" t="str">
        <f t="shared" si="50"/>
        <v>non-original</v>
      </c>
      <c r="P504" t="str">
        <f t="shared" si="51"/>
        <v>non-franchise</v>
      </c>
      <c r="Q504" t="str">
        <f t="shared" si="52"/>
        <v>new</v>
      </c>
      <c r="R504" s="2">
        <f t="shared" si="53"/>
        <v>2.5321835734439368E-2</v>
      </c>
      <c r="S504">
        <f t="shared" si="54"/>
        <v>0.52849624060150369</v>
      </c>
      <c r="T504" t="str">
        <f t="shared" si="55"/>
        <v>Scenario 3: Strong Convenience</v>
      </c>
    </row>
    <row r="505" spans="1:20" x14ac:dyDescent="0.35">
      <c r="A505" t="s">
        <v>658</v>
      </c>
      <c r="B505" s="1">
        <v>45226</v>
      </c>
      <c r="C505">
        <v>2023</v>
      </c>
      <c r="D505">
        <v>10</v>
      </c>
      <c r="E505" t="s">
        <v>125</v>
      </c>
      <c r="F505">
        <v>90</v>
      </c>
      <c r="G505" t="s">
        <v>92</v>
      </c>
      <c r="H505" t="s">
        <v>24</v>
      </c>
      <c r="I505">
        <v>0</v>
      </c>
      <c r="J505">
        <v>0</v>
      </c>
      <c r="K505">
        <v>5.8</v>
      </c>
      <c r="L505">
        <v>10705</v>
      </c>
      <c r="M505" t="s">
        <v>17</v>
      </c>
      <c r="N505" t="str">
        <f t="shared" si="49"/>
        <v>streaming</v>
      </c>
      <c r="O505" t="str">
        <f t="shared" si="50"/>
        <v>non-original</v>
      </c>
      <c r="P505" t="str">
        <f t="shared" si="51"/>
        <v>non-franchise</v>
      </c>
      <c r="Q505" t="str">
        <f t="shared" si="52"/>
        <v>new</v>
      </c>
      <c r="R505" s="2">
        <f t="shared" si="53"/>
        <v>3.6002147819867692E-3</v>
      </c>
      <c r="S505">
        <f t="shared" si="54"/>
        <v>0.57563909774436084</v>
      </c>
      <c r="T505" t="str">
        <f t="shared" si="55"/>
        <v>Scenario 3: Strong Convenience</v>
      </c>
    </row>
    <row r="506" spans="1:20" x14ac:dyDescent="0.35">
      <c r="A506" t="s">
        <v>659</v>
      </c>
      <c r="B506" s="1">
        <v>45231</v>
      </c>
      <c r="C506">
        <v>2023</v>
      </c>
      <c r="D506">
        <v>11</v>
      </c>
      <c r="E506" t="s">
        <v>125</v>
      </c>
      <c r="F506">
        <v>99</v>
      </c>
      <c r="G506" t="s">
        <v>34</v>
      </c>
      <c r="H506" t="s">
        <v>24</v>
      </c>
      <c r="I506">
        <v>0</v>
      </c>
      <c r="J506">
        <v>0</v>
      </c>
      <c r="K506">
        <v>5.9</v>
      </c>
      <c r="L506">
        <v>1033</v>
      </c>
      <c r="M506" t="s">
        <v>17</v>
      </c>
      <c r="N506" t="str">
        <f t="shared" si="49"/>
        <v>streaming</v>
      </c>
      <c r="O506" t="str">
        <f t="shared" si="50"/>
        <v>non-original</v>
      </c>
      <c r="P506" t="str">
        <f t="shared" si="51"/>
        <v>non-franchise</v>
      </c>
      <c r="Q506" t="str">
        <f t="shared" si="52"/>
        <v>new</v>
      </c>
      <c r="R506" s="2">
        <f t="shared" si="53"/>
        <v>3.821507759711879E-4</v>
      </c>
      <c r="S506">
        <f t="shared" si="54"/>
        <v>0.55562030075187985</v>
      </c>
      <c r="T506" t="str">
        <f t="shared" si="55"/>
        <v>Scenario 3: Strong Convenience</v>
      </c>
    </row>
    <row r="507" spans="1:20" x14ac:dyDescent="0.35">
      <c r="A507" t="s">
        <v>660</v>
      </c>
      <c r="B507" s="1">
        <v>45231</v>
      </c>
      <c r="C507">
        <v>2023</v>
      </c>
      <c r="D507">
        <v>11</v>
      </c>
      <c r="E507" t="s">
        <v>125</v>
      </c>
      <c r="F507">
        <v>96</v>
      </c>
      <c r="G507" t="s">
        <v>103</v>
      </c>
      <c r="H507" t="s">
        <v>24</v>
      </c>
      <c r="I507">
        <v>0</v>
      </c>
      <c r="J507">
        <v>0</v>
      </c>
      <c r="K507">
        <v>5.0999999999999996</v>
      </c>
      <c r="L507">
        <v>11602</v>
      </c>
      <c r="M507" t="s">
        <v>17</v>
      </c>
      <c r="N507" t="str">
        <f t="shared" si="49"/>
        <v>streaming</v>
      </c>
      <c r="O507" t="str">
        <f t="shared" si="50"/>
        <v>non-original</v>
      </c>
      <c r="P507" t="str">
        <f t="shared" si="51"/>
        <v>non-franchise</v>
      </c>
      <c r="Q507" t="str">
        <f t="shared" si="52"/>
        <v>new</v>
      </c>
      <c r="R507" s="2">
        <f t="shared" si="53"/>
        <v>4.1620119595813044E-3</v>
      </c>
      <c r="S507">
        <f t="shared" si="54"/>
        <v>0.48890977443609024</v>
      </c>
      <c r="T507" t="str">
        <f t="shared" si="55"/>
        <v>Scenario 2: Weak Commitment/Convenience</v>
      </c>
    </row>
    <row r="508" spans="1:20" x14ac:dyDescent="0.35">
      <c r="A508" t="s">
        <v>661</v>
      </c>
      <c r="B508" s="1">
        <v>45231</v>
      </c>
      <c r="C508">
        <v>2023</v>
      </c>
      <c r="D508">
        <v>11</v>
      </c>
      <c r="E508" t="s">
        <v>125</v>
      </c>
      <c r="F508">
        <v>112</v>
      </c>
      <c r="G508" t="s">
        <v>269</v>
      </c>
      <c r="H508" t="s">
        <v>24</v>
      </c>
      <c r="I508">
        <v>0</v>
      </c>
      <c r="J508">
        <v>0</v>
      </c>
      <c r="K508">
        <v>7.2</v>
      </c>
      <c r="L508">
        <v>7238</v>
      </c>
      <c r="M508" t="s">
        <v>17</v>
      </c>
      <c r="N508" t="str">
        <f t="shared" si="49"/>
        <v>streaming</v>
      </c>
      <c r="O508" t="str">
        <f t="shared" si="50"/>
        <v>non-original</v>
      </c>
      <c r="P508" t="str">
        <f t="shared" si="51"/>
        <v>non-franchise</v>
      </c>
      <c r="Q508" t="str">
        <f t="shared" si="52"/>
        <v>new</v>
      </c>
      <c r="R508" s="2">
        <f t="shared" si="53"/>
        <v>3.0292549839703842E-3</v>
      </c>
      <c r="S508">
        <f t="shared" si="54"/>
        <v>0.62526315789473685</v>
      </c>
      <c r="T508" t="str">
        <f t="shared" si="55"/>
        <v>Scenario 3: Strong Convenience</v>
      </c>
    </row>
    <row r="509" spans="1:20" x14ac:dyDescent="0.35">
      <c r="A509" t="s">
        <v>662</v>
      </c>
      <c r="B509" s="1">
        <v>45231</v>
      </c>
      <c r="C509">
        <v>2023</v>
      </c>
      <c r="D509">
        <v>11</v>
      </c>
      <c r="E509" t="s">
        <v>125</v>
      </c>
      <c r="F509">
        <v>115</v>
      </c>
      <c r="G509" t="s">
        <v>663</v>
      </c>
      <c r="H509" t="s">
        <v>24</v>
      </c>
      <c r="I509">
        <v>1</v>
      </c>
      <c r="J509">
        <v>0</v>
      </c>
      <c r="K509">
        <v>5.7</v>
      </c>
      <c r="L509">
        <v>8190</v>
      </c>
      <c r="M509" t="s">
        <v>88</v>
      </c>
      <c r="N509" t="str">
        <f t="shared" si="49"/>
        <v>streaming</v>
      </c>
      <c r="O509" t="str">
        <f t="shared" si="50"/>
        <v>original</v>
      </c>
      <c r="P509" t="str">
        <f t="shared" si="51"/>
        <v>non-franchise</v>
      </c>
      <c r="Q509" t="str">
        <f t="shared" si="52"/>
        <v>old</v>
      </c>
      <c r="R509" s="2">
        <f t="shared" si="53"/>
        <v>5.2792500271123134E-3</v>
      </c>
      <c r="S509">
        <f t="shared" si="54"/>
        <v>0.32357142857142862</v>
      </c>
      <c r="T509" t="str">
        <f t="shared" si="55"/>
        <v>Scenario 2: Weak Commitment/Convenience</v>
      </c>
    </row>
    <row r="510" spans="1:20" x14ac:dyDescent="0.35">
      <c r="A510" t="s">
        <v>664</v>
      </c>
      <c r="B510" s="1">
        <v>45233</v>
      </c>
      <c r="C510">
        <v>2023</v>
      </c>
      <c r="D510">
        <v>11</v>
      </c>
      <c r="E510" t="s">
        <v>125</v>
      </c>
      <c r="F510">
        <v>121</v>
      </c>
      <c r="G510" t="s">
        <v>62</v>
      </c>
      <c r="H510" t="s">
        <v>27</v>
      </c>
      <c r="I510">
        <v>0</v>
      </c>
      <c r="J510">
        <v>0</v>
      </c>
      <c r="K510">
        <v>7.1</v>
      </c>
      <c r="L510">
        <v>44519</v>
      </c>
      <c r="M510" t="s">
        <v>17</v>
      </c>
      <c r="N510" t="str">
        <f t="shared" si="49"/>
        <v>streaming</v>
      </c>
      <c r="O510" t="str">
        <f t="shared" si="50"/>
        <v>non-original</v>
      </c>
      <c r="P510" t="str">
        <f t="shared" si="51"/>
        <v>non-franchise</v>
      </c>
      <c r="Q510" t="str">
        <f t="shared" si="52"/>
        <v>new</v>
      </c>
      <c r="R510" s="2">
        <f t="shared" si="53"/>
        <v>2.012936155212159E-2</v>
      </c>
      <c r="S510">
        <f t="shared" si="54"/>
        <v>0.58054511278195486</v>
      </c>
      <c r="T510" t="str">
        <f t="shared" si="55"/>
        <v>Scenario 3: Strong Convenience</v>
      </c>
    </row>
    <row r="511" spans="1:20" x14ac:dyDescent="0.35">
      <c r="A511" t="s">
        <v>665</v>
      </c>
      <c r="B511" s="1">
        <v>45240</v>
      </c>
      <c r="C511">
        <v>2023</v>
      </c>
      <c r="D511">
        <v>11</v>
      </c>
      <c r="E511" t="s">
        <v>125</v>
      </c>
      <c r="F511">
        <v>119</v>
      </c>
      <c r="G511" t="s">
        <v>666</v>
      </c>
      <c r="H511" t="s">
        <v>24</v>
      </c>
      <c r="I511">
        <v>1</v>
      </c>
      <c r="J511">
        <v>0</v>
      </c>
      <c r="K511">
        <v>6.7</v>
      </c>
      <c r="L511">
        <v>221332</v>
      </c>
      <c r="M511" t="s">
        <v>88</v>
      </c>
      <c r="N511" t="str">
        <f t="shared" si="49"/>
        <v>streaming</v>
      </c>
      <c r="O511" t="str">
        <f t="shared" si="50"/>
        <v>original</v>
      </c>
      <c r="P511" t="str">
        <f t="shared" si="51"/>
        <v>non-franchise</v>
      </c>
      <c r="Q511" t="str">
        <f t="shared" si="52"/>
        <v>old</v>
      </c>
      <c r="R511" s="2">
        <f t="shared" si="53"/>
        <v>0.14763239270913403</v>
      </c>
      <c r="S511">
        <f t="shared" si="54"/>
        <v>0.37026315789473685</v>
      </c>
      <c r="T511" t="str">
        <f t="shared" si="55"/>
        <v>Scenario 1: Strong Commitment</v>
      </c>
    </row>
    <row r="512" spans="1:20" x14ac:dyDescent="0.35">
      <c r="A512" t="s">
        <v>667</v>
      </c>
      <c r="B512" s="1">
        <v>45246</v>
      </c>
      <c r="C512">
        <v>2023</v>
      </c>
      <c r="D512">
        <v>11</v>
      </c>
      <c r="E512" t="s">
        <v>125</v>
      </c>
      <c r="F512">
        <v>81</v>
      </c>
      <c r="G512" t="s">
        <v>29</v>
      </c>
      <c r="H512" t="s">
        <v>56</v>
      </c>
      <c r="I512">
        <v>0</v>
      </c>
      <c r="J512">
        <v>0</v>
      </c>
      <c r="K512">
        <v>4.5</v>
      </c>
      <c r="L512">
        <v>12181</v>
      </c>
      <c r="M512" t="s">
        <v>17</v>
      </c>
      <c r="N512" t="str">
        <f t="shared" si="49"/>
        <v>streaming</v>
      </c>
      <c r="O512" t="str">
        <f t="shared" si="50"/>
        <v>non-original</v>
      </c>
      <c r="P512" t="str">
        <f t="shared" si="51"/>
        <v>non-franchise</v>
      </c>
      <c r="Q512" t="str">
        <f t="shared" si="52"/>
        <v>new</v>
      </c>
      <c r="R512" s="2">
        <f t="shared" si="53"/>
        <v>3.6869495220404258E-3</v>
      </c>
      <c r="S512">
        <f t="shared" si="54"/>
        <v>0.46945488721804512</v>
      </c>
      <c r="T512" t="str">
        <f t="shared" si="55"/>
        <v>Scenario 2: Weak Commitment/Convenience</v>
      </c>
    </row>
    <row r="513" spans="1:20" x14ac:dyDescent="0.35">
      <c r="A513" t="s">
        <v>668</v>
      </c>
      <c r="B513" s="1">
        <v>45246</v>
      </c>
      <c r="C513">
        <v>2023</v>
      </c>
      <c r="D513">
        <v>11</v>
      </c>
      <c r="E513" t="s">
        <v>125</v>
      </c>
      <c r="F513">
        <v>127</v>
      </c>
      <c r="G513" t="s">
        <v>669</v>
      </c>
      <c r="H513" t="s">
        <v>27</v>
      </c>
      <c r="I513">
        <v>0</v>
      </c>
      <c r="J513">
        <v>0</v>
      </c>
      <c r="K513">
        <v>5.2</v>
      </c>
      <c r="L513">
        <v>1017</v>
      </c>
      <c r="M513" t="s">
        <v>17</v>
      </c>
      <c r="N513" t="str">
        <f t="shared" si="49"/>
        <v>streaming</v>
      </c>
      <c r="O513" t="str">
        <f t="shared" si="50"/>
        <v>non-original</v>
      </c>
      <c r="P513" t="str">
        <f t="shared" si="51"/>
        <v>non-franchise</v>
      </c>
      <c r="Q513" t="str">
        <f t="shared" si="52"/>
        <v>new</v>
      </c>
      <c r="R513" s="2">
        <f t="shared" si="53"/>
        <v>4.8264065704149586E-4</v>
      </c>
      <c r="S513">
        <f t="shared" si="54"/>
        <v>0.40759398496240601</v>
      </c>
      <c r="T513" t="str">
        <f t="shared" si="55"/>
        <v>Scenario 2: Weak Commitment/Convenience</v>
      </c>
    </row>
    <row r="514" spans="1:20" x14ac:dyDescent="0.35">
      <c r="A514" t="s">
        <v>670</v>
      </c>
      <c r="B514" s="1">
        <v>45247</v>
      </c>
      <c r="C514">
        <v>2023</v>
      </c>
      <c r="D514">
        <v>11</v>
      </c>
      <c r="E514" t="s">
        <v>125</v>
      </c>
      <c r="F514">
        <v>116</v>
      </c>
      <c r="G514" t="s">
        <v>671</v>
      </c>
      <c r="H514" t="s">
        <v>24</v>
      </c>
      <c r="I514">
        <v>0</v>
      </c>
      <c r="J514">
        <v>1</v>
      </c>
      <c r="K514">
        <v>5.6</v>
      </c>
      <c r="L514">
        <v>2236</v>
      </c>
      <c r="M514" t="s">
        <v>17</v>
      </c>
      <c r="N514" t="str">
        <f t="shared" si="49"/>
        <v>streaming</v>
      </c>
      <c r="O514" t="str">
        <f t="shared" si="50"/>
        <v>non-original</v>
      </c>
      <c r="P514" t="str">
        <f t="shared" si="51"/>
        <v>franchise</v>
      </c>
      <c r="Q514" t="str">
        <f t="shared" si="52"/>
        <v>old</v>
      </c>
      <c r="R514" s="2">
        <f t="shared" si="53"/>
        <v>1.4538522641952363E-3</v>
      </c>
      <c r="S514">
        <f t="shared" si="54"/>
        <v>0.31578947368421051</v>
      </c>
      <c r="T514" t="str">
        <f t="shared" si="55"/>
        <v>Scenario 2: Weak Commitment/Convenience</v>
      </c>
    </row>
    <row r="515" spans="1:20" x14ac:dyDescent="0.35">
      <c r="A515" t="s">
        <v>672</v>
      </c>
      <c r="B515" s="1">
        <v>45247</v>
      </c>
      <c r="C515">
        <v>2023</v>
      </c>
      <c r="D515">
        <v>11</v>
      </c>
      <c r="E515" t="s">
        <v>125</v>
      </c>
      <c r="F515">
        <v>108</v>
      </c>
      <c r="G515" t="s">
        <v>111</v>
      </c>
      <c r="H515" t="s">
        <v>27</v>
      </c>
      <c r="I515">
        <v>0</v>
      </c>
      <c r="J515">
        <v>0</v>
      </c>
      <c r="K515">
        <v>6.5</v>
      </c>
      <c r="L515">
        <v>14598</v>
      </c>
      <c r="M515" t="s">
        <v>17</v>
      </c>
      <c r="N515" t="str">
        <f t="shared" ref="N515:N578" si="56">IF(ISNUMBER(SEARCH("Streaming", M515)), "streaming", "cinema")</f>
        <v>streaming</v>
      </c>
      <c r="O515" t="str">
        <f t="shared" ref="O515:O578" si="57">IF(I515=1, "original", "non-original")</f>
        <v>non-original</v>
      </c>
      <c r="P515" t="str">
        <f t="shared" ref="P515:P578" si="58">IF(J515 = 1, "franchise", "non-franchise")</f>
        <v>non-franchise</v>
      </c>
      <c r="Q515" t="str">
        <f t="shared" ref="Q515:Q578" si="59">IF(OR(I515 = 1,J515 =1), "old", "new")</f>
        <v>new</v>
      </c>
      <c r="R515" s="2">
        <f t="shared" ref="R515:R578" si="60">IF(Q515="old", 1.5, 1) * (L515 / MAX($L$2:$L$1000)) * (F515 / MAX($F$2:$F$1000))</f>
        <v>5.8913706179291392E-3</v>
      </c>
      <c r="S515">
        <f t="shared" ref="S515:S578" si="61">IF(Q515="new", 1.5, 1) * (K515 / 10) * (1 - (F515 / MAX($F$2:$F$1000)))</f>
        <v>0.57913533834586473</v>
      </c>
      <c r="T515" t="str">
        <f t="shared" ref="T515:T578" si="62">IF(AND(R515&gt;=0.03, S515&gt;=0.5), "Scenario 4: Hybrid Logic",
 IF(AND(R515&gt;=0.03, S515&lt;0.5), "Scenario 1: Strong Commitment",
  IF(AND(R515&lt;0.03, S515&gt;=0.5), "Scenario 3: Strong Convenience",
   "Scenario 2: Weak Commitment/Convenience")))</f>
        <v>Scenario 3: Strong Convenience</v>
      </c>
    </row>
    <row r="516" spans="1:20" x14ac:dyDescent="0.35">
      <c r="A516" t="s">
        <v>673</v>
      </c>
      <c r="B516" s="1">
        <v>45247</v>
      </c>
      <c r="C516">
        <v>2023</v>
      </c>
      <c r="D516">
        <v>11</v>
      </c>
      <c r="E516" t="s">
        <v>125</v>
      </c>
      <c r="F516">
        <v>103</v>
      </c>
      <c r="G516" t="s">
        <v>21</v>
      </c>
      <c r="H516" t="s">
        <v>30</v>
      </c>
      <c r="I516">
        <v>0</v>
      </c>
      <c r="J516">
        <v>0</v>
      </c>
      <c r="K516">
        <v>5.8</v>
      </c>
      <c r="L516">
        <v>2312</v>
      </c>
      <c r="M516" t="s">
        <v>17</v>
      </c>
      <c r="N516" t="str">
        <f t="shared" si="56"/>
        <v>streaming</v>
      </c>
      <c r="O516" t="str">
        <f t="shared" si="57"/>
        <v>non-original</v>
      </c>
      <c r="P516" t="str">
        <f t="shared" si="58"/>
        <v>non-franchise</v>
      </c>
      <c r="Q516" t="str">
        <f t="shared" si="59"/>
        <v>new</v>
      </c>
      <c r="R516" s="2">
        <f t="shared" si="60"/>
        <v>8.8986532495012854E-4</v>
      </c>
      <c r="S516">
        <f t="shared" si="61"/>
        <v>0.53312030075187955</v>
      </c>
      <c r="T516" t="str">
        <f t="shared" si="62"/>
        <v>Scenario 3: Strong Convenience</v>
      </c>
    </row>
    <row r="517" spans="1:20" x14ac:dyDescent="0.35">
      <c r="A517" t="s">
        <v>674</v>
      </c>
      <c r="B517" s="1">
        <v>45247</v>
      </c>
      <c r="C517">
        <v>2023</v>
      </c>
      <c r="D517">
        <v>11</v>
      </c>
      <c r="E517" t="s">
        <v>125</v>
      </c>
      <c r="F517">
        <v>137</v>
      </c>
      <c r="G517" t="s">
        <v>34</v>
      </c>
      <c r="H517" t="s">
        <v>30</v>
      </c>
      <c r="I517">
        <v>0</v>
      </c>
      <c r="J517">
        <v>0</v>
      </c>
      <c r="K517">
        <v>4.7</v>
      </c>
      <c r="L517">
        <v>228</v>
      </c>
      <c r="M517" t="s">
        <v>17</v>
      </c>
      <c r="N517" t="str">
        <f t="shared" si="56"/>
        <v>streaming</v>
      </c>
      <c r="O517" t="str">
        <f t="shared" si="57"/>
        <v>non-original</v>
      </c>
      <c r="P517" t="str">
        <f t="shared" si="58"/>
        <v>non-franchise</v>
      </c>
      <c r="Q517" t="str">
        <f t="shared" si="59"/>
        <v>new</v>
      </c>
      <c r="R517" s="2">
        <f t="shared" si="60"/>
        <v>1.1672251692369997E-4</v>
      </c>
      <c r="S517">
        <f t="shared" si="61"/>
        <v>0.34189849624060153</v>
      </c>
      <c r="T517" t="str">
        <f t="shared" si="62"/>
        <v>Scenario 2: Weak Commitment/Convenience</v>
      </c>
    </row>
    <row r="518" spans="1:20" x14ac:dyDescent="0.35">
      <c r="A518" t="s">
        <v>675</v>
      </c>
      <c r="B518" s="1">
        <v>45251</v>
      </c>
      <c r="C518">
        <v>2023</v>
      </c>
      <c r="D518">
        <v>11</v>
      </c>
      <c r="E518" t="s">
        <v>125</v>
      </c>
      <c r="F518">
        <v>106</v>
      </c>
      <c r="G518" t="s">
        <v>676</v>
      </c>
      <c r="H518" t="s">
        <v>56</v>
      </c>
      <c r="I518">
        <v>0</v>
      </c>
      <c r="J518">
        <v>0</v>
      </c>
      <c r="K518">
        <v>7</v>
      </c>
      <c r="L518">
        <v>45393</v>
      </c>
      <c r="M518" t="s">
        <v>88</v>
      </c>
      <c r="N518" t="str">
        <f t="shared" si="56"/>
        <v>streaming</v>
      </c>
      <c r="O518" t="str">
        <f t="shared" si="57"/>
        <v>non-original</v>
      </c>
      <c r="P518" t="str">
        <f t="shared" si="58"/>
        <v>non-franchise</v>
      </c>
      <c r="Q518" t="str">
        <f t="shared" si="59"/>
        <v>new</v>
      </c>
      <c r="R518" s="2">
        <f t="shared" si="60"/>
        <v>1.7980177754387767E-2</v>
      </c>
      <c r="S518">
        <f t="shared" si="61"/>
        <v>0.63157894736842091</v>
      </c>
      <c r="T518" t="str">
        <f t="shared" si="62"/>
        <v>Scenario 3: Strong Convenience</v>
      </c>
    </row>
    <row r="519" spans="1:20" x14ac:dyDescent="0.35">
      <c r="A519" t="s">
        <v>677</v>
      </c>
      <c r="B519" s="1">
        <v>45252</v>
      </c>
      <c r="C519">
        <v>2023</v>
      </c>
      <c r="D519">
        <v>11</v>
      </c>
      <c r="E519" t="s">
        <v>125</v>
      </c>
      <c r="F519">
        <v>117</v>
      </c>
      <c r="G519" t="s">
        <v>678</v>
      </c>
      <c r="H519" t="s">
        <v>24</v>
      </c>
      <c r="I519">
        <v>0</v>
      </c>
      <c r="J519">
        <v>0</v>
      </c>
      <c r="K519">
        <v>5.7</v>
      </c>
      <c r="L519">
        <v>767</v>
      </c>
      <c r="M519" t="s">
        <v>17</v>
      </c>
      <c r="N519" t="str">
        <f t="shared" si="56"/>
        <v>streaming</v>
      </c>
      <c r="O519" t="str">
        <f t="shared" si="57"/>
        <v>non-original</v>
      </c>
      <c r="P519" t="str">
        <f t="shared" si="58"/>
        <v>non-franchise</v>
      </c>
      <c r="Q519" t="str">
        <f t="shared" si="59"/>
        <v>new</v>
      </c>
      <c r="R519" s="2">
        <f t="shared" si="60"/>
        <v>3.3533621290228943E-4</v>
      </c>
      <c r="S519">
        <f t="shared" si="61"/>
        <v>0.47892857142857148</v>
      </c>
      <c r="T519" t="str">
        <f t="shared" si="62"/>
        <v>Scenario 2: Weak Commitment/Convenience</v>
      </c>
    </row>
    <row r="520" spans="1:20" x14ac:dyDescent="0.35">
      <c r="A520" t="s">
        <v>679</v>
      </c>
      <c r="B520" s="1">
        <v>45254</v>
      </c>
      <c r="C520">
        <v>2023</v>
      </c>
      <c r="D520">
        <v>11</v>
      </c>
      <c r="E520" t="s">
        <v>125</v>
      </c>
      <c r="F520">
        <v>99</v>
      </c>
      <c r="G520" t="s">
        <v>34</v>
      </c>
      <c r="H520" t="s">
        <v>30</v>
      </c>
      <c r="I520">
        <v>0</v>
      </c>
      <c r="J520">
        <v>0</v>
      </c>
      <c r="K520">
        <v>5.5</v>
      </c>
      <c r="L520">
        <v>856</v>
      </c>
      <c r="M520" t="s">
        <v>17</v>
      </c>
      <c r="N520" t="str">
        <f t="shared" si="56"/>
        <v>streaming</v>
      </c>
      <c r="O520" t="str">
        <f t="shared" si="57"/>
        <v>non-original</v>
      </c>
      <c r="P520" t="str">
        <f t="shared" si="58"/>
        <v>non-franchise</v>
      </c>
      <c r="Q520" t="str">
        <f t="shared" si="59"/>
        <v>new</v>
      </c>
      <c r="R520" s="2">
        <f t="shared" si="60"/>
        <v>3.1667092374766393E-4</v>
      </c>
      <c r="S520">
        <f t="shared" si="61"/>
        <v>0.517951127819549</v>
      </c>
      <c r="T520" t="str">
        <f t="shared" si="62"/>
        <v>Scenario 3: Strong Convenience</v>
      </c>
    </row>
    <row r="521" spans="1:20" x14ac:dyDescent="0.35">
      <c r="A521" t="s">
        <v>680</v>
      </c>
      <c r="B521" s="1">
        <v>45254</v>
      </c>
      <c r="C521">
        <v>2023</v>
      </c>
      <c r="D521">
        <v>11</v>
      </c>
      <c r="E521" t="s">
        <v>125</v>
      </c>
      <c r="F521">
        <v>100</v>
      </c>
      <c r="G521" t="s">
        <v>34</v>
      </c>
      <c r="H521" t="s">
        <v>30</v>
      </c>
      <c r="I521">
        <v>0</v>
      </c>
      <c r="J521">
        <v>0</v>
      </c>
      <c r="K521">
        <v>5.5</v>
      </c>
      <c r="L521">
        <v>830</v>
      </c>
      <c r="M521" t="s">
        <v>17</v>
      </c>
      <c r="N521" t="str">
        <f t="shared" si="56"/>
        <v>streaming</v>
      </c>
      <c r="O521" t="str">
        <f t="shared" si="57"/>
        <v>non-original</v>
      </c>
      <c r="P521" t="str">
        <f t="shared" si="58"/>
        <v>non-franchise</v>
      </c>
      <c r="Q521" t="str">
        <f t="shared" si="59"/>
        <v>new</v>
      </c>
      <c r="R521" s="2">
        <f t="shared" si="60"/>
        <v>3.1015395392070357E-4</v>
      </c>
      <c r="S521">
        <f t="shared" si="61"/>
        <v>0.51484962406015045</v>
      </c>
      <c r="T521" t="str">
        <f t="shared" si="62"/>
        <v>Scenario 3: Strong Convenience</v>
      </c>
    </row>
    <row r="522" spans="1:20" x14ac:dyDescent="0.35">
      <c r="A522" t="s">
        <v>681</v>
      </c>
      <c r="B522" s="1">
        <v>45254</v>
      </c>
      <c r="C522">
        <v>2023</v>
      </c>
      <c r="D522">
        <v>11</v>
      </c>
      <c r="E522" t="s">
        <v>125</v>
      </c>
      <c r="F522">
        <v>91</v>
      </c>
      <c r="G522" t="s">
        <v>34</v>
      </c>
      <c r="H522" t="s">
        <v>24</v>
      </c>
      <c r="I522">
        <v>0</v>
      </c>
      <c r="J522">
        <v>0</v>
      </c>
      <c r="K522">
        <v>5.3</v>
      </c>
      <c r="L522">
        <v>10568</v>
      </c>
      <c r="M522" t="s">
        <v>17</v>
      </c>
      <c r="N522" t="str">
        <f t="shared" si="56"/>
        <v>streaming</v>
      </c>
      <c r="O522" t="str">
        <f t="shared" si="57"/>
        <v>non-original</v>
      </c>
      <c r="P522" t="str">
        <f t="shared" si="58"/>
        <v>non-franchise</v>
      </c>
      <c r="Q522" t="str">
        <f t="shared" si="59"/>
        <v>new</v>
      </c>
      <c r="R522" s="2">
        <f t="shared" si="60"/>
        <v>3.5936305498565492E-3</v>
      </c>
      <c r="S522">
        <f t="shared" si="61"/>
        <v>0.52302631578947378</v>
      </c>
      <c r="T522" t="str">
        <f t="shared" si="62"/>
        <v>Scenario 3: Strong Convenience</v>
      </c>
    </row>
    <row r="523" spans="1:20" x14ac:dyDescent="0.35">
      <c r="A523" t="s">
        <v>682</v>
      </c>
      <c r="B523" s="1">
        <v>45254</v>
      </c>
      <c r="C523">
        <v>2023</v>
      </c>
      <c r="D523">
        <v>11</v>
      </c>
      <c r="E523" t="s">
        <v>125</v>
      </c>
      <c r="F523">
        <v>79</v>
      </c>
      <c r="G523" t="s">
        <v>21</v>
      </c>
      <c r="H523" t="s">
        <v>30</v>
      </c>
      <c r="I523">
        <v>0</v>
      </c>
      <c r="J523">
        <v>0</v>
      </c>
      <c r="K523">
        <v>4.2</v>
      </c>
      <c r="L523">
        <v>167</v>
      </c>
      <c r="M523" t="s">
        <v>17</v>
      </c>
      <c r="N523" t="str">
        <f t="shared" si="56"/>
        <v>streaming</v>
      </c>
      <c r="O523" t="str">
        <f t="shared" si="57"/>
        <v>non-original</v>
      </c>
      <c r="P523" t="str">
        <f t="shared" si="58"/>
        <v>non-franchise</v>
      </c>
      <c r="Q523" t="str">
        <f t="shared" si="59"/>
        <v>new</v>
      </c>
      <c r="R523" s="2">
        <f t="shared" si="60"/>
        <v>4.9299531494889675E-5</v>
      </c>
      <c r="S523">
        <f t="shared" si="61"/>
        <v>0.44289473684210529</v>
      </c>
      <c r="T523" t="str">
        <f t="shared" si="62"/>
        <v>Scenario 2: Weak Commitment/Convenience</v>
      </c>
    </row>
    <row r="524" spans="1:20" x14ac:dyDescent="0.35">
      <c r="A524" t="s">
        <v>683</v>
      </c>
      <c r="B524" s="1">
        <v>45260</v>
      </c>
      <c r="C524">
        <v>2023</v>
      </c>
      <c r="D524">
        <v>11</v>
      </c>
      <c r="E524" t="s">
        <v>125</v>
      </c>
      <c r="F524">
        <v>105</v>
      </c>
      <c r="G524" t="s">
        <v>21</v>
      </c>
      <c r="H524" t="s">
        <v>56</v>
      </c>
      <c r="I524">
        <v>0</v>
      </c>
      <c r="J524">
        <v>0</v>
      </c>
      <c r="K524">
        <v>5.7</v>
      </c>
      <c r="L524">
        <v>33088</v>
      </c>
      <c r="M524" t="s">
        <v>88</v>
      </c>
      <c r="N524" t="str">
        <f t="shared" si="56"/>
        <v>streaming</v>
      </c>
      <c r="O524" t="str">
        <f t="shared" si="57"/>
        <v>non-original</v>
      </c>
      <c r="P524" t="str">
        <f t="shared" si="58"/>
        <v>non-franchise</v>
      </c>
      <c r="Q524" t="str">
        <f t="shared" si="59"/>
        <v>new</v>
      </c>
      <c r="R524" s="2">
        <f t="shared" si="60"/>
        <v>1.2982521359873076E-2</v>
      </c>
      <c r="S524">
        <f t="shared" si="61"/>
        <v>0.51750000000000007</v>
      </c>
      <c r="T524" t="str">
        <f t="shared" si="62"/>
        <v>Scenario 3: Strong Convenience</v>
      </c>
    </row>
    <row r="525" spans="1:20" x14ac:dyDescent="0.35">
      <c r="A525" t="s">
        <v>684</v>
      </c>
      <c r="B525" s="1">
        <v>45266</v>
      </c>
      <c r="C525">
        <v>2023</v>
      </c>
      <c r="D525">
        <v>12</v>
      </c>
      <c r="E525" t="s">
        <v>14</v>
      </c>
      <c r="F525">
        <v>89</v>
      </c>
      <c r="G525" t="s">
        <v>29</v>
      </c>
      <c r="H525" t="s">
        <v>27</v>
      </c>
      <c r="I525">
        <v>0</v>
      </c>
      <c r="J525">
        <v>0</v>
      </c>
      <c r="K525">
        <v>5.5</v>
      </c>
      <c r="L525">
        <v>6718</v>
      </c>
      <c r="M525" t="s">
        <v>17</v>
      </c>
      <c r="N525" t="str">
        <f t="shared" si="56"/>
        <v>streaming</v>
      </c>
      <c r="O525" t="str">
        <f t="shared" si="57"/>
        <v>non-original</v>
      </c>
      <c r="P525" t="str">
        <f t="shared" si="58"/>
        <v>non-franchise</v>
      </c>
      <c r="Q525" t="str">
        <f t="shared" si="59"/>
        <v>new</v>
      </c>
      <c r="R525" s="2">
        <f t="shared" si="60"/>
        <v>2.234236980205982E-3</v>
      </c>
      <c r="S525">
        <f t="shared" si="61"/>
        <v>0.54896616541353382</v>
      </c>
      <c r="T525" t="str">
        <f t="shared" si="62"/>
        <v>Scenario 3: Strong Convenience</v>
      </c>
    </row>
    <row r="526" spans="1:20" x14ac:dyDescent="0.35">
      <c r="A526" t="s">
        <v>685</v>
      </c>
      <c r="B526" s="1">
        <v>45267</v>
      </c>
      <c r="C526">
        <v>2023</v>
      </c>
      <c r="D526">
        <v>12</v>
      </c>
      <c r="E526" t="s">
        <v>14</v>
      </c>
      <c r="F526">
        <v>113</v>
      </c>
      <c r="G526" t="s">
        <v>19</v>
      </c>
      <c r="H526" t="s">
        <v>24</v>
      </c>
      <c r="I526">
        <v>0</v>
      </c>
      <c r="J526">
        <v>0</v>
      </c>
      <c r="K526">
        <v>5.9</v>
      </c>
      <c r="L526">
        <v>20333</v>
      </c>
      <c r="M526" t="s">
        <v>17</v>
      </c>
      <c r="N526" t="str">
        <f t="shared" si="56"/>
        <v>streaming</v>
      </c>
      <c r="O526" t="str">
        <f t="shared" si="57"/>
        <v>non-original</v>
      </c>
      <c r="P526" t="str">
        <f t="shared" si="58"/>
        <v>non-franchise</v>
      </c>
      <c r="Q526" t="str">
        <f t="shared" si="59"/>
        <v>new</v>
      </c>
      <c r="R526" s="2">
        <f t="shared" si="60"/>
        <v>8.5857676987093033E-3</v>
      </c>
      <c r="S526">
        <f t="shared" si="61"/>
        <v>0.50904135338345868</v>
      </c>
      <c r="T526" t="str">
        <f t="shared" si="62"/>
        <v>Scenario 3: Strong Convenience</v>
      </c>
    </row>
    <row r="527" spans="1:20" x14ac:dyDescent="0.35">
      <c r="A527" t="s">
        <v>686</v>
      </c>
      <c r="B527" s="1">
        <v>45267</v>
      </c>
      <c r="C527">
        <v>2023</v>
      </c>
      <c r="D527">
        <v>12</v>
      </c>
      <c r="E527" t="s">
        <v>14</v>
      </c>
      <c r="F527">
        <v>143</v>
      </c>
      <c r="G527" t="s">
        <v>188</v>
      </c>
      <c r="H527" t="s">
        <v>27</v>
      </c>
      <c r="I527">
        <v>0</v>
      </c>
      <c r="J527">
        <v>0</v>
      </c>
      <c r="K527">
        <v>4.2</v>
      </c>
      <c r="L527">
        <v>53518</v>
      </c>
      <c r="M527" t="s">
        <v>17</v>
      </c>
      <c r="N527" t="str">
        <f t="shared" si="56"/>
        <v>streaming</v>
      </c>
      <c r="O527" t="str">
        <f t="shared" si="57"/>
        <v>non-original</v>
      </c>
      <c r="P527" t="str">
        <f t="shared" si="58"/>
        <v>non-franchise</v>
      </c>
      <c r="Q527" t="str">
        <f t="shared" si="59"/>
        <v>new</v>
      </c>
      <c r="R527" s="2">
        <f t="shared" si="60"/>
        <v>2.8597965792141383E-2</v>
      </c>
      <c r="S527">
        <f t="shared" si="61"/>
        <v>0.29131578947368425</v>
      </c>
      <c r="T527" t="str">
        <f t="shared" si="62"/>
        <v>Scenario 2: Weak Commitment/Convenience</v>
      </c>
    </row>
    <row r="528" spans="1:20" x14ac:dyDescent="0.35">
      <c r="A528" t="s">
        <v>687</v>
      </c>
      <c r="B528" s="1">
        <v>45268</v>
      </c>
      <c r="C528">
        <v>2023</v>
      </c>
      <c r="D528">
        <v>12</v>
      </c>
      <c r="E528" t="s">
        <v>14</v>
      </c>
      <c r="F528">
        <v>119</v>
      </c>
      <c r="G528" t="s">
        <v>19</v>
      </c>
      <c r="H528" t="s">
        <v>30</v>
      </c>
      <c r="I528">
        <v>0</v>
      </c>
      <c r="J528">
        <v>0</v>
      </c>
      <c r="K528">
        <v>4.4000000000000004</v>
      </c>
      <c r="L528">
        <v>496</v>
      </c>
      <c r="M528" t="s">
        <v>17</v>
      </c>
      <c r="N528" t="str">
        <f t="shared" si="56"/>
        <v>streaming</v>
      </c>
      <c r="O528" t="str">
        <f t="shared" si="57"/>
        <v>non-original</v>
      </c>
      <c r="P528" t="str">
        <f t="shared" si="58"/>
        <v>non-franchise</v>
      </c>
      <c r="Q528" t="str">
        <f t="shared" si="59"/>
        <v>new</v>
      </c>
      <c r="R528" s="2">
        <f t="shared" si="60"/>
        <v>2.2056056597850133E-4</v>
      </c>
      <c r="S528">
        <f t="shared" si="61"/>
        <v>0.36473684210526319</v>
      </c>
      <c r="T528" t="str">
        <f t="shared" si="62"/>
        <v>Scenario 2: Weak Commitment/Convenience</v>
      </c>
    </row>
    <row r="529" spans="1:20" x14ac:dyDescent="0.35">
      <c r="A529" t="s">
        <v>688</v>
      </c>
      <c r="B529" s="1">
        <v>45268</v>
      </c>
      <c r="C529">
        <v>2023</v>
      </c>
      <c r="D529">
        <v>12</v>
      </c>
      <c r="E529" t="s">
        <v>14</v>
      </c>
      <c r="F529">
        <v>141</v>
      </c>
      <c r="G529" t="s">
        <v>34</v>
      </c>
      <c r="H529" t="s">
        <v>24</v>
      </c>
      <c r="I529">
        <v>0</v>
      </c>
      <c r="J529">
        <v>0</v>
      </c>
      <c r="K529">
        <v>6.4</v>
      </c>
      <c r="L529">
        <v>240002</v>
      </c>
      <c r="M529" t="s">
        <v>88</v>
      </c>
      <c r="N529" t="str">
        <f t="shared" si="56"/>
        <v>streaming</v>
      </c>
      <c r="O529" t="str">
        <f t="shared" si="57"/>
        <v>non-original</v>
      </c>
      <c r="P529" t="str">
        <f t="shared" si="58"/>
        <v>non-franchise</v>
      </c>
      <c r="Q529" t="str">
        <f t="shared" si="59"/>
        <v>new</v>
      </c>
      <c r="R529" s="2">
        <f t="shared" si="60"/>
        <v>0.12645418390471824</v>
      </c>
      <c r="S529">
        <f t="shared" si="61"/>
        <v>0.45112781954887216</v>
      </c>
      <c r="T529" t="str">
        <f t="shared" si="62"/>
        <v>Scenario 1: Strong Commitment</v>
      </c>
    </row>
    <row r="530" spans="1:20" x14ac:dyDescent="0.35">
      <c r="A530" t="s">
        <v>689</v>
      </c>
      <c r="B530" s="1">
        <v>45275</v>
      </c>
      <c r="C530">
        <v>2023</v>
      </c>
      <c r="D530">
        <v>12</v>
      </c>
      <c r="E530" t="s">
        <v>14</v>
      </c>
      <c r="F530">
        <v>101</v>
      </c>
      <c r="G530" t="s">
        <v>690</v>
      </c>
      <c r="H530" t="s">
        <v>56</v>
      </c>
      <c r="I530">
        <v>1</v>
      </c>
      <c r="J530">
        <v>1</v>
      </c>
      <c r="K530">
        <v>6.3</v>
      </c>
      <c r="L530">
        <v>28766</v>
      </c>
      <c r="M530" t="s">
        <v>88</v>
      </c>
      <c r="N530" t="str">
        <f t="shared" si="56"/>
        <v>streaming</v>
      </c>
      <c r="O530" t="str">
        <f t="shared" si="57"/>
        <v>original</v>
      </c>
      <c r="P530" t="str">
        <f t="shared" si="58"/>
        <v>franchise</v>
      </c>
      <c r="Q530" t="str">
        <f t="shared" si="59"/>
        <v>old</v>
      </c>
      <c r="R530" s="2">
        <f t="shared" si="60"/>
        <v>1.6285134081086367E-2</v>
      </c>
      <c r="S530">
        <f t="shared" si="61"/>
        <v>0.39078947368421052</v>
      </c>
      <c r="T530" t="str">
        <f t="shared" si="62"/>
        <v>Scenario 2: Weak Commitment/Convenience</v>
      </c>
    </row>
    <row r="531" spans="1:20" x14ac:dyDescent="0.35">
      <c r="A531" t="s">
        <v>691</v>
      </c>
      <c r="B531" s="1">
        <v>45275</v>
      </c>
      <c r="C531">
        <v>2023</v>
      </c>
      <c r="D531">
        <v>12</v>
      </c>
      <c r="E531" t="s">
        <v>14</v>
      </c>
      <c r="F531">
        <v>105</v>
      </c>
      <c r="G531" t="s">
        <v>34</v>
      </c>
      <c r="H531" t="s">
        <v>24</v>
      </c>
      <c r="I531">
        <v>0</v>
      </c>
      <c r="J531">
        <v>0</v>
      </c>
      <c r="K531">
        <v>6.6</v>
      </c>
      <c r="L531">
        <v>1126</v>
      </c>
      <c r="M531" t="s">
        <v>17</v>
      </c>
      <c r="N531" t="str">
        <f t="shared" si="56"/>
        <v>streaming</v>
      </c>
      <c r="O531" t="str">
        <f t="shared" si="57"/>
        <v>non-original</v>
      </c>
      <c r="P531" t="str">
        <f t="shared" si="58"/>
        <v>non-franchise</v>
      </c>
      <c r="Q531" t="str">
        <f t="shared" si="59"/>
        <v>new</v>
      </c>
      <c r="R531" s="2">
        <f t="shared" si="60"/>
        <v>4.4180122857885286E-4</v>
      </c>
      <c r="S531">
        <f t="shared" si="61"/>
        <v>0.59921052631578942</v>
      </c>
      <c r="T531" t="str">
        <f t="shared" si="62"/>
        <v>Scenario 3: Strong Convenience</v>
      </c>
    </row>
    <row r="532" spans="1:20" x14ac:dyDescent="0.35">
      <c r="A532" t="s">
        <v>692</v>
      </c>
      <c r="B532" s="1">
        <v>45280</v>
      </c>
      <c r="C532">
        <v>2023</v>
      </c>
      <c r="D532">
        <v>12</v>
      </c>
      <c r="E532" t="s">
        <v>14</v>
      </c>
      <c r="F532">
        <v>131</v>
      </c>
      <c r="G532" t="s">
        <v>111</v>
      </c>
      <c r="H532" t="s">
        <v>24</v>
      </c>
      <c r="I532">
        <v>0</v>
      </c>
      <c r="J532">
        <v>0</v>
      </c>
      <c r="K532">
        <v>6.5</v>
      </c>
      <c r="L532">
        <v>69070</v>
      </c>
      <c r="M532" t="s">
        <v>17</v>
      </c>
      <c r="N532" t="str">
        <f t="shared" si="56"/>
        <v>streaming</v>
      </c>
      <c r="O532" t="str">
        <f t="shared" si="57"/>
        <v>non-original</v>
      </c>
      <c r="P532" t="str">
        <f t="shared" si="58"/>
        <v>non-franchise</v>
      </c>
      <c r="Q532" t="str">
        <f t="shared" si="59"/>
        <v>new</v>
      </c>
      <c r="R532" s="2">
        <f t="shared" si="60"/>
        <v>3.381115302706858E-2</v>
      </c>
      <c r="S532">
        <f t="shared" si="61"/>
        <v>0.49483082706766929</v>
      </c>
      <c r="T532" t="str">
        <f t="shared" si="62"/>
        <v>Scenario 1: Strong Commitment</v>
      </c>
    </row>
    <row r="533" spans="1:20" x14ac:dyDescent="0.35">
      <c r="A533" t="s">
        <v>693</v>
      </c>
      <c r="B533" s="1">
        <v>45280</v>
      </c>
      <c r="C533">
        <v>2023</v>
      </c>
      <c r="D533">
        <v>12</v>
      </c>
      <c r="E533" t="s">
        <v>14</v>
      </c>
      <c r="F533">
        <v>100</v>
      </c>
      <c r="G533" t="s">
        <v>21</v>
      </c>
      <c r="H533" t="s">
        <v>24</v>
      </c>
      <c r="I533">
        <v>0</v>
      </c>
      <c r="J533">
        <v>0</v>
      </c>
      <c r="K533">
        <v>4.3</v>
      </c>
      <c r="L533">
        <v>334</v>
      </c>
      <c r="M533" t="s">
        <v>17</v>
      </c>
      <c r="N533" t="str">
        <f t="shared" si="56"/>
        <v>streaming</v>
      </c>
      <c r="O533" t="str">
        <f t="shared" si="57"/>
        <v>non-original</v>
      </c>
      <c r="P533" t="str">
        <f t="shared" si="58"/>
        <v>non-franchise</v>
      </c>
      <c r="Q533" t="str">
        <f t="shared" si="59"/>
        <v>new</v>
      </c>
      <c r="R533" s="2">
        <f t="shared" si="60"/>
        <v>1.2480894049339157E-4</v>
      </c>
      <c r="S533">
        <f t="shared" si="61"/>
        <v>0.40251879699248122</v>
      </c>
      <c r="T533" t="str">
        <f t="shared" si="62"/>
        <v>Scenario 2: Weak Commitment/Convenience</v>
      </c>
    </row>
    <row r="534" spans="1:20" x14ac:dyDescent="0.35">
      <c r="A534" t="s">
        <v>694</v>
      </c>
      <c r="B534" s="1">
        <v>45284</v>
      </c>
      <c r="C534">
        <v>2023</v>
      </c>
      <c r="D534">
        <v>12</v>
      </c>
      <c r="E534" t="s">
        <v>14</v>
      </c>
      <c r="F534">
        <v>89</v>
      </c>
      <c r="G534" t="s">
        <v>21</v>
      </c>
      <c r="H534" t="s">
        <v>24</v>
      </c>
      <c r="I534">
        <v>0</v>
      </c>
      <c r="J534">
        <v>0</v>
      </c>
      <c r="K534">
        <v>4.7</v>
      </c>
      <c r="L534">
        <v>1664</v>
      </c>
      <c r="M534" t="s">
        <v>17</v>
      </c>
      <c r="N534" t="str">
        <f t="shared" si="56"/>
        <v>streaming</v>
      </c>
      <c r="O534" t="str">
        <f t="shared" si="57"/>
        <v>non-original</v>
      </c>
      <c r="P534" t="str">
        <f t="shared" si="58"/>
        <v>non-franchise</v>
      </c>
      <c r="Q534" t="str">
        <f t="shared" si="59"/>
        <v>new</v>
      </c>
      <c r="R534" s="2">
        <f t="shared" si="60"/>
        <v>5.5340433686554844E-4</v>
      </c>
      <c r="S534">
        <f t="shared" si="61"/>
        <v>0.46911654135338349</v>
      </c>
      <c r="T534" t="str">
        <f t="shared" si="62"/>
        <v>Scenario 2: Weak Commitment/Convenience</v>
      </c>
    </row>
    <row r="535" spans="1:20" x14ac:dyDescent="0.35">
      <c r="A535" t="s">
        <v>695</v>
      </c>
      <c r="B535" s="1">
        <v>45286</v>
      </c>
      <c r="C535">
        <v>2023</v>
      </c>
      <c r="D535">
        <v>12</v>
      </c>
      <c r="E535" t="s">
        <v>14</v>
      </c>
      <c r="F535">
        <v>134</v>
      </c>
      <c r="G535" t="s">
        <v>116</v>
      </c>
      <c r="H535" t="s">
        <v>27</v>
      </c>
      <c r="I535">
        <v>0</v>
      </c>
      <c r="J535">
        <v>0</v>
      </c>
      <c r="K535">
        <v>7.3</v>
      </c>
      <c r="L535">
        <v>31643</v>
      </c>
      <c r="M535" t="s">
        <v>17</v>
      </c>
      <c r="N535" t="str">
        <f t="shared" si="56"/>
        <v>streaming</v>
      </c>
      <c r="O535" t="str">
        <f t="shared" si="57"/>
        <v>non-original</v>
      </c>
      <c r="P535" t="str">
        <f t="shared" si="58"/>
        <v>non-franchise</v>
      </c>
      <c r="Q535" t="str">
        <f t="shared" si="59"/>
        <v>new</v>
      </c>
      <c r="R535" s="2">
        <f t="shared" si="60"/>
        <v>1.5844614573064079E-2</v>
      </c>
      <c r="S535">
        <f t="shared" si="61"/>
        <v>0.54338345864661652</v>
      </c>
      <c r="T535" t="str">
        <f t="shared" si="62"/>
        <v>Scenario 3: Strong Convenience</v>
      </c>
    </row>
    <row r="536" spans="1:20" x14ac:dyDescent="0.35">
      <c r="A536" t="s">
        <v>696</v>
      </c>
      <c r="B536" s="1">
        <v>45286</v>
      </c>
      <c r="C536">
        <v>2023</v>
      </c>
      <c r="D536">
        <v>12</v>
      </c>
      <c r="E536" t="s">
        <v>14</v>
      </c>
      <c r="F536">
        <v>91</v>
      </c>
      <c r="G536" t="s">
        <v>116</v>
      </c>
      <c r="H536" t="s">
        <v>27</v>
      </c>
      <c r="I536">
        <v>0</v>
      </c>
      <c r="J536">
        <v>0</v>
      </c>
      <c r="K536">
        <v>6</v>
      </c>
      <c r="L536">
        <v>1487</v>
      </c>
      <c r="M536" t="s">
        <v>17</v>
      </c>
      <c r="N536" t="str">
        <f t="shared" si="56"/>
        <v>streaming</v>
      </c>
      <c r="O536" t="str">
        <f t="shared" si="57"/>
        <v>non-original</v>
      </c>
      <c r="P536" t="str">
        <f t="shared" si="58"/>
        <v>non-franchise</v>
      </c>
      <c r="Q536" t="str">
        <f t="shared" si="59"/>
        <v>new</v>
      </c>
      <c r="R536" s="2">
        <f t="shared" si="60"/>
        <v>5.056518383456367E-4</v>
      </c>
      <c r="S536">
        <f t="shared" si="61"/>
        <v>0.59210526315789469</v>
      </c>
      <c r="T536" t="str">
        <f t="shared" si="62"/>
        <v>Scenario 3: Strong Convenience</v>
      </c>
    </row>
    <row r="537" spans="1:20" x14ac:dyDescent="0.35">
      <c r="A537" t="s">
        <v>697</v>
      </c>
      <c r="B537" s="1">
        <v>45303</v>
      </c>
      <c r="C537">
        <v>2024</v>
      </c>
      <c r="D537">
        <v>1</v>
      </c>
      <c r="E537" t="s">
        <v>14</v>
      </c>
      <c r="F537">
        <v>106</v>
      </c>
      <c r="G537" t="s">
        <v>698</v>
      </c>
      <c r="H537" t="s">
        <v>27</v>
      </c>
      <c r="I537">
        <v>0</v>
      </c>
      <c r="J537">
        <v>0</v>
      </c>
      <c r="K537">
        <v>5.6</v>
      </c>
      <c r="L537">
        <v>52117</v>
      </c>
      <c r="M537" t="s">
        <v>88</v>
      </c>
      <c r="N537" t="str">
        <f t="shared" si="56"/>
        <v>streaming</v>
      </c>
      <c r="O537" t="str">
        <f t="shared" si="57"/>
        <v>non-original</v>
      </c>
      <c r="P537" t="str">
        <f t="shared" si="58"/>
        <v>non-franchise</v>
      </c>
      <c r="Q537" t="str">
        <f t="shared" si="59"/>
        <v>new</v>
      </c>
      <c r="R537" s="2">
        <f t="shared" si="60"/>
        <v>2.0643555702981237E-2</v>
      </c>
      <c r="S537">
        <f t="shared" si="61"/>
        <v>0.50526315789473675</v>
      </c>
      <c r="T537" t="str">
        <f t="shared" si="62"/>
        <v>Scenario 3: Strong Convenience</v>
      </c>
    </row>
    <row r="538" spans="1:20" x14ac:dyDescent="0.35">
      <c r="A538" t="s">
        <v>699</v>
      </c>
      <c r="B538" s="1">
        <v>45309</v>
      </c>
      <c r="C538">
        <v>2024</v>
      </c>
      <c r="D538">
        <v>1</v>
      </c>
      <c r="E538" t="s">
        <v>14</v>
      </c>
      <c r="F538">
        <v>92</v>
      </c>
      <c r="G538" t="s">
        <v>34</v>
      </c>
      <c r="H538" t="s">
        <v>27</v>
      </c>
      <c r="I538">
        <v>0</v>
      </c>
      <c r="J538">
        <v>0</v>
      </c>
      <c r="K538">
        <v>5</v>
      </c>
      <c r="L538">
        <v>1391</v>
      </c>
      <c r="M538" t="s">
        <v>17</v>
      </c>
      <c r="N538" t="str">
        <f t="shared" si="56"/>
        <v>streaming</v>
      </c>
      <c r="O538" t="str">
        <f t="shared" si="57"/>
        <v>non-original</v>
      </c>
      <c r="P538" t="str">
        <f t="shared" si="58"/>
        <v>non-franchise</v>
      </c>
      <c r="Q538" t="str">
        <f t="shared" si="59"/>
        <v>new</v>
      </c>
      <c r="R538" s="2">
        <f t="shared" si="60"/>
        <v>4.7820508182096715E-4</v>
      </c>
      <c r="S538">
        <f t="shared" si="61"/>
        <v>0.49060150375939848</v>
      </c>
      <c r="T538" t="str">
        <f t="shared" si="62"/>
        <v>Scenario 2: Weak Commitment/Convenience</v>
      </c>
    </row>
    <row r="539" spans="1:20" x14ac:dyDescent="0.35">
      <c r="A539" t="s">
        <v>700</v>
      </c>
      <c r="B539" s="1">
        <v>45310</v>
      </c>
      <c r="C539">
        <v>2024</v>
      </c>
      <c r="D539">
        <v>1</v>
      </c>
      <c r="E539" t="s">
        <v>14</v>
      </c>
      <c r="F539">
        <v>89</v>
      </c>
      <c r="G539" t="s">
        <v>58</v>
      </c>
      <c r="H539" t="s">
        <v>24</v>
      </c>
      <c r="I539">
        <v>0</v>
      </c>
      <c r="J539">
        <v>0</v>
      </c>
      <c r="K539">
        <v>5.7</v>
      </c>
      <c r="L539">
        <v>5602</v>
      </c>
      <c r="M539" t="s">
        <v>88</v>
      </c>
      <c r="N539" t="str">
        <f t="shared" si="56"/>
        <v>streaming</v>
      </c>
      <c r="O539" t="str">
        <f t="shared" si="57"/>
        <v>non-original</v>
      </c>
      <c r="P539" t="str">
        <f t="shared" si="58"/>
        <v>non-franchise</v>
      </c>
      <c r="Q539" t="str">
        <f t="shared" si="59"/>
        <v>new</v>
      </c>
      <c r="R539" s="2">
        <f t="shared" si="60"/>
        <v>1.8630835908177898E-3</v>
      </c>
      <c r="S539">
        <f t="shared" si="61"/>
        <v>0.56892857142857145</v>
      </c>
      <c r="T539" t="str">
        <f t="shared" si="62"/>
        <v>Scenario 3: Strong Convenience</v>
      </c>
    </row>
    <row r="540" spans="1:20" x14ac:dyDescent="0.35">
      <c r="A540" t="s">
        <v>701</v>
      </c>
      <c r="B540" s="1">
        <v>45317</v>
      </c>
      <c r="C540">
        <v>2024</v>
      </c>
      <c r="D540">
        <v>1</v>
      </c>
      <c r="E540" t="s">
        <v>14</v>
      </c>
      <c r="F540">
        <v>107</v>
      </c>
      <c r="G540" t="s">
        <v>702</v>
      </c>
      <c r="H540" t="s">
        <v>24</v>
      </c>
      <c r="I540">
        <v>0</v>
      </c>
      <c r="J540">
        <v>0</v>
      </c>
      <c r="K540">
        <v>6</v>
      </c>
      <c r="L540">
        <v>13414</v>
      </c>
      <c r="M540" t="s">
        <v>88</v>
      </c>
      <c r="N540" t="str">
        <f t="shared" si="56"/>
        <v>streaming</v>
      </c>
      <c r="O540" t="str">
        <f t="shared" si="57"/>
        <v>non-original</v>
      </c>
      <c r="P540" t="str">
        <f t="shared" si="58"/>
        <v>non-franchise</v>
      </c>
      <c r="Q540" t="str">
        <f t="shared" si="59"/>
        <v>new</v>
      </c>
      <c r="R540" s="2">
        <f t="shared" si="60"/>
        <v>5.3634138524635902E-3</v>
      </c>
      <c r="S540">
        <f t="shared" si="61"/>
        <v>0.5379699248120301</v>
      </c>
      <c r="T540" t="str">
        <f t="shared" si="62"/>
        <v>Scenario 3: Strong Convenience</v>
      </c>
    </row>
    <row r="541" spans="1:20" x14ac:dyDescent="0.35">
      <c r="A541" t="s">
        <v>703</v>
      </c>
      <c r="B541" s="1">
        <v>45324</v>
      </c>
      <c r="C541">
        <v>2024</v>
      </c>
      <c r="D541">
        <v>2</v>
      </c>
      <c r="E541" t="s">
        <v>14</v>
      </c>
      <c r="F541">
        <v>92</v>
      </c>
      <c r="G541" t="s">
        <v>704</v>
      </c>
      <c r="H541" t="s">
        <v>56</v>
      </c>
      <c r="I541">
        <v>0</v>
      </c>
      <c r="J541">
        <v>0</v>
      </c>
      <c r="K541">
        <v>6.3</v>
      </c>
      <c r="L541">
        <v>18970</v>
      </c>
      <c r="M541" t="s">
        <v>88</v>
      </c>
      <c r="N541" t="str">
        <f t="shared" si="56"/>
        <v>streaming</v>
      </c>
      <c r="O541" t="str">
        <f t="shared" si="57"/>
        <v>non-original</v>
      </c>
      <c r="P541" t="str">
        <f t="shared" si="58"/>
        <v>non-franchise</v>
      </c>
      <c r="Q541" t="str">
        <f t="shared" si="59"/>
        <v>new</v>
      </c>
      <c r="R541" s="2">
        <f t="shared" si="60"/>
        <v>6.5216034522960088E-3</v>
      </c>
      <c r="S541">
        <f t="shared" si="61"/>
        <v>0.61815789473684213</v>
      </c>
      <c r="T541" t="str">
        <f t="shared" si="62"/>
        <v>Scenario 3: Strong Convenience</v>
      </c>
    </row>
    <row r="542" spans="1:20" x14ac:dyDescent="0.35">
      <c r="A542" t="s">
        <v>705</v>
      </c>
      <c r="B542" s="1">
        <v>45331</v>
      </c>
      <c r="C542">
        <v>2024</v>
      </c>
      <c r="D542">
        <v>2</v>
      </c>
      <c r="E542" t="s">
        <v>14</v>
      </c>
      <c r="F542">
        <v>100</v>
      </c>
      <c r="G542" t="s">
        <v>34</v>
      </c>
      <c r="H542" t="s">
        <v>30</v>
      </c>
      <c r="I542">
        <v>0</v>
      </c>
      <c r="J542">
        <v>0</v>
      </c>
      <c r="K542">
        <v>4.3</v>
      </c>
      <c r="L542">
        <v>2811</v>
      </c>
      <c r="M542" t="s">
        <v>17</v>
      </c>
      <c r="N542" t="str">
        <f t="shared" si="56"/>
        <v>streaming</v>
      </c>
      <c r="O542" t="str">
        <f t="shared" si="57"/>
        <v>non-original</v>
      </c>
      <c r="P542" t="str">
        <f t="shared" si="58"/>
        <v>non-franchise</v>
      </c>
      <c r="Q542" t="str">
        <f t="shared" si="59"/>
        <v>new</v>
      </c>
      <c r="R542" s="2">
        <f t="shared" si="60"/>
        <v>1.0504129692422864E-3</v>
      </c>
      <c r="S542">
        <f t="shared" si="61"/>
        <v>0.40251879699248122</v>
      </c>
      <c r="T542" t="str">
        <f t="shared" si="62"/>
        <v>Scenario 2: Weak Commitment/Convenience</v>
      </c>
    </row>
    <row r="543" spans="1:20" x14ac:dyDescent="0.35">
      <c r="A543" t="s">
        <v>706</v>
      </c>
      <c r="B543" s="1">
        <v>45331</v>
      </c>
      <c r="C543">
        <v>2024</v>
      </c>
      <c r="D543">
        <v>2</v>
      </c>
      <c r="E543" t="s">
        <v>14</v>
      </c>
      <c r="F543">
        <v>134</v>
      </c>
      <c r="G543" t="s">
        <v>43</v>
      </c>
      <c r="H543" t="s">
        <v>24</v>
      </c>
      <c r="I543">
        <v>0</v>
      </c>
      <c r="J543">
        <v>0</v>
      </c>
      <c r="K543">
        <v>7.2</v>
      </c>
      <c r="L543">
        <v>7533</v>
      </c>
      <c r="M543" t="s">
        <v>17</v>
      </c>
      <c r="N543" t="str">
        <f t="shared" si="56"/>
        <v>streaming</v>
      </c>
      <c r="O543" t="str">
        <f t="shared" si="57"/>
        <v>non-original</v>
      </c>
      <c r="P543" t="str">
        <f t="shared" si="58"/>
        <v>non-franchise</v>
      </c>
      <c r="Q543" t="str">
        <f t="shared" si="59"/>
        <v>new</v>
      </c>
      <c r="R543" s="2">
        <f t="shared" si="60"/>
        <v>3.7720027045125841E-3</v>
      </c>
      <c r="S543">
        <f t="shared" si="61"/>
        <v>0.53593984962406016</v>
      </c>
      <c r="T543" t="str">
        <f t="shared" si="62"/>
        <v>Scenario 3: Strong Convenience</v>
      </c>
    </row>
    <row r="544" spans="1:20" x14ac:dyDescent="0.35">
      <c r="A544" t="s">
        <v>707</v>
      </c>
      <c r="B544" s="1">
        <v>45335</v>
      </c>
      <c r="C544">
        <v>2024</v>
      </c>
      <c r="D544">
        <v>2</v>
      </c>
      <c r="E544" t="s">
        <v>14</v>
      </c>
      <c r="F544">
        <v>94</v>
      </c>
      <c r="G544" t="s">
        <v>21</v>
      </c>
      <c r="H544" t="s">
        <v>30</v>
      </c>
      <c r="I544">
        <v>1</v>
      </c>
      <c r="J544">
        <v>1</v>
      </c>
      <c r="K544">
        <v>4.5999999999999996</v>
      </c>
      <c r="L544">
        <v>1454</v>
      </c>
      <c r="M544" t="s">
        <v>17</v>
      </c>
      <c r="N544" t="str">
        <f t="shared" si="56"/>
        <v>streaming</v>
      </c>
      <c r="O544" t="str">
        <f t="shared" si="57"/>
        <v>original</v>
      </c>
      <c r="P544" t="str">
        <f t="shared" si="58"/>
        <v>franchise</v>
      </c>
      <c r="Q544" t="str">
        <f t="shared" si="59"/>
        <v>old</v>
      </c>
      <c r="R544" s="2">
        <f t="shared" si="60"/>
        <v>7.6609521336264011E-4</v>
      </c>
      <c r="S544">
        <f t="shared" si="61"/>
        <v>0.2974436090225564</v>
      </c>
      <c r="T544" t="str">
        <f t="shared" si="62"/>
        <v>Scenario 2: Weak Commitment/Convenience</v>
      </c>
    </row>
    <row r="545" spans="1:20" x14ac:dyDescent="0.35">
      <c r="A545" t="s">
        <v>708</v>
      </c>
      <c r="B545" s="1">
        <v>45336</v>
      </c>
      <c r="C545">
        <v>2024</v>
      </c>
      <c r="D545">
        <v>2</v>
      </c>
      <c r="E545" t="s">
        <v>14</v>
      </c>
      <c r="F545">
        <v>105</v>
      </c>
      <c r="G545" t="s">
        <v>29</v>
      </c>
      <c r="H545" t="s">
        <v>24</v>
      </c>
      <c r="I545">
        <v>0</v>
      </c>
      <c r="J545">
        <v>0</v>
      </c>
      <c r="K545">
        <v>5.7</v>
      </c>
      <c r="L545">
        <v>12838</v>
      </c>
      <c r="M545" t="s">
        <v>17</v>
      </c>
      <c r="N545" t="str">
        <f t="shared" si="56"/>
        <v>streaming</v>
      </c>
      <c r="O545" t="str">
        <f t="shared" si="57"/>
        <v>non-original</v>
      </c>
      <c r="P545" t="str">
        <f t="shared" si="58"/>
        <v>non-franchise</v>
      </c>
      <c r="Q545" t="str">
        <f t="shared" si="59"/>
        <v>new</v>
      </c>
      <c r="R545" s="2">
        <f t="shared" si="60"/>
        <v>5.0371617872960149E-3</v>
      </c>
      <c r="S545">
        <f t="shared" si="61"/>
        <v>0.51750000000000007</v>
      </c>
      <c r="T545" t="str">
        <f t="shared" si="62"/>
        <v>Scenario 3: Strong Convenience</v>
      </c>
    </row>
    <row r="546" spans="1:20" x14ac:dyDescent="0.35">
      <c r="A546" t="s">
        <v>709</v>
      </c>
      <c r="B546" s="1">
        <v>45336</v>
      </c>
      <c r="C546">
        <v>2024</v>
      </c>
      <c r="D546">
        <v>2</v>
      </c>
      <c r="E546" t="s">
        <v>14</v>
      </c>
      <c r="F546">
        <v>96</v>
      </c>
      <c r="G546" t="s">
        <v>29</v>
      </c>
      <c r="H546" t="s">
        <v>27</v>
      </c>
      <c r="I546">
        <v>0</v>
      </c>
      <c r="J546">
        <v>0</v>
      </c>
      <c r="K546">
        <v>5.4</v>
      </c>
      <c r="L546">
        <v>787</v>
      </c>
      <c r="M546" t="s">
        <v>17</v>
      </c>
      <c r="N546" t="str">
        <f t="shared" si="56"/>
        <v>streaming</v>
      </c>
      <c r="O546" t="str">
        <f t="shared" si="57"/>
        <v>non-original</v>
      </c>
      <c r="P546" t="str">
        <f t="shared" si="58"/>
        <v>non-franchise</v>
      </c>
      <c r="Q546" t="str">
        <f t="shared" si="59"/>
        <v>new</v>
      </c>
      <c r="R546" s="2">
        <f t="shared" si="60"/>
        <v>2.8232230754960237E-4</v>
      </c>
      <c r="S546">
        <f t="shared" si="61"/>
        <v>0.51766917293233083</v>
      </c>
      <c r="T546" t="str">
        <f t="shared" si="62"/>
        <v>Scenario 3: Strong Convenience</v>
      </c>
    </row>
    <row r="547" spans="1:20" x14ac:dyDescent="0.35">
      <c r="A547" t="s">
        <v>710</v>
      </c>
      <c r="B547" s="1">
        <v>45350</v>
      </c>
      <c r="C547">
        <v>2024</v>
      </c>
      <c r="D547">
        <v>2</v>
      </c>
      <c r="E547" t="s">
        <v>14</v>
      </c>
      <c r="F547">
        <v>100</v>
      </c>
      <c r="G547" t="s">
        <v>192</v>
      </c>
      <c r="H547" t="s">
        <v>24</v>
      </c>
      <c r="I547">
        <v>0</v>
      </c>
      <c r="J547">
        <v>1</v>
      </c>
      <c r="K547">
        <v>5.7</v>
      </c>
      <c r="L547">
        <v>16953</v>
      </c>
      <c r="M547" t="s">
        <v>17</v>
      </c>
      <c r="N547" t="str">
        <f t="shared" si="56"/>
        <v>streaming</v>
      </c>
      <c r="O547" t="str">
        <f t="shared" si="57"/>
        <v>non-original</v>
      </c>
      <c r="P547" t="str">
        <f t="shared" si="58"/>
        <v>franchise</v>
      </c>
      <c r="Q547" t="str">
        <f t="shared" si="59"/>
        <v>old</v>
      </c>
      <c r="R547" s="2">
        <f t="shared" si="60"/>
        <v>9.5024818930440139E-3</v>
      </c>
      <c r="S547">
        <f t="shared" si="61"/>
        <v>0.35571428571428576</v>
      </c>
      <c r="T547" t="str">
        <f t="shared" si="62"/>
        <v>Scenario 2: Weak Commitment/Convenience</v>
      </c>
    </row>
    <row r="548" spans="1:20" x14ac:dyDescent="0.35">
      <c r="A548" t="s">
        <v>711</v>
      </c>
      <c r="B548" s="1">
        <v>45351</v>
      </c>
      <c r="C548">
        <v>2024</v>
      </c>
      <c r="D548">
        <v>2</v>
      </c>
      <c r="E548" t="s">
        <v>14</v>
      </c>
      <c r="F548">
        <v>132</v>
      </c>
      <c r="G548" t="s">
        <v>34</v>
      </c>
      <c r="H548" t="s">
        <v>27</v>
      </c>
      <c r="I548">
        <v>0</v>
      </c>
      <c r="J548">
        <v>0</v>
      </c>
      <c r="K548">
        <v>6.6</v>
      </c>
      <c r="L548">
        <v>1055</v>
      </c>
      <c r="M548" t="s">
        <v>17</v>
      </c>
      <c r="N548" t="str">
        <f t="shared" si="56"/>
        <v>streaming</v>
      </c>
      <c r="O548" t="str">
        <f t="shared" si="57"/>
        <v>non-original</v>
      </c>
      <c r="P548" t="str">
        <f t="shared" si="58"/>
        <v>non-franchise</v>
      </c>
      <c r="Q548" t="str">
        <f t="shared" si="59"/>
        <v>new</v>
      </c>
      <c r="R548" s="2">
        <f t="shared" si="60"/>
        <v>5.2038601955418289E-4</v>
      </c>
      <c r="S548">
        <f t="shared" si="61"/>
        <v>0.49872180451127818</v>
      </c>
      <c r="T548" t="str">
        <f t="shared" si="62"/>
        <v>Scenario 2: Weak Commitment/Convenience</v>
      </c>
    </row>
    <row r="549" spans="1:20" x14ac:dyDescent="0.35">
      <c r="A549" t="s">
        <v>712</v>
      </c>
      <c r="B549" s="1">
        <v>45352</v>
      </c>
      <c r="C549">
        <v>2024</v>
      </c>
      <c r="D549">
        <v>3</v>
      </c>
      <c r="E549" t="s">
        <v>38</v>
      </c>
      <c r="F549">
        <v>133</v>
      </c>
      <c r="G549" t="s">
        <v>34</v>
      </c>
      <c r="H549" t="s">
        <v>24</v>
      </c>
      <c r="I549">
        <v>0</v>
      </c>
      <c r="J549">
        <v>0</v>
      </c>
      <c r="K549">
        <v>6.7</v>
      </c>
      <c r="L549">
        <v>4833</v>
      </c>
      <c r="M549" t="s">
        <v>17</v>
      </c>
      <c r="N549" t="str">
        <f t="shared" si="56"/>
        <v>streaming</v>
      </c>
      <c r="O549" t="str">
        <f t="shared" si="57"/>
        <v>non-original</v>
      </c>
      <c r="P549" t="str">
        <f t="shared" si="58"/>
        <v>non-franchise</v>
      </c>
      <c r="Q549" t="str">
        <f t="shared" si="59"/>
        <v>new</v>
      </c>
      <c r="R549" s="2">
        <f t="shared" si="60"/>
        <v>2.4019704805630739E-3</v>
      </c>
      <c r="S549">
        <f t="shared" si="61"/>
        <v>0.50250000000000006</v>
      </c>
      <c r="T549" t="str">
        <f t="shared" si="62"/>
        <v>Scenario 3: Strong Convenience</v>
      </c>
    </row>
    <row r="550" spans="1:20" x14ac:dyDescent="0.35">
      <c r="A550" t="s">
        <v>713</v>
      </c>
      <c r="B550" s="1">
        <v>45352</v>
      </c>
      <c r="C550">
        <v>2024</v>
      </c>
      <c r="D550">
        <v>3</v>
      </c>
      <c r="E550" t="s">
        <v>38</v>
      </c>
      <c r="F550">
        <v>107</v>
      </c>
      <c r="G550" t="s">
        <v>714</v>
      </c>
      <c r="H550" t="s">
        <v>24</v>
      </c>
      <c r="I550">
        <v>0</v>
      </c>
      <c r="J550">
        <v>0</v>
      </c>
      <c r="K550">
        <v>5.7</v>
      </c>
      <c r="L550">
        <v>46640</v>
      </c>
      <c r="M550" t="s">
        <v>17</v>
      </c>
      <c r="N550" t="str">
        <f t="shared" si="56"/>
        <v>streaming</v>
      </c>
      <c r="O550" t="str">
        <f t="shared" si="57"/>
        <v>non-original</v>
      </c>
      <c r="P550" t="str">
        <f t="shared" si="58"/>
        <v>non-franchise</v>
      </c>
      <c r="Q550" t="str">
        <f t="shared" si="59"/>
        <v>new</v>
      </c>
      <c r="R550" s="2">
        <f t="shared" si="60"/>
        <v>1.8648398842917985E-2</v>
      </c>
      <c r="S550">
        <f t="shared" si="61"/>
        <v>0.51107142857142862</v>
      </c>
      <c r="T550" t="str">
        <f t="shared" si="62"/>
        <v>Scenario 3: Strong Convenience</v>
      </c>
    </row>
    <row r="551" spans="1:20" x14ac:dyDescent="0.35">
      <c r="A551" t="s">
        <v>715</v>
      </c>
      <c r="B551" s="1">
        <v>45359</v>
      </c>
      <c r="C551">
        <v>2024</v>
      </c>
      <c r="D551">
        <v>3</v>
      </c>
      <c r="E551" t="s">
        <v>38</v>
      </c>
      <c r="F551">
        <v>110</v>
      </c>
      <c r="G551" t="s">
        <v>716</v>
      </c>
      <c r="H551" t="s">
        <v>27</v>
      </c>
      <c r="I551">
        <v>0</v>
      </c>
      <c r="J551">
        <v>0</v>
      </c>
      <c r="K551">
        <v>6.1</v>
      </c>
      <c r="L551">
        <v>118120</v>
      </c>
      <c r="M551" t="s">
        <v>88</v>
      </c>
      <c r="N551" t="str">
        <f t="shared" si="56"/>
        <v>streaming</v>
      </c>
      <c r="O551" t="str">
        <f t="shared" si="57"/>
        <v>non-original</v>
      </c>
      <c r="P551" t="str">
        <f t="shared" si="58"/>
        <v>non-franchise</v>
      </c>
      <c r="Q551" t="str">
        <f t="shared" si="59"/>
        <v>new</v>
      </c>
      <c r="R551" s="2">
        <f t="shared" si="60"/>
        <v>4.8552919928704648E-2</v>
      </c>
      <c r="S551">
        <f t="shared" si="61"/>
        <v>0.53661654135338355</v>
      </c>
      <c r="T551" t="str">
        <f t="shared" si="62"/>
        <v>Scenario 4: Hybrid Logic</v>
      </c>
    </row>
    <row r="552" spans="1:20" x14ac:dyDescent="0.35">
      <c r="A552" t="s">
        <v>717</v>
      </c>
      <c r="B552" s="1">
        <v>45365</v>
      </c>
      <c r="C552">
        <v>2024</v>
      </c>
      <c r="D552">
        <v>3</v>
      </c>
      <c r="E552" t="s">
        <v>38</v>
      </c>
      <c r="F552">
        <v>99</v>
      </c>
      <c r="G552" t="s">
        <v>269</v>
      </c>
      <c r="H552" t="s">
        <v>27</v>
      </c>
      <c r="I552">
        <v>0</v>
      </c>
      <c r="J552">
        <v>0</v>
      </c>
      <c r="K552">
        <v>4.5999999999999996</v>
      </c>
      <c r="L552">
        <v>2643</v>
      </c>
      <c r="M552" t="s">
        <v>17</v>
      </c>
      <c r="N552" t="str">
        <f t="shared" si="56"/>
        <v>streaming</v>
      </c>
      <c r="O552" t="str">
        <f t="shared" si="57"/>
        <v>non-original</v>
      </c>
      <c r="P552" t="str">
        <f t="shared" si="58"/>
        <v>non-franchise</v>
      </c>
      <c r="Q552" t="str">
        <f t="shared" si="59"/>
        <v>new</v>
      </c>
      <c r="R552" s="2">
        <f t="shared" si="60"/>
        <v>9.7775847133770542E-4</v>
      </c>
      <c r="S552">
        <f t="shared" si="61"/>
        <v>0.43319548872180452</v>
      </c>
      <c r="T552" t="str">
        <f t="shared" si="62"/>
        <v>Scenario 2: Weak Commitment/Convenience</v>
      </c>
    </row>
    <row r="553" spans="1:20" x14ac:dyDescent="0.35">
      <c r="A553" t="s">
        <v>718</v>
      </c>
      <c r="B553" s="1">
        <v>45366</v>
      </c>
      <c r="C553">
        <v>2024</v>
      </c>
      <c r="D553">
        <v>3</v>
      </c>
      <c r="E553" t="s">
        <v>38</v>
      </c>
      <c r="F553">
        <v>93</v>
      </c>
      <c r="G553" t="s">
        <v>29</v>
      </c>
      <c r="H553" t="s">
        <v>56</v>
      </c>
      <c r="I553">
        <v>0</v>
      </c>
      <c r="J553">
        <v>0</v>
      </c>
      <c r="K553">
        <v>5.3</v>
      </c>
      <c r="L553">
        <v>23039</v>
      </c>
      <c r="M553" t="s">
        <v>17</v>
      </c>
      <c r="N553" t="str">
        <f t="shared" si="56"/>
        <v>streaming</v>
      </c>
      <c r="O553" t="str">
        <f t="shared" si="57"/>
        <v>non-original</v>
      </c>
      <c r="P553" t="str">
        <f t="shared" si="58"/>
        <v>non-franchise</v>
      </c>
      <c r="Q553" t="str">
        <f t="shared" si="59"/>
        <v>new</v>
      </c>
      <c r="R553" s="2">
        <f t="shared" si="60"/>
        <v>8.0065570581597037E-3</v>
      </c>
      <c r="S553">
        <f t="shared" si="61"/>
        <v>0.51704887218045115</v>
      </c>
      <c r="T553" t="str">
        <f t="shared" si="62"/>
        <v>Scenario 3: Strong Convenience</v>
      </c>
    </row>
    <row r="554" spans="1:20" x14ac:dyDescent="0.35">
      <c r="A554" t="s">
        <v>719</v>
      </c>
      <c r="B554" s="1">
        <v>45366</v>
      </c>
      <c r="C554">
        <v>2024</v>
      </c>
      <c r="D554">
        <v>3</v>
      </c>
      <c r="E554" t="s">
        <v>38</v>
      </c>
      <c r="F554">
        <v>141</v>
      </c>
      <c r="G554" t="s">
        <v>642</v>
      </c>
      <c r="H554" t="s">
        <v>30</v>
      </c>
      <c r="I554">
        <v>0</v>
      </c>
      <c r="J554">
        <v>0</v>
      </c>
      <c r="K554">
        <v>5.8</v>
      </c>
      <c r="L554">
        <v>51451</v>
      </c>
      <c r="M554" t="s">
        <v>17</v>
      </c>
      <c r="N554" t="str">
        <f t="shared" si="56"/>
        <v>streaming</v>
      </c>
      <c r="O554" t="str">
        <f t="shared" si="57"/>
        <v>non-original</v>
      </c>
      <c r="P554" t="str">
        <f t="shared" si="58"/>
        <v>non-franchise</v>
      </c>
      <c r="Q554" t="str">
        <f t="shared" si="59"/>
        <v>new</v>
      </c>
      <c r="R554" s="2">
        <f t="shared" si="60"/>
        <v>2.7108916659368081E-2</v>
      </c>
      <c r="S554">
        <f t="shared" si="61"/>
        <v>0.40883458646616538</v>
      </c>
      <c r="T554" t="str">
        <f t="shared" si="62"/>
        <v>Scenario 2: Weak Commitment/Convenience</v>
      </c>
    </row>
    <row r="555" spans="1:20" x14ac:dyDescent="0.35">
      <c r="A555" t="s">
        <v>720</v>
      </c>
      <c r="B555" s="1">
        <v>45366</v>
      </c>
      <c r="C555">
        <v>2024</v>
      </c>
      <c r="D555">
        <v>3</v>
      </c>
      <c r="E555" t="s">
        <v>38</v>
      </c>
      <c r="F555">
        <v>88</v>
      </c>
      <c r="G555" t="s">
        <v>721</v>
      </c>
      <c r="H555" t="s">
        <v>56</v>
      </c>
      <c r="I555">
        <v>1</v>
      </c>
      <c r="J555">
        <v>0</v>
      </c>
      <c r="K555">
        <v>7.1</v>
      </c>
      <c r="L555">
        <v>11933</v>
      </c>
      <c r="M555" t="s">
        <v>17</v>
      </c>
      <c r="N555" t="str">
        <f t="shared" si="56"/>
        <v>streaming</v>
      </c>
      <c r="O555" t="str">
        <f t="shared" si="57"/>
        <v>original</v>
      </c>
      <c r="P555" t="str">
        <f t="shared" si="58"/>
        <v>non-franchise</v>
      </c>
      <c r="Q555" t="str">
        <f t="shared" si="59"/>
        <v>old</v>
      </c>
      <c r="R555" s="2">
        <f t="shared" si="60"/>
        <v>5.8860344752038529E-3</v>
      </c>
      <c r="S555">
        <f t="shared" si="61"/>
        <v>0.47511278195488721</v>
      </c>
      <c r="T555" t="str">
        <f t="shared" si="62"/>
        <v>Scenario 2: Weak Commitment/Convenience</v>
      </c>
    </row>
    <row r="556" spans="1:20" x14ac:dyDescent="0.35">
      <c r="A556" t="s">
        <v>722</v>
      </c>
      <c r="B556" s="1">
        <v>45373</v>
      </c>
      <c r="C556">
        <v>2024</v>
      </c>
      <c r="D556">
        <v>3</v>
      </c>
      <c r="E556" t="s">
        <v>38</v>
      </c>
      <c r="F556">
        <v>118</v>
      </c>
      <c r="G556" t="s">
        <v>111</v>
      </c>
      <c r="H556" t="s">
        <v>27</v>
      </c>
      <c r="I556">
        <v>0</v>
      </c>
      <c r="J556">
        <v>0</v>
      </c>
      <c r="K556">
        <v>6.2</v>
      </c>
      <c r="L556">
        <v>3623</v>
      </c>
      <c r="M556" t="s">
        <v>17</v>
      </c>
      <c r="N556" t="str">
        <f t="shared" si="56"/>
        <v>streaming</v>
      </c>
      <c r="O556" t="str">
        <f t="shared" si="57"/>
        <v>non-original</v>
      </c>
      <c r="P556" t="str">
        <f t="shared" si="58"/>
        <v>non-franchise</v>
      </c>
      <c r="Q556" t="str">
        <f t="shared" si="59"/>
        <v>new</v>
      </c>
      <c r="R556" s="2">
        <f t="shared" si="60"/>
        <v>1.5975320175476587E-3</v>
      </c>
      <c r="S556">
        <f t="shared" si="61"/>
        <v>0.51744360902255648</v>
      </c>
      <c r="T556" t="str">
        <f t="shared" si="62"/>
        <v>Scenario 3: Strong Convenience</v>
      </c>
    </row>
    <row r="557" spans="1:20" x14ac:dyDescent="0.35">
      <c r="A557" t="s">
        <v>723</v>
      </c>
      <c r="B557" s="1">
        <v>45373</v>
      </c>
      <c r="C557">
        <v>2024</v>
      </c>
      <c r="D557">
        <v>3</v>
      </c>
      <c r="E557" t="s">
        <v>38</v>
      </c>
      <c r="F557">
        <v>85</v>
      </c>
      <c r="G557" t="s">
        <v>64</v>
      </c>
      <c r="H557" t="s">
        <v>56</v>
      </c>
      <c r="I557">
        <v>0</v>
      </c>
      <c r="J557">
        <v>0</v>
      </c>
      <c r="K557">
        <v>5.6</v>
      </c>
      <c r="L557">
        <v>765</v>
      </c>
      <c r="M557" t="s">
        <v>17</v>
      </c>
      <c r="N557" t="str">
        <f t="shared" si="56"/>
        <v>streaming</v>
      </c>
      <c r="O557" t="str">
        <f t="shared" si="57"/>
        <v>non-original</v>
      </c>
      <c r="P557" t="str">
        <f t="shared" si="58"/>
        <v>non-franchise</v>
      </c>
      <c r="Q557" t="str">
        <f t="shared" si="59"/>
        <v>new</v>
      </c>
      <c r="R557" s="2">
        <f t="shared" si="60"/>
        <v>2.4298507052643073E-4</v>
      </c>
      <c r="S557">
        <f t="shared" si="61"/>
        <v>0.57157894736842096</v>
      </c>
      <c r="T557" t="str">
        <f t="shared" si="62"/>
        <v>Scenario 3: Strong Convenience</v>
      </c>
    </row>
    <row r="558" spans="1:20" x14ac:dyDescent="0.35">
      <c r="A558" t="s">
        <v>724</v>
      </c>
      <c r="B558" s="1">
        <v>45378</v>
      </c>
      <c r="C558">
        <v>2024</v>
      </c>
      <c r="D558">
        <v>3</v>
      </c>
      <c r="E558" t="s">
        <v>38</v>
      </c>
      <c r="F558">
        <v>107</v>
      </c>
      <c r="G558" t="s">
        <v>34</v>
      </c>
      <c r="H558" t="s">
        <v>30</v>
      </c>
      <c r="I558">
        <v>0</v>
      </c>
      <c r="J558">
        <v>0</v>
      </c>
      <c r="K558">
        <v>5.8</v>
      </c>
      <c r="L558">
        <v>2512</v>
      </c>
      <c r="M558" t="s">
        <v>17</v>
      </c>
      <c r="N558" t="str">
        <f t="shared" si="56"/>
        <v>streaming</v>
      </c>
      <c r="O558" t="str">
        <f t="shared" si="57"/>
        <v>non-original</v>
      </c>
      <c r="P558" t="str">
        <f t="shared" si="58"/>
        <v>non-franchise</v>
      </c>
      <c r="Q558" t="str">
        <f t="shared" si="59"/>
        <v>new</v>
      </c>
      <c r="R558" s="2">
        <f t="shared" si="60"/>
        <v>1.0043906066340047E-3</v>
      </c>
      <c r="S558">
        <f t="shared" si="61"/>
        <v>0.52003759398496241</v>
      </c>
      <c r="T558" t="str">
        <f t="shared" si="62"/>
        <v>Scenario 3: Strong Convenience</v>
      </c>
    </row>
    <row r="559" spans="1:20" x14ac:dyDescent="0.35">
      <c r="A559" t="s">
        <v>725</v>
      </c>
      <c r="B559" s="1">
        <v>45378</v>
      </c>
      <c r="C559">
        <v>2024</v>
      </c>
      <c r="D559">
        <v>3</v>
      </c>
      <c r="E559" t="s">
        <v>38</v>
      </c>
      <c r="F559">
        <v>112</v>
      </c>
      <c r="G559" t="s">
        <v>29</v>
      </c>
      <c r="H559" t="s">
        <v>30</v>
      </c>
      <c r="I559">
        <v>0</v>
      </c>
      <c r="J559">
        <v>0</v>
      </c>
      <c r="K559">
        <v>5.2</v>
      </c>
      <c r="L559">
        <v>1201</v>
      </c>
      <c r="M559" t="s">
        <v>88</v>
      </c>
      <c r="N559" t="str">
        <f t="shared" si="56"/>
        <v>streaming</v>
      </c>
      <c r="O559" t="str">
        <f t="shared" si="57"/>
        <v>non-original</v>
      </c>
      <c r="P559" t="str">
        <f t="shared" si="58"/>
        <v>non-franchise</v>
      </c>
      <c r="Q559" t="str">
        <f t="shared" si="59"/>
        <v>new</v>
      </c>
      <c r="R559" s="2">
        <f t="shared" si="60"/>
        <v>5.0264371867206846E-4</v>
      </c>
      <c r="S559">
        <f t="shared" si="61"/>
        <v>0.45157894736842108</v>
      </c>
      <c r="T559" t="str">
        <f t="shared" si="62"/>
        <v>Scenario 2: Weak Commitment/Convenience</v>
      </c>
    </row>
    <row r="560" spans="1:20" x14ac:dyDescent="0.35">
      <c r="A560" t="s">
        <v>726</v>
      </c>
      <c r="B560" s="1">
        <v>45380</v>
      </c>
      <c r="C560">
        <v>2024</v>
      </c>
      <c r="D560">
        <v>3</v>
      </c>
      <c r="E560" t="s">
        <v>38</v>
      </c>
      <c r="F560">
        <v>107</v>
      </c>
      <c r="G560" t="s">
        <v>431</v>
      </c>
      <c r="H560" t="s">
        <v>24</v>
      </c>
      <c r="I560">
        <v>0</v>
      </c>
      <c r="J560">
        <v>0</v>
      </c>
      <c r="K560">
        <v>4.7</v>
      </c>
      <c r="L560">
        <v>2335</v>
      </c>
      <c r="M560" t="s">
        <v>17</v>
      </c>
      <c r="N560" t="str">
        <f t="shared" si="56"/>
        <v>streaming</v>
      </c>
      <c r="O560" t="str">
        <f t="shared" si="57"/>
        <v>non-original</v>
      </c>
      <c r="P560" t="str">
        <f t="shared" si="58"/>
        <v>non-franchise</v>
      </c>
      <c r="Q560" t="str">
        <f t="shared" si="59"/>
        <v>new</v>
      </c>
      <c r="R560" s="2">
        <f t="shared" si="60"/>
        <v>9.3361945322070099E-4</v>
      </c>
      <c r="S560">
        <f t="shared" si="61"/>
        <v>0.42140977443609029</v>
      </c>
      <c r="T560" t="str">
        <f t="shared" si="62"/>
        <v>Scenario 2: Weak Commitment/Convenience</v>
      </c>
    </row>
    <row r="561" spans="1:20" x14ac:dyDescent="0.35">
      <c r="A561" t="s">
        <v>727</v>
      </c>
      <c r="B561" s="1">
        <v>45380</v>
      </c>
      <c r="C561">
        <v>2024</v>
      </c>
      <c r="D561">
        <v>3</v>
      </c>
      <c r="E561" t="s">
        <v>38</v>
      </c>
      <c r="F561">
        <v>125</v>
      </c>
      <c r="G561" t="s">
        <v>34</v>
      </c>
      <c r="H561" t="s">
        <v>27</v>
      </c>
      <c r="I561">
        <v>0</v>
      </c>
      <c r="J561">
        <v>0</v>
      </c>
      <c r="K561">
        <v>6.3</v>
      </c>
      <c r="L561">
        <v>8791</v>
      </c>
      <c r="M561" t="s">
        <v>17</v>
      </c>
      <c r="N561" t="str">
        <f t="shared" si="56"/>
        <v>streaming</v>
      </c>
      <c r="O561" t="str">
        <f t="shared" si="57"/>
        <v>non-original</v>
      </c>
      <c r="P561" t="str">
        <f t="shared" si="58"/>
        <v>non-franchise</v>
      </c>
      <c r="Q561" t="str">
        <f t="shared" si="59"/>
        <v>new</v>
      </c>
      <c r="R561" s="2">
        <f t="shared" si="60"/>
        <v>4.1062701941519657E-3</v>
      </c>
      <c r="S561">
        <f t="shared" si="61"/>
        <v>0.50092105263157893</v>
      </c>
      <c r="T561" t="str">
        <f t="shared" si="62"/>
        <v>Scenario 3: Strong Convenience</v>
      </c>
    </row>
    <row r="562" spans="1:20" x14ac:dyDescent="0.35">
      <c r="A562" t="s">
        <v>728</v>
      </c>
      <c r="B562" s="1">
        <v>45380</v>
      </c>
      <c r="C562">
        <v>2024</v>
      </c>
      <c r="D562">
        <v>3</v>
      </c>
      <c r="E562" t="s">
        <v>38</v>
      </c>
      <c r="F562">
        <v>106</v>
      </c>
      <c r="G562" t="s">
        <v>19</v>
      </c>
      <c r="H562" t="s">
        <v>24</v>
      </c>
      <c r="I562">
        <v>1</v>
      </c>
      <c r="J562">
        <v>1</v>
      </c>
      <c r="K562">
        <v>4.5999999999999996</v>
      </c>
      <c r="L562">
        <v>4476</v>
      </c>
      <c r="M562" t="s">
        <v>88</v>
      </c>
      <c r="N562" t="str">
        <f t="shared" si="56"/>
        <v>streaming</v>
      </c>
      <c r="O562" t="str">
        <f t="shared" si="57"/>
        <v>original</v>
      </c>
      <c r="P562" t="str">
        <f t="shared" si="58"/>
        <v>franchise</v>
      </c>
      <c r="Q562" t="str">
        <f t="shared" si="59"/>
        <v>old</v>
      </c>
      <c r="R562" s="2">
        <f t="shared" si="60"/>
        <v>2.6594169462903858E-3</v>
      </c>
      <c r="S562">
        <f t="shared" si="61"/>
        <v>0.27669172932330821</v>
      </c>
      <c r="T562" t="str">
        <f t="shared" si="62"/>
        <v>Scenario 2: Weak Commitment/Convenience</v>
      </c>
    </row>
    <row r="563" spans="1:20" x14ac:dyDescent="0.35">
      <c r="A563" t="s">
        <v>729</v>
      </c>
      <c r="B563" s="1">
        <v>45386</v>
      </c>
      <c r="C563">
        <v>2024</v>
      </c>
      <c r="D563">
        <v>4</v>
      </c>
      <c r="E563" t="s">
        <v>38</v>
      </c>
      <c r="F563">
        <v>105</v>
      </c>
      <c r="G563" t="s">
        <v>545</v>
      </c>
      <c r="H563" t="s">
        <v>24</v>
      </c>
      <c r="I563">
        <v>0</v>
      </c>
      <c r="J563">
        <v>0</v>
      </c>
      <c r="K563">
        <v>5.2</v>
      </c>
      <c r="L563">
        <v>14440</v>
      </c>
      <c r="M563" t="s">
        <v>88</v>
      </c>
      <c r="N563" t="str">
        <f t="shared" si="56"/>
        <v>streaming</v>
      </c>
      <c r="O563" t="str">
        <f t="shared" si="57"/>
        <v>non-original</v>
      </c>
      <c r="P563" t="str">
        <f t="shared" si="58"/>
        <v>non-franchise</v>
      </c>
      <c r="Q563" t="str">
        <f t="shared" si="59"/>
        <v>new</v>
      </c>
      <c r="R563" s="2">
        <f t="shared" si="60"/>
        <v>5.6657280112598889E-3</v>
      </c>
      <c r="S563">
        <f t="shared" si="61"/>
        <v>0.47210526315789475</v>
      </c>
      <c r="T563" t="str">
        <f t="shared" si="62"/>
        <v>Scenario 2: Weak Commitment/Convenience</v>
      </c>
    </row>
    <row r="564" spans="1:20" x14ac:dyDescent="0.35">
      <c r="A564" t="s">
        <v>730</v>
      </c>
      <c r="B564" s="1">
        <v>45387</v>
      </c>
      <c r="C564">
        <v>2024</v>
      </c>
      <c r="D564">
        <v>4</v>
      </c>
      <c r="E564" t="s">
        <v>38</v>
      </c>
      <c r="F564">
        <v>102</v>
      </c>
      <c r="G564" t="s">
        <v>111</v>
      </c>
      <c r="H564" t="s">
        <v>30</v>
      </c>
      <c r="I564">
        <v>0</v>
      </c>
      <c r="J564">
        <v>0</v>
      </c>
      <c r="K564">
        <v>6.5</v>
      </c>
      <c r="L564">
        <v>21872</v>
      </c>
      <c r="M564" t="s">
        <v>17</v>
      </c>
      <c r="N564" t="str">
        <f t="shared" si="56"/>
        <v>streaming</v>
      </c>
      <c r="O564" t="str">
        <f t="shared" si="57"/>
        <v>non-original</v>
      </c>
      <c r="P564" t="str">
        <f t="shared" si="58"/>
        <v>non-franchise</v>
      </c>
      <c r="Q564" t="str">
        <f t="shared" si="59"/>
        <v>new</v>
      </c>
      <c r="R564" s="2">
        <f t="shared" si="60"/>
        <v>8.33657954910446E-3</v>
      </c>
      <c r="S564">
        <f t="shared" si="61"/>
        <v>0.60112781954887229</v>
      </c>
      <c r="T564" t="str">
        <f t="shared" si="62"/>
        <v>Scenario 3: Strong Convenience</v>
      </c>
    </row>
    <row r="565" spans="1:20" x14ac:dyDescent="0.35">
      <c r="A565" t="s">
        <v>731</v>
      </c>
      <c r="B565" s="1">
        <v>45394</v>
      </c>
      <c r="C565">
        <v>2024</v>
      </c>
      <c r="D565">
        <v>4</v>
      </c>
      <c r="E565" t="s">
        <v>38</v>
      </c>
      <c r="F565">
        <v>115</v>
      </c>
      <c r="G565" t="s">
        <v>34</v>
      </c>
      <c r="H565" t="s">
        <v>30</v>
      </c>
      <c r="I565">
        <v>0</v>
      </c>
      <c r="J565">
        <v>0</v>
      </c>
      <c r="K565">
        <v>5.7</v>
      </c>
      <c r="L565">
        <v>352</v>
      </c>
      <c r="M565" t="s">
        <v>17</v>
      </c>
      <c r="N565" t="str">
        <f t="shared" si="56"/>
        <v>streaming</v>
      </c>
      <c r="O565" t="str">
        <f t="shared" si="57"/>
        <v>non-original</v>
      </c>
      <c r="P565" t="str">
        <f t="shared" si="58"/>
        <v>non-franchise</v>
      </c>
      <c r="Q565" t="str">
        <f t="shared" si="59"/>
        <v>new</v>
      </c>
      <c r="R565" s="2">
        <f t="shared" si="60"/>
        <v>1.5126544644229013E-4</v>
      </c>
      <c r="S565">
        <f t="shared" si="61"/>
        <v>0.48535714285714293</v>
      </c>
      <c r="T565" t="str">
        <f t="shared" si="62"/>
        <v>Scenario 2: Weak Commitment/Convenience</v>
      </c>
    </row>
    <row r="566" spans="1:20" x14ac:dyDescent="0.35">
      <c r="A566" t="s">
        <v>732</v>
      </c>
      <c r="B566" s="1">
        <v>45394</v>
      </c>
      <c r="C566">
        <v>2024</v>
      </c>
      <c r="D566">
        <v>4</v>
      </c>
      <c r="E566" t="s">
        <v>38</v>
      </c>
      <c r="F566">
        <v>145</v>
      </c>
      <c r="G566" t="s">
        <v>733</v>
      </c>
      <c r="H566" t="s">
        <v>30</v>
      </c>
      <c r="I566">
        <v>0</v>
      </c>
      <c r="J566">
        <v>0</v>
      </c>
      <c r="K566">
        <v>7.8</v>
      </c>
      <c r="L566">
        <v>17241</v>
      </c>
      <c r="M566" t="s">
        <v>17</v>
      </c>
      <c r="N566" t="str">
        <f t="shared" si="56"/>
        <v>streaming</v>
      </c>
      <c r="O566" t="str">
        <f t="shared" si="57"/>
        <v>non-original</v>
      </c>
      <c r="P566" t="str">
        <f t="shared" si="58"/>
        <v>non-franchise</v>
      </c>
      <c r="Q566" t="str">
        <f t="shared" si="59"/>
        <v>new</v>
      </c>
      <c r="R566" s="2">
        <f t="shared" si="60"/>
        <v>9.3417810401722097E-3</v>
      </c>
      <c r="S566">
        <f t="shared" si="61"/>
        <v>0.53221804511278192</v>
      </c>
      <c r="T566" t="str">
        <f t="shared" si="62"/>
        <v>Scenario 3: Strong Convenience</v>
      </c>
    </row>
    <row r="567" spans="1:20" x14ac:dyDescent="0.35">
      <c r="A567" t="s">
        <v>734</v>
      </c>
      <c r="B567" s="1">
        <v>45394</v>
      </c>
      <c r="C567">
        <v>2024</v>
      </c>
      <c r="D567">
        <v>4</v>
      </c>
      <c r="E567" t="s">
        <v>38</v>
      </c>
      <c r="F567">
        <v>98</v>
      </c>
      <c r="G567" t="s">
        <v>29</v>
      </c>
      <c r="H567" t="s">
        <v>27</v>
      </c>
      <c r="I567">
        <v>1</v>
      </c>
      <c r="J567">
        <v>1</v>
      </c>
      <c r="K567">
        <v>6</v>
      </c>
      <c r="L567">
        <v>5117</v>
      </c>
      <c r="M567" t="s">
        <v>88</v>
      </c>
      <c r="N567" t="str">
        <f t="shared" si="56"/>
        <v>streaming</v>
      </c>
      <c r="O567" t="str">
        <f t="shared" si="57"/>
        <v>original</v>
      </c>
      <c r="P567" t="str">
        <f t="shared" si="58"/>
        <v>franchise</v>
      </c>
      <c r="Q567" t="str">
        <f t="shared" si="59"/>
        <v>old</v>
      </c>
      <c r="R567" s="2">
        <f t="shared" si="60"/>
        <v>2.8108131805445703E-3</v>
      </c>
      <c r="S567">
        <f t="shared" si="61"/>
        <v>0.37894736842105259</v>
      </c>
      <c r="T567" t="str">
        <f t="shared" si="62"/>
        <v>Scenario 2: Weak Commitment/Convenience</v>
      </c>
    </row>
    <row r="568" spans="1:20" x14ac:dyDescent="0.35">
      <c r="A568" t="s">
        <v>735</v>
      </c>
      <c r="B568" s="1">
        <v>45394</v>
      </c>
      <c r="C568">
        <v>2024</v>
      </c>
      <c r="D568">
        <v>4</v>
      </c>
      <c r="E568" t="s">
        <v>38</v>
      </c>
      <c r="F568">
        <v>107</v>
      </c>
      <c r="G568" t="s">
        <v>34</v>
      </c>
      <c r="H568" t="s">
        <v>30</v>
      </c>
      <c r="I568">
        <v>0</v>
      </c>
      <c r="J568">
        <v>0</v>
      </c>
      <c r="K568">
        <v>5.8</v>
      </c>
      <c r="L568">
        <v>2421</v>
      </c>
      <c r="M568" t="s">
        <v>17</v>
      </c>
      <c r="N568" t="str">
        <f t="shared" si="56"/>
        <v>streaming</v>
      </c>
      <c r="O568" t="str">
        <f t="shared" si="57"/>
        <v>non-original</v>
      </c>
      <c r="P568" t="str">
        <f t="shared" si="58"/>
        <v>non-franchise</v>
      </c>
      <c r="Q568" t="str">
        <f t="shared" si="59"/>
        <v>new</v>
      </c>
      <c r="R568" s="2">
        <f t="shared" si="60"/>
        <v>9.6800543736501809E-4</v>
      </c>
      <c r="S568">
        <f t="shared" si="61"/>
        <v>0.52003759398496241</v>
      </c>
      <c r="T568" t="str">
        <f t="shared" si="62"/>
        <v>Scenario 3: Strong Convenience</v>
      </c>
    </row>
    <row r="569" spans="1:20" x14ac:dyDescent="0.35">
      <c r="A569" t="s">
        <v>736</v>
      </c>
      <c r="B569" s="1">
        <v>45394</v>
      </c>
      <c r="C569">
        <v>2024</v>
      </c>
      <c r="D569">
        <v>4</v>
      </c>
      <c r="E569" t="s">
        <v>38</v>
      </c>
      <c r="F569">
        <v>100</v>
      </c>
      <c r="G569" t="s">
        <v>737</v>
      </c>
      <c r="H569" t="s">
        <v>56</v>
      </c>
      <c r="I569">
        <v>0</v>
      </c>
      <c r="J569">
        <v>0</v>
      </c>
      <c r="K569">
        <v>4.5</v>
      </c>
      <c r="L569">
        <v>2922</v>
      </c>
      <c r="M569" t="s">
        <v>88</v>
      </c>
      <c r="N569" t="str">
        <f t="shared" si="56"/>
        <v>streaming</v>
      </c>
      <c r="O569" t="str">
        <f t="shared" si="57"/>
        <v>non-original</v>
      </c>
      <c r="P569" t="str">
        <f t="shared" si="58"/>
        <v>non-franchise</v>
      </c>
      <c r="Q569" t="str">
        <f t="shared" si="59"/>
        <v>new</v>
      </c>
      <c r="R569" s="2">
        <f t="shared" si="60"/>
        <v>1.0918913895858985E-3</v>
      </c>
      <c r="S569">
        <f t="shared" si="61"/>
        <v>0.42124060150375942</v>
      </c>
      <c r="T569" t="str">
        <f t="shared" si="62"/>
        <v>Scenario 2: Weak Commitment/Convenience</v>
      </c>
    </row>
    <row r="570" spans="1:20" x14ac:dyDescent="0.35">
      <c r="A570" t="s">
        <v>738</v>
      </c>
      <c r="B570" s="1">
        <v>45407</v>
      </c>
      <c r="C570">
        <v>2024</v>
      </c>
      <c r="D570">
        <v>4</v>
      </c>
      <c r="E570" t="s">
        <v>38</v>
      </c>
      <c r="F570">
        <v>104</v>
      </c>
      <c r="G570" t="s">
        <v>41</v>
      </c>
      <c r="H570" t="s">
        <v>24</v>
      </c>
      <c r="I570">
        <v>1</v>
      </c>
      <c r="J570">
        <v>1</v>
      </c>
      <c r="K570">
        <v>6.3</v>
      </c>
      <c r="L570">
        <v>6100</v>
      </c>
      <c r="M570" t="s">
        <v>17</v>
      </c>
      <c r="N570" t="str">
        <f t="shared" si="56"/>
        <v>streaming</v>
      </c>
      <c r="O570" t="str">
        <f t="shared" si="57"/>
        <v>original</v>
      </c>
      <c r="P570" t="str">
        <f t="shared" si="58"/>
        <v>franchise</v>
      </c>
      <c r="Q570" t="str">
        <f t="shared" si="59"/>
        <v>old</v>
      </c>
      <c r="R570" s="2">
        <f t="shared" si="60"/>
        <v>3.5559337656739937E-3</v>
      </c>
      <c r="S570">
        <f t="shared" si="61"/>
        <v>0.38368421052631579</v>
      </c>
      <c r="T570" t="str">
        <f t="shared" si="62"/>
        <v>Scenario 2: Weak Commitment/Convenience</v>
      </c>
    </row>
    <row r="571" spans="1:20" x14ac:dyDescent="0.35">
      <c r="A571" t="s">
        <v>739</v>
      </c>
      <c r="B571" s="1">
        <v>45411</v>
      </c>
      <c r="C571">
        <v>2024</v>
      </c>
      <c r="D571">
        <v>4</v>
      </c>
      <c r="E571" t="s">
        <v>38</v>
      </c>
      <c r="F571">
        <v>100</v>
      </c>
      <c r="G571" t="s">
        <v>29</v>
      </c>
      <c r="H571" t="s">
        <v>30</v>
      </c>
      <c r="I571">
        <v>0</v>
      </c>
      <c r="J571">
        <v>0</v>
      </c>
      <c r="K571">
        <v>5.3</v>
      </c>
      <c r="L571">
        <v>1704</v>
      </c>
      <c r="M571" t="s">
        <v>17</v>
      </c>
      <c r="N571" t="str">
        <f t="shared" si="56"/>
        <v>streaming</v>
      </c>
      <c r="O571" t="str">
        <f t="shared" si="57"/>
        <v>non-original</v>
      </c>
      <c r="P571" t="str">
        <f t="shared" si="58"/>
        <v>non-franchise</v>
      </c>
      <c r="Q571" t="str">
        <f t="shared" si="59"/>
        <v>new</v>
      </c>
      <c r="R571" s="2">
        <f t="shared" si="60"/>
        <v>6.3674980419382995E-4</v>
      </c>
      <c r="S571">
        <f t="shared" si="61"/>
        <v>0.4961278195488722</v>
      </c>
      <c r="T571" t="str">
        <f t="shared" si="62"/>
        <v>Scenario 2: Weak Commitment/Convenience</v>
      </c>
    </row>
    <row r="572" spans="1:20" x14ac:dyDescent="0.35">
      <c r="A572" t="s">
        <v>740</v>
      </c>
      <c r="B572" s="1">
        <v>45413</v>
      </c>
      <c r="C572">
        <v>2024</v>
      </c>
      <c r="D572">
        <v>5</v>
      </c>
      <c r="E572" t="s">
        <v>38</v>
      </c>
      <c r="F572">
        <v>102</v>
      </c>
      <c r="G572" t="s">
        <v>741</v>
      </c>
      <c r="H572" t="s">
        <v>24</v>
      </c>
      <c r="I572">
        <v>0</v>
      </c>
      <c r="J572">
        <v>0</v>
      </c>
      <c r="K572">
        <v>5.6</v>
      </c>
      <c r="L572">
        <v>611</v>
      </c>
      <c r="M572" t="s">
        <v>17</v>
      </c>
      <c r="N572" t="str">
        <f t="shared" si="56"/>
        <v>streaming</v>
      </c>
      <c r="O572" t="str">
        <f t="shared" si="57"/>
        <v>non-original</v>
      </c>
      <c r="P572" t="str">
        <f t="shared" si="58"/>
        <v>non-franchise</v>
      </c>
      <c r="Q572" t="str">
        <f t="shared" si="59"/>
        <v>new</v>
      </c>
      <c r="R572" s="2">
        <f t="shared" si="60"/>
        <v>2.3288451465356734E-4</v>
      </c>
      <c r="S572">
        <f t="shared" si="61"/>
        <v>0.51789473684210519</v>
      </c>
      <c r="T572" t="str">
        <f t="shared" si="62"/>
        <v>Scenario 3: Strong Convenience</v>
      </c>
    </row>
    <row r="573" spans="1:20" x14ac:dyDescent="0.35">
      <c r="A573" t="s">
        <v>742</v>
      </c>
      <c r="B573" s="1">
        <v>45414</v>
      </c>
      <c r="C573">
        <v>2024</v>
      </c>
      <c r="D573">
        <v>5</v>
      </c>
      <c r="E573" t="s">
        <v>38</v>
      </c>
      <c r="F573">
        <v>113</v>
      </c>
      <c r="G573" t="s">
        <v>111</v>
      </c>
      <c r="H573" t="s">
        <v>30</v>
      </c>
      <c r="I573">
        <v>0</v>
      </c>
      <c r="J573">
        <v>0</v>
      </c>
      <c r="K573">
        <v>6.2</v>
      </c>
      <c r="L573">
        <v>1129</v>
      </c>
      <c r="M573" t="s">
        <v>17</v>
      </c>
      <c r="N573" t="str">
        <f t="shared" si="56"/>
        <v>streaming</v>
      </c>
      <c r="O573" t="str">
        <f t="shared" si="57"/>
        <v>non-original</v>
      </c>
      <c r="P573" t="str">
        <f t="shared" si="58"/>
        <v>non-franchise</v>
      </c>
      <c r="Q573" t="str">
        <f t="shared" si="59"/>
        <v>new</v>
      </c>
      <c r="R573" s="2">
        <f t="shared" si="60"/>
        <v>4.7672904794387474E-4</v>
      </c>
      <c r="S573">
        <f t="shared" si="61"/>
        <v>0.53492481203007514</v>
      </c>
      <c r="T573" t="str">
        <f t="shared" si="62"/>
        <v>Scenario 3: Strong Convenience</v>
      </c>
    </row>
    <row r="574" spans="1:20" x14ac:dyDescent="0.35">
      <c r="A574" t="s">
        <v>743</v>
      </c>
      <c r="B574" s="1">
        <v>45415</v>
      </c>
      <c r="C574">
        <v>2024</v>
      </c>
      <c r="D574">
        <v>5</v>
      </c>
      <c r="E574" t="s">
        <v>38</v>
      </c>
      <c r="F574">
        <v>96</v>
      </c>
      <c r="G574" t="s">
        <v>21</v>
      </c>
      <c r="H574" t="s">
        <v>27</v>
      </c>
      <c r="I574">
        <v>0</v>
      </c>
      <c r="J574">
        <v>0</v>
      </c>
      <c r="K574">
        <v>5.5</v>
      </c>
      <c r="L574">
        <v>36581</v>
      </c>
      <c r="M574" t="s">
        <v>17</v>
      </c>
      <c r="N574" t="str">
        <f t="shared" si="56"/>
        <v>streaming</v>
      </c>
      <c r="O574" t="str">
        <f t="shared" si="57"/>
        <v>non-original</v>
      </c>
      <c r="P574" t="str">
        <f t="shared" si="58"/>
        <v>non-franchise</v>
      </c>
      <c r="Q574" t="str">
        <f t="shared" si="59"/>
        <v>new</v>
      </c>
      <c r="R574" s="2">
        <f t="shared" si="60"/>
        <v>1.3122785682937744E-2</v>
      </c>
      <c r="S574">
        <f t="shared" si="61"/>
        <v>0.52725563909774442</v>
      </c>
      <c r="T574" t="str">
        <f t="shared" si="62"/>
        <v>Scenario 3: Strong Convenience</v>
      </c>
    </row>
    <row r="575" spans="1:20" x14ac:dyDescent="0.35">
      <c r="A575" t="s">
        <v>744</v>
      </c>
      <c r="B575" s="1">
        <v>45421</v>
      </c>
      <c r="C575">
        <v>2024</v>
      </c>
      <c r="D575">
        <v>5</v>
      </c>
      <c r="E575" t="s">
        <v>38</v>
      </c>
      <c r="F575">
        <v>90</v>
      </c>
      <c r="G575" t="s">
        <v>29</v>
      </c>
      <c r="H575" t="s">
        <v>56</v>
      </c>
      <c r="I575">
        <v>0</v>
      </c>
      <c r="J575">
        <v>0</v>
      </c>
      <c r="K575">
        <v>4.9000000000000004</v>
      </c>
      <c r="L575">
        <v>17997</v>
      </c>
      <c r="M575" t="s">
        <v>88</v>
      </c>
      <c r="N575" t="str">
        <f t="shared" si="56"/>
        <v>streaming</v>
      </c>
      <c r="O575" t="str">
        <f t="shared" si="57"/>
        <v>non-original</v>
      </c>
      <c r="P575" t="str">
        <f t="shared" si="58"/>
        <v>non-franchise</v>
      </c>
      <c r="Q575" t="str">
        <f t="shared" si="59"/>
        <v>new</v>
      </c>
      <c r="R575" s="2">
        <f t="shared" si="60"/>
        <v>6.0525983588431472E-3</v>
      </c>
      <c r="S575">
        <f t="shared" si="61"/>
        <v>0.48631578947368426</v>
      </c>
      <c r="T575" t="str">
        <f t="shared" si="62"/>
        <v>Scenario 2: Weak Commitment/Convenience</v>
      </c>
    </row>
    <row r="576" spans="1:20" x14ac:dyDescent="0.35">
      <c r="A576" t="s">
        <v>522</v>
      </c>
      <c r="B576" s="1">
        <v>45428</v>
      </c>
      <c r="C576">
        <v>2024</v>
      </c>
      <c r="D576">
        <v>5</v>
      </c>
      <c r="E576" t="s">
        <v>38</v>
      </c>
      <c r="F576">
        <v>84</v>
      </c>
      <c r="G576" t="s">
        <v>19</v>
      </c>
      <c r="H576" t="s">
        <v>16</v>
      </c>
      <c r="I576">
        <v>0</v>
      </c>
      <c r="J576">
        <v>0</v>
      </c>
      <c r="K576">
        <v>9.6999999999999993</v>
      </c>
      <c r="L576">
        <v>134</v>
      </c>
      <c r="M576" t="s">
        <v>17</v>
      </c>
      <c r="N576" t="str">
        <f t="shared" si="56"/>
        <v>streaming</v>
      </c>
      <c r="O576" t="str">
        <f t="shared" si="57"/>
        <v>non-original</v>
      </c>
      <c r="P576" t="str">
        <f t="shared" si="58"/>
        <v>non-franchise</v>
      </c>
      <c r="Q576" t="str">
        <f t="shared" si="59"/>
        <v>new</v>
      </c>
      <c r="R576" s="2">
        <f t="shared" si="60"/>
        <v>4.2061360305198067E-5</v>
      </c>
      <c r="S576">
        <f t="shared" si="61"/>
        <v>0.9955263157894737</v>
      </c>
      <c r="T576" t="str">
        <f t="shared" si="62"/>
        <v>Scenario 3: Strong Convenience</v>
      </c>
    </row>
    <row r="577" spans="1:20" x14ac:dyDescent="0.35">
      <c r="A577" t="s">
        <v>745</v>
      </c>
      <c r="B577" s="1">
        <v>45429</v>
      </c>
      <c r="C577">
        <v>2024</v>
      </c>
      <c r="D577">
        <v>5</v>
      </c>
      <c r="E577" t="s">
        <v>38</v>
      </c>
      <c r="F577">
        <v>98</v>
      </c>
      <c r="G577" t="s">
        <v>746</v>
      </c>
      <c r="H577" t="s">
        <v>56</v>
      </c>
      <c r="I577">
        <v>0</v>
      </c>
      <c r="J577">
        <v>0</v>
      </c>
      <c r="K577">
        <v>5.8</v>
      </c>
      <c r="L577">
        <v>3360</v>
      </c>
      <c r="M577" t="s">
        <v>17</v>
      </c>
      <c r="N577" t="str">
        <f t="shared" si="56"/>
        <v>streaming</v>
      </c>
      <c r="O577" t="str">
        <f t="shared" si="57"/>
        <v>non-original</v>
      </c>
      <c r="P577" t="str">
        <f t="shared" si="58"/>
        <v>non-franchise</v>
      </c>
      <c r="Q577" t="str">
        <f t="shared" si="59"/>
        <v>new</v>
      </c>
      <c r="R577" s="2">
        <f t="shared" si="60"/>
        <v>1.2304517343013166E-3</v>
      </c>
      <c r="S577">
        <f t="shared" si="61"/>
        <v>0.54947368421052623</v>
      </c>
      <c r="T577" t="str">
        <f t="shared" si="62"/>
        <v>Scenario 3: Strong Convenience</v>
      </c>
    </row>
    <row r="578" spans="1:20" x14ac:dyDescent="0.35">
      <c r="A578" t="s">
        <v>747</v>
      </c>
      <c r="B578" s="1">
        <v>45435</v>
      </c>
      <c r="C578">
        <v>2024</v>
      </c>
      <c r="D578">
        <v>5</v>
      </c>
      <c r="E578" t="s">
        <v>38</v>
      </c>
      <c r="F578">
        <v>99</v>
      </c>
      <c r="G578" t="s">
        <v>29</v>
      </c>
      <c r="H578" t="s">
        <v>27</v>
      </c>
      <c r="I578">
        <v>0</v>
      </c>
      <c r="J578">
        <v>0</v>
      </c>
      <c r="K578">
        <v>5.3</v>
      </c>
      <c r="L578">
        <v>1144</v>
      </c>
      <c r="M578" t="s">
        <v>17</v>
      </c>
      <c r="N578" t="str">
        <f t="shared" si="56"/>
        <v>streaming</v>
      </c>
      <c r="O578" t="str">
        <f t="shared" si="57"/>
        <v>non-original</v>
      </c>
      <c r="P578" t="str">
        <f t="shared" si="58"/>
        <v>non-franchise</v>
      </c>
      <c r="Q578" t="str">
        <f t="shared" si="59"/>
        <v>new</v>
      </c>
      <c r="R578" s="2">
        <f t="shared" si="60"/>
        <v>4.232144121113639E-4</v>
      </c>
      <c r="S578">
        <f t="shared" si="61"/>
        <v>0.49911654135338351</v>
      </c>
      <c r="T578" t="str">
        <f t="shared" si="62"/>
        <v>Scenario 2: Weak Commitment/Convenience</v>
      </c>
    </row>
    <row r="579" spans="1:20" x14ac:dyDescent="0.35">
      <c r="A579" t="s">
        <v>748</v>
      </c>
      <c r="B579" s="1">
        <v>45436</v>
      </c>
      <c r="C579">
        <v>2024</v>
      </c>
      <c r="D579">
        <v>5</v>
      </c>
      <c r="E579" t="s">
        <v>38</v>
      </c>
      <c r="F579">
        <v>120</v>
      </c>
      <c r="G579" t="s">
        <v>238</v>
      </c>
      <c r="H579" t="s">
        <v>27</v>
      </c>
      <c r="I579">
        <v>0</v>
      </c>
      <c r="J579">
        <v>0</v>
      </c>
      <c r="K579">
        <v>5.6</v>
      </c>
      <c r="L579">
        <v>59215</v>
      </c>
      <c r="M579" t="s">
        <v>88</v>
      </c>
      <c r="N579" t="str">
        <f t="shared" ref="N579:N642" si="63">IF(ISNUMBER(SEARCH("Streaming", M579)), "streaming", "cinema")</f>
        <v>streaming</v>
      </c>
      <c r="O579" t="str">
        <f t="shared" ref="O579:O642" si="64">IF(I579=1, "original", "non-original")</f>
        <v>non-original</v>
      </c>
      <c r="P579" t="str">
        <f t="shared" ref="P579:P642" si="65">IF(J579 = 1, "franchise", "non-franchise")</f>
        <v>non-franchise</v>
      </c>
      <c r="Q579" t="str">
        <f t="shared" ref="Q579:Q642" si="66">IF(OR(I579 = 1,J579 =1), "old", "new")</f>
        <v>new</v>
      </c>
      <c r="R579" s="2">
        <f t="shared" ref="R579:R642" si="67">IF(Q579="old", 1.5, 1) * (L579 / MAX($L$2:$L$1000)) * (F579 / MAX($F$2:$F$1000))</f>
        <v>2.6552915250237778E-2</v>
      </c>
      <c r="S579">
        <f t="shared" ref="S579:S642" si="68">IF(Q579="new", 1.5, 1) * (K579 / 10) * (1 - (F579 / MAX($F$2:$F$1000)))</f>
        <v>0.46105263157894733</v>
      </c>
      <c r="T579" t="str">
        <f t="shared" ref="T579:T642" si="69">IF(AND(R579&gt;=0.03, S579&gt;=0.5), "Scenario 4: Hybrid Logic",
 IF(AND(R579&gt;=0.03, S579&lt;0.5), "Scenario 1: Strong Commitment",
  IF(AND(R579&lt;0.03, S579&gt;=0.5), "Scenario 3: Strong Convenience",
   "Scenario 2: Weak Commitment/Convenience")))</f>
        <v>Scenario 2: Weak Commitment/Convenience</v>
      </c>
    </row>
    <row r="580" spans="1:20" x14ac:dyDescent="0.35">
      <c r="A580" t="s">
        <v>749</v>
      </c>
      <c r="B580" s="1">
        <v>45436</v>
      </c>
      <c r="C580">
        <v>2024</v>
      </c>
      <c r="D580">
        <v>5</v>
      </c>
      <c r="E580" t="s">
        <v>38</v>
      </c>
      <c r="F580">
        <v>112</v>
      </c>
      <c r="G580" t="s">
        <v>83</v>
      </c>
      <c r="H580" t="s">
        <v>56</v>
      </c>
      <c r="I580">
        <v>0</v>
      </c>
      <c r="J580">
        <v>0</v>
      </c>
      <c r="K580">
        <v>6</v>
      </c>
      <c r="L580">
        <v>2198</v>
      </c>
      <c r="M580" t="s">
        <v>17</v>
      </c>
      <c r="N580" t="str">
        <f t="shared" si="63"/>
        <v>streaming</v>
      </c>
      <c r="O580" t="str">
        <f t="shared" si="64"/>
        <v>non-original</v>
      </c>
      <c r="P580" t="str">
        <f t="shared" si="65"/>
        <v>non-franchise</v>
      </c>
      <c r="Q580" t="str">
        <f t="shared" si="66"/>
        <v>new</v>
      </c>
      <c r="R580" s="2">
        <f t="shared" si="67"/>
        <v>9.1990915373955581E-4</v>
      </c>
      <c r="S580">
        <f t="shared" si="68"/>
        <v>0.52105263157894732</v>
      </c>
      <c r="T580" t="str">
        <f t="shared" si="69"/>
        <v>Scenario 3: Strong Convenience</v>
      </c>
    </row>
    <row r="581" spans="1:20" x14ac:dyDescent="0.35">
      <c r="A581" t="s">
        <v>750</v>
      </c>
      <c r="B581" s="1">
        <v>45441</v>
      </c>
      <c r="C581">
        <v>2024</v>
      </c>
      <c r="D581">
        <v>5</v>
      </c>
      <c r="E581" t="s">
        <v>38</v>
      </c>
      <c r="F581">
        <v>110</v>
      </c>
      <c r="G581" t="s">
        <v>192</v>
      </c>
      <c r="H581" t="s">
        <v>24</v>
      </c>
      <c r="I581">
        <v>0</v>
      </c>
      <c r="J581">
        <v>0</v>
      </c>
      <c r="K581">
        <v>4.3</v>
      </c>
      <c r="L581">
        <v>1849</v>
      </c>
      <c r="M581" t="s">
        <v>17</v>
      </c>
      <c r="N581" t="str">
        <f t="shared" si="63"/>
        <v>streaming</v>
      </c>
      <c r="O581" t="str">
        <f t="shared" si="64"/>
        <v>non-original</v>
      </c>
      <c r="P581" t="str">
        <f t="shared" si="65"/>
        <v>non-franchise</v>
      </c>
      <c r="Q581" t="str">
        <f t="shared" si="66"/>
        <v>new</v>
      </c>
      <c r="R581" s="2">
        <f t="shared" si="67"/>
        <v>7.600266588907458E-4</v>
      </c>
      <c r="S581">
        <f t="shared" si="68"/>
        <v>0.37827067669172937</v>
      </c>
      <c r="T581" t="str">
        <f t="shared" si="69"/>
        <v>Scenario 2: Weak Commitment/Convenience</v>
      </c>
    </row>
    <row r="582" spans="1:20" x14ac:dyDescent="0.35">
      <c r="A582" t="s">
        <v>751</v>
      </c>
      <c r="B582" s="1">
        <v>45441</v>
      </c>
      <c r="C582">
        <v>2024</v>
      </c>
      <c r="D582">
        <v>5</v>
      </c>
      <c r="E582" t="s">
        <v>38</v>
      </c>
      <c r="F582">
        <v>112</v>
      </c>
      <c r="G582" t="s">
        <v>76</v>
      </c>
      <c r="H582" t="s">
        <v>30</v>
      </c>
      <c r="I582">
        <v>0</v>
      </c>
      <c r="J582">
        <v>0</v>
      </c>
      <c r="K582">
        <v>6.4</v>
      </c>
      <c r="L582">
        <v>9395</v>
      </c>
      <c r="M582" t="s">
        <v>88</v>
      </c>
      <c r="N582" t="str">
        <f t="shared" si="63"/>
        <v>streaming</v>
      </c>
      <c r="O582" t="str">
        <f t="shared" si="64"/>
        <v>non-original</v>
      </c>
      <c r="P582" t="str">
        <f t="shared" si="65"/>
        <v>non-franchise</v>
      </c>
      <c r="Q582" t="str">
        <f t="shared" si="66"/>
        <v>new</v>
      </c>
      <c r="R582" s="2">
        <f t="shared" si="67"/>
        <v>3.9320047767894108E-3</v>
      </c>
      <c r="S582">
        <f t="shared" si="68"/>
        <v>0.5557894736842105</v>
      </c>
      <c r="T582" t="str">
        <f t="shared" si="69"/>
        <v>Scenario 3: Strong Convenience</v>
      </c>
    </row>
    <row r="583" spans="1:20" x14ac:dyDescent="0.35">
      <c r="A583" t="s">
        <v>752</v>
      </c>
      <c r="B583" s="1">
        <v>45443</v>
      </c>
      <c r="C583">
        <v>2024</v>
      </c>
      <c r="D583">
        <v>5</v>
      </c>
      <c r="E583" t="s">
        <v>38</v>
      </c>
      <c r="F583">
        <v>100</v>
      </c>
      <c r="G583" t="s">
        <v>753</v>
      </c>
      <c r="H583" t="s">
        <v>30</v>
      </c>
      <c r="I583">
        <v>0</v>
      </c>
      <c r="J583">
        <v>0</v>
      </c>
      <c r="K583">
        <v>5.8</v>
      </c>
      <c r="L583">
        <v>3194</v>
      </c>
      <c r="M583" t="s">
        <v>17</v>
      </c>
      <c r="N583" t="str">
        <f t="shared" si="63"/>
        <v>streaming</v>
      </c>
      <c r="O583" t="str">
        <f t="shared" si="64"/>
        <v>non-original</v>
      </c>
      <c r="P583" t="str">
        <f t="shared" si="65"/>
        <v>non-franchise</v>
      </c>
      <c r="Q583" t="str">
        <f t="shared" si="66"/>
        <v>new</v>
      </c>
      <c r="R583" s="2">
        <f t="shared" si="67"/>
        <v>1.1935322034008762E-3</v>
      </c>
      <c r="S583">
        <f t="shared" si="68"/>
        <v>0.5429323308270676</v>
      </c>
      <c r="T583" t="str">
        <f t="shared" si="69"/>
        <v>Scenario 3: Strong Convenience</v>
      </c>
    </row>
    <row r="584" spans="1:20" x14ac:dyDescent="0.35">
      <c r="A584" t="s">
        <v>754</v>
      </c>
      <c r="B584" s="1">
        <v>45447</v>
      </c>
      <c r="C584">
        <v>2024</v>
      </c>
      <c r="D584">
        <v>6</v>
      </c>
      <c r="E584" t="s">
        <v>78</v>
      </c>
      <c r="F584">
        <v>90</v>
      </c>
      <c r="G584" t="s">
        <v>21</v>
      </c>
      <c r="H584" t="s">
        <v>30</v>
      </c>
      <c r="I584">
        <v>0</v>
      </c>
      <c r="J584">
        <v>0</v>
      </c>
      <c r="K584">
        <v>5.4</v>
      </c>
      <c r="L584">
        <v>1360</v>
      </c>
      <c r="M584" t="s">
        <v>17</v>
      </c>
      <c r="N584" t="str">
        <f t="shared" si="63"/>
        <v>streaming</v>
      </c>
      <c r="O584" t="str">
        <f t="shared" si="64"/>
        <v>non-original</v>
      </c>
      <c r="P584" t="str">
        <f t="shared" si="65"/>
        <v>non-franchise</v>
      </c>
      <c r="Q584" t="str">
        <f t="shared" si="66"/>
        <v>new</v>
      </c>
      <c r="R584" s="2">
        <f t="shared" si="67"/>
        <v>4.5738366216739899E-4</v>
      </c>
      <c r="S584">
        <f t="shared" si="68"/>
        <v>0.53593984962406016</v>
      </c>
      <c r="T584" t="str">
        <f t="shared" si="69"/>
        <v>Scenario 3: Strong Convenience</v>
      </c>
    </row>
    <row r="585" spans="1:20" x14ac:dyDescent="0.35">
      <c r="A585" t="s">
        <v>755</v>
      </c>
      <c r="B585" s="1">
        <v>45448</v>
      </c>
      <c r="C585">
        <v>2024</v>
      </c>
      <c r="D585">
        <v>6</v>
      </c>
      <c r="E585" t="s">
        <v>78</v>
      </c>
      <c r="F585">
        <v>103</v>
      </c>
      <c r="G585" t="s">
        <v>19</v>
      </c>
      <c r="H585" t="s">
        <v>24</v>
      </c>
      <c r="I585">
        <v>0</v>
      </c>
      <c r="J585">
        <v>0</v>
      </c>
      <c r="K585">
        <v>5.2</v>
      </c>
      <c r="L585">
        <v>39190</v>
      </c>
      <c r="M585" t="s">
        <v>88</v>
      </c>
      <c r="N585" t="str">
        <f t="shared" si="63"/>
        <v>streaming</v>
      </c>
      <c r="O585" t="str">
        <f t="shared" si="64"/>
        <v>non-original</v>
      </c>
      <c r="P585" t="str">
        <f t="shared" si="65"/>
        <v>non-franchise</v>
      </c>
      <c r="Q585" t="str">
        <f t="shared" si="66"/>
        <v>new</v>
      </c>
      <c r="R585" s="2">
        <f t="shared" si="67"/>
        <v>1.5083833081658969E-2</v>
      </c>
      <c r="S585">
        <f t="shared" si="68"/>
        <v>0.47796992481203004</v>
      </c>
      <c r="T585" t="str">
        <f t="shared" si="69"/>
        <v>Scenario 2: Weak Commitment/Convenience</v>
      </c>
    </row>
    <row r="586" spans="1:20" x14ac:dyDescent="0.35">
      <c r="A586" t="s">
        <v>756</v>
      </c>
      <c r="B586" s="1">
        <v>45449</v>
      </c>
      <c r="C586">
        <v>2024</v>
      </c>
      <c r="D586">
        <v>6</v>
      </c>
      <c r="E586" t="s">
        <v>78</v>
      </c>
      <c r="F586">
        <v>105</v>
      </c>
      <c r="G586" t="s">
        <v>34</v>
      </c>
      <c r="H586" t="s">
        <v>30</v>
      </c>
      <c r="I586">
        <v>0</v>
      </c>
      <c r="J586">
        <v>0</v>
      </c>
      <c r="K586">
        <v>4.4000000000000004</v>
      </c>
      <c r="L586">
        <v>628</v>
      </c>
      <c r="M586" t="s">
        <v>17</v>
      </c>
      <c r="N586" t="str">
        <f t="shared" si="63"/>
        <v>streaming</v>
      </c>
      <c r="O586" t="str">
        <f t="shared" si="64"/>
        <v>non-original</v>
      </c>
      <c r="P586" t="str">
        <f t="shared" si="65"/>
        <v>non-franchise</v>
      </c>
      <c r="Q586" t="str">
        <f t="shared" si="66"/>
        <v>new</v>
      </c>
      <c r="R586" s="2">
        <f t="shared" si="67"/>
        <v>2.4640423760880956E-4</v>
      </c>
      <c r="S586">
        <f t="shared" si="68"/>
        <v>0.39947368421052643</v>
      </c>
      <c r="T586" t="str">
        <f t="shared" si="69"/>
        <v>Scenario 2: Weak Commitment/Convenience</v>
      </c>
    </row>
    <row r="587" spans="1:20" x14ac:dyDescent="0.35">
      <c r="A587" t="s">
        <v>757</v>
      </c>
      <c r="B587" s="1">
        <v>45457</v>
      </c>
      <c r="C587">
        <v>2024</v>
      </c>
      <c r="D587">
        <v>6</v>
      </c>
      <c r="E587" t="s">
        <v>78</v>
      </c>
      <c r="F587">
        <v>121</v>
      </c>
      <c r="G587" t="s">
        <v>758</v>
      </c>
      <c r="H587" t="s">
        <v>56</v>
      </c>
      <c r="I587">
        <v>0</v>
      </c>
      <c r="J587">
        <v>0</v>
      </c>
      <c r="K587">
        <v>6.9</v>
      </c>
      <c r="L587">
        <v>7336</v>
      </c>
      <c r="M587" t="s">
        <v>17</v>
      </c>
      <c r="N587" t="str">
        <f t="shared" si="63"/>
        <v>streaming</v>
      </c>
      <c r="O587" t="str">
        <f t="shared" si="64"/>
        <v>non-original</v>
      </c>
      <c r="P587" t="str">
        <f t="shared" si="65"/>
        <v>non-franchise</v>
      </c>
      <c r="Q587" t="str">
        <f t="shared" si="66"/>
        <v>new</v>
      </c>
      <c r="R587" s="2">
        <f t="shared" si="67"/>
        <v>3.316988170137784E-3</v>
      </c>
      <c r="S587">
        <f t="shared" si="68"/>
        <v>0.5641917293233083</v>
      </c>
      <c r="T587" t="str">
        <f t="shared" si="69"/>
        <v>Scenario 3: Strong Convenience</v>
      </c>
    </row>
    <row r="588" spans="1:20" x14ac:dyDescent="0.35">
      <c r="A588" t="s">
        <v>759</v>
      </c>
      <c r="B588" s="1">
        <v>45462</v>
      </c>
      <c r="C588">
        <v>2024</v>
      </c>
      <c r="D588">
        <v>6</v>
      </c>
      <c r="E588" t="s">
        <v>78</v>
      </c>
      <c r="F588">
        <v>94</v>
      </c>
      <c r="G588" t="s">
        <v>21</v>
      </c>
      <c r="H588" t="s">
        <v>30</v>
      </c>
      <c r="I588">
        <v>0</v>
      </c>
      <c r="J588">
        <v>0</v>
      </c>
      <c r="K588">
        <v>6.2</v>
      </c>
      <c r="L588">
        <v>113</v>
      </c>
      <c r="M588" t="s">
        <v>88</v>
      </c>
      <c r="N588" t="str">
        <f t="shared" si="63"/>
        <v>streaming</v>
      </c>
      <c r="O588" t="str">
        <f t="shared" si="64"/>
        <v>non-original</v>
      </c>
      <c r="P588" t="str">
        <f t="shared" si="65"/>
        <v>non-franchise</v>
      </c>
      <c r="Q588" t="str">
        <f t="shared" si="66"/>
        <v>new</v>
      </c>
      <c r="R588" s="2">
        <f t="shared" si="67"/>
        <v>3.9692232512598956E-5</v>
      </c>
      <c r="S588">
        <f t="shared" si="68"/>
        <v>0.60135338345864664</v>
      </c>
      <c r="T588" t="str">
        <f t="shared" si="69"/>
        <v>Scenario 3: Strong Convenience</v>
      </c>
    </row>
    <row r="589" spans="1:20" x14ac:dyDescent="0.35">
      <c r="A589" t="s">
        <v>760</v>
      </c>
      <c r="B589" s="1">
        <v>45464</v>
      </c>
      <c r="C589">
        <v>2024</v>
      </c>
      <c r="D589">
        <v>6</v>
      </c>
      <c r="E589" t="s">
        <v>78</v>
      </c>
      <c r="F589">
        <v>131</v>
      </c>
      <c r="G589" t="s">
        <v>761</v>
      </c>
      <c r="H589" t="s">
        <v>30</v>
      </c>
      <c r="I589">
        <v>1</v>
      </c>
      <c r="J589">
        <v>0</v>
      </c>
      <c r="K589">
        <v>6.5</v>
      </c>
      <c r="L589">
        <v>15693</v>
      </c>
      <c r="M589" t="s">
        <v>88</v>
      </c>
      <c r="N589" t="str">
        <f t="shared" si="63"/>
        <v>streaming</v>
      </c>
      <c r="O589" t="str">
        <f t="shared" si="64"/>
        <v>original</v>
      </c>
      <c r="P589" t="str">
        <f t="shared" si="65"/>
        <v>non-franchise</v>
      </c>
      <c r="Q589" t="str">
        <f t="shared" si="66"/>
        <v>old</v>
      </c>
      <c r="R589" s="2">
        <f t="shared" si="67"/>
        <v>1.1523058298547575E-2</v>
      </c>
      <c r="S589">
        <f t="shared" si="68"/>
        <v>0.32988721804511284</v>
      </c>
      <c r="T589" t="str">
        <f t="shared" si="69"/>
        <v>Scenario 2: Weak Commitment/Convenience</v>
      </c>
    </row>
    <row r="590" spans="1:20" x14ac:dyDescent="0.35">
      <c r="A590" t="s">
        <v>762</v>
      </c>
      <c r="B590" s="1">
        <v>45464</v>
      </c>
      <c r="C590">
        <v>2024</v>
      </c>
      <c r="D590">
        <v>6</v>
      </c>
      <c r="E590" t="s">
        <v>78</v>
      </c>
      <c r="F590">
        <v>106</v>
      </c>
      <c r="G590" t="s">
        <v>49</v>
      </c>
      <c r="H590" t="s">
        <v>24</v>
      </c>
      <c r="I590">
        <v>0</v>
      </c>
      <c r="J590">
        <v>0</v>
      </c>
      <c r="K590">
        <v>4.5999999999999996</v>
      </c>
      <c r="L590">
        <v>20504</v>
      </c>
      <c r="M590" t="s">
        <v>88</v>
      </c>
      <c r="N590" t="str">
        <f t="shared" si="63"/>
        <v>streaming</v>
      </c>
      <c r="O590" t="str">
        <f t="shared" si="64"/>
        <v>non-original</v>
      </c>
      <c r="P590" t="str">
        <f t="shared" si="65"/>
        <v>non-franchise</v>
      </c>
      <c r="Q590" t="str">
        <f t="shared" si="66"/>
        <v>new</v>
      </c>
      <c r="R590" s="2">
        <f t="shared" si="67"/>
        <v>8.1216391222427853E-3</v>
      </c>
      <c r="S590">
        <f t="shared" si="68"/>
        <v>0.41503759398496237</v>
      </c>
      <c r="T590" t="str">
        <f t="shared" si="69"/>
        <v>Scenario 2: Weak Commitment/Convenience</v>
      </c>
    </row>
    <row r="591" spans="1:20" x14ac:dyDescent="0.35">
      <c r="A591" t="s">
        <v>763</v>
      </c>
      <c r="B591" s="1">
        <v>45470</v>
      </c>
      <c r="C591">
        <v>2024</v>
      </c>
      <c r="D591">
        <v>6</v>
      </c>
      <c r="E591" t="s">
        <v>78</v>
      </c>
      <c r="F591">
        <v>118</v>
      </c>
      <c r="G591" t="s">
        <v>269</v>
      </c>
      <c r="H591" t="s">
        <v>27</v>
      </c>
      <c r="I591">
        <v>0</v>
      </c>
      <c r="J591">
        <v>0</v>
      </c>
      <c r="K591">
        <v>7.7</v>
      </c>
      <c r="L591">
        <v>3628</v>
      </c>
      <c r="M591" t="s">
        <v>17</v>
      </c>
      <c r="N591" t="str">
        <f t="shared" si="63"/>
        <v>streaming</v>
      </c>
      <c r="O591" t="str">
        <f t="shared" si="64"/>
        <v>non-original</v>
      </c>
      <c r="P591" t="str">
        <f t="shared" si="65"/>
        <v>non-franchise</v>
      </c>
      <c r="Q591" t="str">
        <f t="shared" si="66"/>
        <v>new</v>
      </c>
      <c r="R591" s="2">
        <f t="shared" si="67"/>
        <v>1.5997367263767335E-3</v>
      </c>
      <c r="S591">
        <f t="shared" si="68"/>
        <v>0.64263157894736855</v>
      </c>
      <c r="T591" t="str">
        <f t="shared" si="69"/>
        <v>Scenario 3: Strong Convenience</v>
      </c>
    </row>
    <row r="592" spans="1:20" x14ac:dyDescent="0.35">
      <c r="A592" t="s">
        <v>764</v>
      </c>
      <c r="B592" s="1">
        <v>45471</v>
      </c>
      <c r="C592">
        <v>2024</v>
      </c>
      <c r="D592">
        <v>6</v>
      </c>
      <c r="E592" t="s">
        <v>78</v>
      </c>
      <c r="F592">
        <v>113</v>
      </c>
      <c r="G592" t="s">
        <v>29</v>
      </c>
      <c r="H592" t="s">
        <v>27</v>
      </c>
      <c r="I592">
        <v>0</v>
      </c>
      <c r="J592">
        <v>0</v>
      </c>
      <c r="K592">
        <v>5.4</v>
      </c>
      <c r="L592">
        <v>39554</v>
      </c>
      <c r="M592" t="s">
        <v>88</v>
      </c>
      <c r="N592" t="str">
        <f t="shared" si="63"/>
        <v>streaming</v>
      </c>
      <c r="O592" t="str">
        <f t="shared" si="64"/>
        <v>non-original</v>
      </c>
      <c r="P592" t="str">
        <f t="shared" si="65"/>
        <v>non-franchise</v>
      </c>
      <c r="Q592" t="str">
        <f t="shared" si="66"/>
        <v>new</v>
      </c>
      <c r="R592" s="2">
        <f t="shared" si="67"/>
        <v>1.670198473195042E-2</v>
      </c>
      <c r="S592">
        <f t="shared" si="68"/>
        <v>0.46590225563909776</v>
      </c>
      <c r="T592" t="str">
        <f t="shared" si="69"/>
        <v>Scenario 2: Weak Commitment/Convenience</v>
      </c>
    </row>
    <row r="593" spans="1:20" x14ac:dyDescent="0.35">
      <c r="A593" t="s">
        <v>765</v>
      </c>
      <c r="B593" s="1">
        <v>45476</v>
      </c>
      <c r="C593">
        <v>2024</v>
      </c>
      <c r="D593">
        <v>7</v>
      </c>
      <c r="E593" t="s">
        <v>78</v>
      </c>
      <c r="F593">
        <v>117</v>
      </c>
      <c r="G593" t="s">
        <v>766</v>
      </c>
      <c r="H593" t="s">
        <v>24</v>
      </c>
      <c r="I593">
        <v>0</v>
      </c>
      <c r="J593">
        <v>0</v>
      </c>
      <c r="K593">
        <v>6.4</v>
      </c>
      <c r="L593">
        <v>86557</v>
      </c>
      <c r="M593" t="s">
        <v>88</v>
      </c>
      <c r="N593" t="str">
        <f t="shared" si="63"/>
        <v>streaming</v>
      </c>
      <c r="O593" t="str">
        <f t="shared" si="64"/>
        <v>non-original</v>
      </c>
      <c r="P593" t="str">
        <f t="shared" si="65"/>
        <v>non-franchise</v>
      </c>
      <c r="Q593" t="str">
        <f t="shared" si="66"/>
        <v>new</v>
      </c>
      <c r="R593" s="2">
        <f t="shared" si="67"/>
        <v>3.7843150691243103E-2</v>
      </c>
      <c r="S593">
        <f t="shared" si="68"/>
        <v>0.53774436090225564</v>
      </c>
      <c r="T593" t="str">
        <f t="shared" si="69"/>
        <v>Scenario 4: Hybrid Logic</v>
      </c>
    </row>
    <row r="594" spans="1:20" x14ac:dyDescent="0.35">
      <c r="A594" t="s">
        <v>767</v>
      </c>
      <c r="B594" s="1">
        <v>45478</v>
      </c>
      <c r="C594">
        <v>2024</v>
      </c>
      <c r="D594">
        <v>7</v>
      </c>
      <c r="E594" t="s">
        <v>78</v>
      </c>
      <c r="F594">
        <v>107</v>
      </c>
      <c r="G594" t="s">
        <v>90</v>
      </c>
      <c r="H594" t="s">
        <v>30</v>
      </c>
      <c r="I594">
        <v>0</v>
      </c>
      <c r="J594">
        <v>0</v>
      </c>
      <c r="K594">
        <v>6.6</v>
      </c>
      <c r="L594">
        <v>2432</v>
      </c>
      <c r="M594" t="s">
        <v>17</v>
      </c>
      <c r="N594" t="str">
        <f t="shared" si="63"/>
        <v>streaming</v>
      </c>
      <c r="O594" t="str">
        <f t="shared" si="64"/>
        <v>non-original</v>
      </c>
      <c r="P594" t="str">
        <f t="shared" si="65"/>
        <v>non-franchise</v>
      </c>
      <c r="Q594" t="str">
        <f t="shared" si="66"/>
        <v>new</v>
      </c>
      <c r="R594" s="2">
        <f t="shared" si="67"/>
        <v>9.7240364463929121E-4</v>
      </c>
      <c r="S594">
        <f t="shared" si="68"/>
        <v>0.59176691729323305</v>
      </c>
      <c r="T594" t="str">
        <f t="shared" si="69"/>
        <v>Scenario 3: Strong Convenience</v>
      </c>
    </row>
    <row r="595" spans="1:20" x14ac:dyDescent="0.35">
      <c r="A595" t="s">
        <v>768</v>
      </c>
      <c r="B595" s="1">
        <v>45483</v>
      </c>
      <c r="C595">
        <v>2024</v>
      </c>
      <c r="D595">
        <v>7</v>
      </c>
      <c r="E595" t="s">
        <v>78</v>
      </c>
      <c r="F595">
        <v>110</v>
      </c>
      <c r="G595" t="s">
        <v>21</v>
      </c>
      <c r="H595" t="s">
        <v>24</v>
      </c>
      <c r="I595">
        <v>0</v>
      </c>
      <c r="J595">
        <v>0</v>
      </c>
      <c r="K595">
        <v>6.2</v>
      </c>
      <c r="L595">
        <v>17636</v>
      </c>
      <c r="M595" t="s">
        <v>17</v>
      </c>
      <c r="N595" t="str">
        <f t="shared" si="63"/>
        <v>streaming</v>
      </c>
      <c r="O595" t="str">
        <f t="shared" si="64"/>
        <v>non-original</v>
      </c>
      <c r="P595" t="str">
        <f t="shared" si="65"/>
        <v>non-franchise</v>
      </c>
      <c r="Q595" t="str">
        <f t="shared" si="66"/>
        <v>new</v>
      </c>
      <c r="R595" s="2">
        <f t="shared" si="67"/>
        <v>7.2492321017832307E-3</v>
      </c>
      <c r="S595">
        <f t="shared" si="68"/>
        <v>0.54541353383458646</v>
      </c>
      <c r="T595" t="str">
        <f t="shared" si="69"/>
        <v>Scenario 3: Strong Convenience</v>
      </c>
    </row>
    <row r="596" spans="1:20" x14ac:dyDescent="0.35">
      <c r="A596" t="s">
        <v>769</v>
      </c>
      <c r="B596" s="1">
        <v>45484</v>
      </c>
      <c r="C596">
        <v>2024</v>
      </c>
      <c r="D596">
        <v>7</v>
      </c>
      <c r="E596" t="s">
        <v>78</v>
      </c>
      <c r="F596">
        <v>92</v>
      </c>
      <c r="G596" t="s">
        <v>19</v>
      </c>
      <c r="H596" t="s">
        <v>30</v>
      </c>
      <c r="I596">
        <v>0</v>
      </c>
      <c r="J596">
        <v>0</v>
      </c>
      <c r="K596">
        <v>5.2</v>
      </c>
      <c r="L596">
        <v>5187</v>
      </c>
      <c r="M596" t="s">
        <v>88</v>
      </c>
      <c r="N596" t="str">
        <f t="shared" si="63"/>
        <v>streaming</v>
      </c>
      <c r="O596" t="str">
        <f t="shared" si="64"/>
        <v>non-original</v>
      </c>
      <c r="P596" t="str">
        <f t="shared" si="65"/>
        <v>non-franchise</v>
      </c>
      <c r="Q596" t="str">
        <f t="shared" si="66"/>
        <v>new</v>
      </c>
      <c r="R596" s="2">
        <f t="shared" si="67"/>
        <v>1.7832133424912702E-3</v>
      </c>
      <c r="S596">
        <f t="shared" si="68"/>
        <v>0.51022556390977447</v>
      </c>
      <c r="T596" t="str">
        <f t="shared" si="69"/>
        <v>Scenario 3: Strong Convenience</v>
      </c>
    </row>
    <row r="597" spans="1:20" x14ac:dyDescent="0.35">
      <c r="A597" t="s">
        <v>770</v>
      </c>
      <c r="B597" s="1">
        <v>45485</v>
      </c>
      <c r="C597">
        <v>2024</v>
      </c>
      <c r="D597">
        <v>7</v>
      </c>
      <c r="E597" t="s">
        <v>78</v>
      </c>
      <c r="F597">
        <v>92</v>
      </c>
      <c r="G597" t="s">
        <v>21</v>
      </c>
      <c r="H597" t="s">
        <v>24</v>
      </c>
      <c r="I597">
        <v>0</v>
      </c>
      <c r="J597">
        <v>0</v>
      </c>
      <c r="K597">
        <v>5.4</v>
      </c>
      <c r="L597">
        <v>5963</v>
      </c>
      <c r="M597" t="s">
        <v>88</v>
      </c>
      <c r="N597" t="str">
        <f t="shared" si="63"/>
        <v>streaming</v>
      </c>
      <c r="O597" t="str">
        <f t="shared" si="64"/>
        <v>non-original</v>
      </c>
      <c r="P597" t="str">
        <f t="shared" si="65"/>
        <v>non-franchise</v>
      </c>
      <c r="Q597" t="str">
        <f t="shared" si="66"/>
        <v>new</v>
      </c>
      <c r="R597" s="2">
        <f t="shared" si="67"/>
        <v>2.0499905843985818E-3</v>
      </c>
      <c r="S597">
        <f t="shared" si="68"/>
        <v>0.52984962406015046</v>
      </c>
      <c r="T597" t="str">
        <f t="shared" si="69"/>
        <v>Scenario 3: Strong Convenience</v>
      </c>
    </row>
    <row r="598" spans="1:20" x14ac:dyDescent="0.35">
      <c r="A598" t="s">
        <v>771</v>
      </c>
      <c r="B598" s="1">
        <v>45485</v>
      </c>
      <c r="C598">
        <v>2024</v>
      </c>
      <c r="D598">
        <v>7</v>
      </c>
      <c r="E598" t="s">
        <v>78</v>
      </c>
      <c r="F598">
        <v>108</v>
      </c>
      <c r="G598" t="s">
        <v>21</v>
      </c>
      <c r="H598" t="s">
        <v>30</v>
      </c>
      <c r="I598">
        <v>0</v>
      </c>
      <c r="J598">
        <v>0</v>
      </c>
      <c r="K598">
        <v>4.5999999999999996</v>
      </c>
      <c r="L598">
        <v>232</v>
      </c>
      <c r="M598" t="s">
        <v>17</v>
      </c>
      <c r="N598" t="str">
        <f t="shared" si="63"/>
        <v>streaming</v>
      </c>
      <c r="O598" t="str">
        <f t="shared" si="64"/>
        <v>non-original</v>
      </c>
      <c r="P598" t="str">
        <f t="shared" si="65"/>
        <v>non-franchise</v>
      </c>
      <c r="Q598" t="str">
        <f t="shared" si="66"/>
        <v>new</v>
      </c>
      <c r="R598" s="2">
        <f t="shared" si="67"/>
        <v>9.3629126137796979E-5</v>
      </c>
      <c r="S598">
        <f t="shared" si="68"/>
        <v>0.40984962406015035</v>
      </c>
      <c r="T598" t="str">
        <f t="shared" si="69"/>
        <v>Scenario 2: Weak Commitment/Convenience</v>
      </c>
    </row>
    <row r="599" spans="1:20" x14ac:dyDescent="0.35">
      <c r="A599" t="s">
        <v>772</v>
      </c>
      <c r="B599" s="1">
        <v>45485</v>
      </c>
      <c r="C599">
        <v>2024</v>
      </c>
      <c r="D599">
        <v>7</v>
      </c>
      <c r="E599" t="s">
        <v>78</v>
      </c>
      <c r="F599">
        <v>106</v>
      </c>
      <c r="G599" t="s">
        <v>21</v>
      </c>
      <c r="H599" t="s">
        <v>30</v>
      </c>
      <c r="I599">
        <v>1</v>
      </c>
      <c r="J599">
        <v>1</v>
      </c>
      <c r="K599">
        <v>5.5</v>
      </c>
      <c r="L599">
        <v>1007</v>
      </c>
      <c r="M599" t="s">
        <v>17</v>
      </c>
      <c r="N599" t="str">
        <f t="shared" si="63"/>
        <v>streaming</v>
      </c>
      <c r="O599" t="str">
        <f t="shared" si="64"/>
        <v>original</v>
      </c>
      <c r="P599" t="str">
        <f t="shared" si="65"/>
        <v>franchise</v>
      </c>
      <c r="Q599" t="str">
        <f t="shared" si="66"/>
        <v>old</v>
      </c>
      <c r="R599" s="2">
        <f t="shared" si="67"/>
        <v>5.9830939788079048E-4</v>
      </c>
      <c r="S599">
        <f t="shared" si="68"/>
        <v>0.33082706766917291</v>
      </c>
      <c r="T599" t="str">
        <f t="shared" si="69"/>
        <v>Scenario 2: Weak Commitment/Convenience</v>
      </c>
    </row>
    <row r="600" spans="1:20" x14ac:dyDescent="0.35">
      <c r="A600" t="s">
        <v>773</v>
      </c>
      <c r="B600" s="1">
        <v>45492</v>
      </c>
      <c r="C600">
        <v>2024</v>
      </c>
      <c r="D600">
        <v>7</v>
      </c>
      <c r="E600" t="s">
        <v>78</v>
      </c>
      <c r="F600">
        <v>93</v>
      </c>
      <c r="G600" t="s">
        <v>29</v>
      </c>
      <c r="H600" t="s">
        <v>30</v>
      </c>
      <c r="I600">
        <v>0</v>
      </c>
      <c r="J600">
        <v>0</v>
      </c>
      <c r="K600">
        <v>6.3</v>
      </c>
      <c r="L600">
        <v>13806</v>
      </c>
      <c r="M600" t="s">
        <v>17</v>
      </c>
      <c r="N600" t="str">
        <f t="shared" si="63"/>
        <v>streaming</v>
      </c>
      <c r="O600" t="str">
        <f t="shared" si="64"/>
        <v>non-original</v>
      </c>
      <c r="P600" t="str">
        <f t="shared" si="65"/>
        <v>non-franchise</v>
      </c>
      <c r="Q600" t="str">
        <f t="shared" si="66"/>
        <v>new</v>
      </c>
      <c r="R600" s="2">
        <f t="shared" si="67"/>
        <v>4.7978873538327554E-3</v>
      </c>
      <c r="S600">
        <f t="shared" si="68"/>
        <v>0.61460526315789477</v>
      </c>
      <c r="T600" t="str">
        <f t="shared" si="69"/>
        <v>Scenario 3: Strong Convenience</v>
      </c>
    </row>
    <row r="601" spans="1:20" x14ac:dyDescent="0.35">
      <c r="A601" t="s">
        <v>774</v>
      </c>
      <c r="B601" s="1">
        <v>45499</v>
      </c>
      <c r="C601">
        <v>2024</v>
      </c>
      <c r="D601">
        <v>7</v>
      </c>
      <c r="E601" t="s">
        <v>78</v>
      </c>
      <c r="F601">
        <v>120</v>
      </c>
      <c r="G601" t="s">
        <v>34</v>
      </c>
      <c r="H601" t="s">
        <v>24</v>
      </c>
      <c r="I601">
        <v>0</v>
      </c>
      <c r="J601">
        <v>0</v>
      </c>
      <c r="K601">
        <v>4</v>
      </c>
      <c r="L601">
        <v>505</v>
      </c>
      <c r="M601" t="s">
        <v>17</v>
      </c>
      <c r="N601" t="str">
        <f t="shared" si="63"/>
        <v>streaming</v>
      </c>
      <c r="O601" t="str">
        <f t="shared" si="64"/>
        <v>non-original</v>
      </c>
      <c r="P601" t="str">
        <f t="shared" si="65"/>
        <v>non-franchise</v>
      </c>
      <c r="Q601" t="str">
        <f t="shared" si="66"/>
        <v>new</v>
      </c>
      <c r="R601" s="2">
        <f t="shared" si="67"/>
        <v>2.2644975430836912E-4</v>
      </c>
      <c r="S601">
        <f t="shared" si="68"/>
        <v>0.32932330827067674</v>
      </c>
      <c r="T601" t="str">
        <f t="shared" si="69"/>
        <v>Scenario 2: Weak Commitment/Convenience</v>
      </c>
    </row>
    <row r="602" spans="1:20" x14ac:dyDescent="0.35">
      <c r="A602" t="s">
        <v>775</v>
      </c>
      <c r="B602" s="1">
        <v>45499</v>
      </c>
      <c r="C602">
        <v>2024</v>
      </c>
      <c r="D602">
        <v>7</v>
      </c>
      <c r="E602" t="s">
        <v>78</v>
      </c>
      <c r="F602">
        <v>86</v>
      </c>
      <c r="G602" t="s">
        <v>41</v>
      </c>
      <c r="H602" t="s">
        <v>27</v>
      </c>
      <c r="I602">
        <v>0</v>
      </c>
      <c r="J602">
        <v>0</v>
      </c>
      <c r="K602">
        <v>5.4</v>
      </c>
      <c r="L602">
        <v>1319</v>
      </c>
      <c r="M602" t="s">
        <v>17</v>
      </c>
      <c r="N602" t="str">
        <f t="shared" si="63"/>
        <v>streaming</v>
      </c>
      <c r="O602" t="str">
        <f t="shared" si="64"/>
        <v>non-original</v>
      </c>
      <c r="P602" t="str">
        <f t="shared" si="65"/>
        <v>non-franchise</v>
      </c>
      <c r="Q602" t="str">
        <f t="shared" si="66"/>
        <v>new</v>
      </c>
      <c r="R602" s="2">
        <f t="shared" si="67"/>
        <v>4.2387956155471191E-4</v>
      </c>
      <c r="S602">
        <f t="shared" si="68"/>
        <v>0.54812030075187979</v>
      </c>
      <c r="T602" t="str">
        <f t="shared" si="69"/>
        <v>Scenario 3: Strong Convenience</v>
      </c>
    </row>
    <row r="603" spans="1:20" x14ac:dyDescent="0.35">
      <c r="A603" t="s">
        <v>776</v>
      </c>
      <c r="B603" s="1">
        <v>45505</v>
      </c>
      <c r="C603">
        <v>2024</v>
      </c>
      <c r="D603">
        <v>8</v>
      </c>
      <c r="E603" t="s">
        <v>78</v>
      </c>
      <c r="F603">
        <v>111</v>
      </c>
      <c r="G603" t="s">
        <v>76</v>
      </c>
      <c r="H603" t="s">
        <v>30</v>
      </c>
      <c r="I603">
        <v>0</v>
      </c>
      <c r="J603">
        <v>0</v>
      </c>
      <c r="K603">
        <v>5.2</v>
      </c>
      <c r="L603">
        <v>1434</v>
      </c>
      <c r="M603" t="s">
        <v>17</v>
      </c>
      <c r="N603" t="str">
        <f t="shared" si="63"/>
        <v>streaming</v>
      </c>
      <c r="O603" t="str">
        <f t="shared" si="64"/>
        <v>non-original</v>
      </c>
      <c r="P603" t="str">
        <f t="shared" si="65"/>
        <v>non-franchise</v>
      </c>
      <c r="Q603" t="str">
        <f t="shared" si="66"/>
        <v>new</v>
      </c>
      <c r="R603" s="2">
        <f t="shared" si="67"/>
        <v>5.9480054772739841E-4</v>
      </c>
      <c r="S603">
        <f t="shared" si="68"/>
        <v>0.4545112781954887</v>
      </c>
      <c r="T603" t="str">
        <f t="shared" si="69"/>
        <v>Scenario 2: Weak Commitment/Convenience</v>
      </c>
    </row>
    <row r="604" spans="1:20" x14ac:dyDescent="0.35">
      <c r="A604" t="s">
        <v>777</v>
      </c>
      <c r="B604" s="1">
        <v>45506</v>
      </c>
      <c r="C604">
        <v>2024</v>
      </c>
      <c r="D604">
        <v>8</v>
      </c>
      <c r="E604" t="s">
        <v>78</v>
      </c>
      <c r="F604">
        <v>86</v>
      </c>
      <c r="G604" t="s">
        <v>778</v>
      </c>
      <c r="H604" t="s">
        <v>86</v>
      </c>
      <c r="I604">
        <v>0</v>
      </c>
      <c r="J604">
        <v>0</v>
      </c>
      <c r="K604">
        <v>3.6</v>
      </c>
      <c r="L604">
        <v>4572</v>
      </c>
      <c r="M604" t="s">
        <v>17</v>
      </c>
      <c r="N604" t="str">
        <f t="shared" si="63"/>
        <v>streaming</v>
      </c>
      <c r="O604" t="str">
        <f t="shared" si="64"/>
        <v>non-original</v>
      </c>
      <c r="P604" t="str">
        <f t="shared" si="65"/>
        <v>non-franchise</v>
      </c>
      <c r="Q604" t="str">
        <f t="shared" si="66"/>
        <v>new</v>
      </c>
      <c r="R604" s="2">
        <f t="shared" si="67"/>
        <v>1.4692777524095092E-3</v>
      </c>
      <c r="S604">
        <f t="shared" si="68"/>
        <v>0.36541353383458652</v>
      </c>
      <c r="T604" t="str">
        <f t="shared" si="69"/>
        <v>Scenario 2: Weak Commitment/Convenience</v>
      </c>
    </row>
    <row r="605" spans="1:20" x14ac:dyDescent="0.35">
      <c r="A605" t="s">
        <v>779</v>
      </c>
      <c r="B605" s="1">
        <v>45511</v>
      </c>
      <c r="C605">
        <v>2024</v>
      </c>
      <c r="D605">
        <v>8</v>
      </c>
      <c r="E605" t="s">
        <v>78</v>
      </c>
      <c r="F605">
        <v>97</v>
      </c>
      <c r="G605" t="s">
        <v>34</v>
      </c>
      <c r="H605" t="s">
        <v>30</v>
      </c>
      <c r="I605">
        <v>0</v>
      </c>
      <c r="J605">
        <v>0</v>
      </c>
      <c r="K605">
        <v>6.4</v>
      </c>
      <c r="L605">
        <v>987</v>
      </c>
      <c r="M605" t="s">
        <v>17</v>
      </c>
      <c r="N605" t="str">
        <f t="shared" si="63"/>
        <v>streaming</v>
      </c>
      <c r="O605" t="str">
        <f t="shared" si="64"/>
        <v>non-original</v>
      </c>
      <c r="P605" t="str">
        <f t="shared" si="65"/>
        <v>non-franchise</v>
      </c>
      <c r="Q605" t="str">
        <f t="shared" si="66"/>
        <v>new</v>
      </c>
      <c r="R605" s="2">
        <f t="shared" si="67"/>
        <v>3.5775698065559322E-4</v>
      </c>
      <c r="S605">
        <f t="shared" si="68"/>
        <v>0.6099248120300752</v>
      </c>
      <c r="T605" t="str">
        <f t="shared" si="69"/>
        <v>Scenario 3: Strong Convenience</v>
      </c>
    </row>
    <row r="606" spans="1:20" x14ac:dyDescent="0.35">
      <c r="A606" t="s">
        <v>780</v>
      </c>
      <c r="B606" s="1">
        <v>45513</v>
      </c>
      <c r="C606">
        <v>2024</v>
      </c>
      <c r="D606">
        <v>8</v>
      </c>
      <c r="E606" t="s">
        <v>78</v>
      </c>
      <c r="F606">
        <v>100</v>
      </c>
      <c r="G606" t="s">
        <v>781</v>
      </c>
      <c r="H606" t="s">
        <v>24</v>
      </c>
      <c r="I606">
        <v>0</v>
      </c>
      <c r="J606">
        <v>0</v>
      </c>
      <c r="K606">
        <v>6.1</v>
      </c>
      <c r="L606">
        <v>2944</v>
      </c>
      <c r="M606" t="s">
        <v>88</v>
      </c>
      <c r="N606" t="str">
        <f t="shared" si="63"/>
        <v>streaming</v>
      </c>
      <c r="O606" t="str">
        <f t="shared" si="64"/>
        <v>non-original</v>
      </c>
      <c r="P606" t="str">
        <f t="shared" si="65"/>
        <v>non-franchise</v>
      </c>
      <c r="Q606" t="str">
        <f t="shared" si="66"/>
        <v>new</v>
      </c>
      <c r="R606" s="2">
        <f t="shared" si="67"/>
        <v>1.10011233776211E-3</v>
      </c>
      <c r="S606">
        <f t="shared" si="68"/>
        <v>0.57101503759398498</v>
      </c>
      <c r="T606" t="str">
        <f t="shared" si="69"/>
        <v>Scenario 3: Strong Convenience</v>
      </c>
    </row>
    <row r="607" spans="1:20" x14ac:dyDescent="0.35">
      <c r="A607" t="s">
        <v>782</v>
      </c>
      <c r="B607" s="1">
        <v>45513</v>
      </c>
      <c r="C607">
        <v>2024</v>
      </c>
      <c r="D607">
        <v>8</v>
      </c>
      <c r="E607" t="s">
        <v>78</v>
      </c>
      <c r="F607">
        <v>132</v>
      </c>
      <c r="G607" t="s">
        <v>76</v>
      </c>
      <c r="H607" t="s">
        <v>30</v>
      </c>
      <c r="I607">
        <v>0</v>
      </c>
      <c r="J607">
        <v>1</v>
      </c>
      <c r="K607">
        <v>5.8</v>
      </c>
      <c r="L607">
        <v>7341</v>
      </c>
      <c r="M607" t="s">
        <v>88</v>
      </c>
      <c r="N607" t="str">
        <f t="shared" si="63"/>
        <v>streaming</v>
      </c>
      <c r="O607" t="str">
        <f t="shared" si="64"/>
        <v>non-original</v>
      </c>
      <c r="P607" t="str">
        <f t="shared" si="65"/>
        <v>franchise</v>
      </c>
      <c r="Q607" t="str">
        <f t="shared" si="66"/>
        <v>old</v>
      </c>
      <c r="R607" s="2">
        <f t="shared" si="67"/>
        <v>5.4314982505411233E-3</v>
      </c>
      <c r="S607">
        <f t="shared" si="68"/>
        <v>0.29218045112781954</v>
      </c>
      <c r="T607" t="str">
        <f t="shared" si="69"/>
        <v>Scenario 2: Weak Commitment/Convenience</v>
      </c>
    </row>
    <row r="608" spans="1:20" x14ac:dyDescent="0.35">
      <c r="A608" t="s">
        <v>783</v>
      </c>
      <c r="B608" s="1">
        <v>45520</v>
      </c>
      <c r="C608">
        <v>2024</v>
      </c>
      <c r="D608">
        <v>8</v>
      </c>
      <c r="E608" t="s">
        <v>78</v>
      </c>
      <c r="F608">
        <v>109</v>
      </c>
      <c r="G608" t="s">
        <v>393</v>
      </c>
      <c r="H608" t="s">
        <v>27</v>
      </c>
      <c r="I608">
        <v>0</v>
      </c>
      <c r="J608">
        <v>0</v>
      </c>
      <c r="K608">
        <v>5.5</v>
      </c>
      <c r="L608">
        <v>57722</v>
      </c>
      <c r="M608" t="s">
        <v>88</v>
      </c>
      <c r="N608" t="str">
        <f t="shared" si="63"/>
        <v>streaming</v>
      </c>
      <c r="O608" t="str">
        <f t="shared" si="64"/>
        <v>non-original</v>
      </c>
      <c r="P608" t="str">
        <f t="shared" si="65"/>
        <v>non-franchise</v>
      </c>
      <c r="Q608" t="str">
        <f t="shared" si="66"/>
        <v>new</v>
      </c>
      <c r="R608" s="2">
        <f t="shared" si="67"/>
        <v>2.3510783271987745E-2</v>
      </c>
      <c r="S608">
        <f t="shared" si="68"/>
        <v>0.48693609022556394</v>
      </c>
      <c r="T608" t="str">
        <f t="shared" si="69"/>
        <v>Scenario 2: Weak Commitment/Convenience</v>
      </c>
    </row>
    <row r="609" spans="1:20" x14ac:dyDescent="0.35">
      <c r="A609" t="s">
        <v>784</v>
      </c>
      <c r="B609" s="1">
        <v>45525</v>
      </c>
      <c r="C609">
        <v>2024</v>
      </c>
      <c r="D609">
        <v>8</v>
      </c>
      <c r="E609" t="s">
        <v>78</v>
      </c>
      <c r="F609">
        <v>92</v>
      </c>
      <c r="G609" t="s">
        <v>41</v>
      </c>
      <c r="H609" t="s">
        <v>24</v>
      </c>
      <c r="I609">
        <v>0</v>
      </c>
      <c r="J609">
        <v>0</v>
      </c>
      <c r="K609">
        <v>4.3</v>
      </c>
      <c r="L609">
        <v>1348</v>
      </c>
      <c r="M609" t="s">
        <v>17</v>
      </c>
      <c r="N609" t="str">
        <f t="shared" si="63"/>
        <v>streaming</v>
      </c>
      <c r="O609" t="str">
        <f t="shared" si="64"/>
        <v>non-original</v>
      </c>
      <c r="P609" t="str">
        <f t="shared" si="65"/>
        <v>non-franchise</v>
      </c>
      <c r="Q609" t="str">
        <f t="shared" si="66"/>
        <v>new</v>
      </c>
      <c r="R609" s="2">
        <f t="shared" si="67"/>
        <v>4.6342232228228881E-4</v>
      </c>
      <c r="S609">
        <f t="shared" si="68"/>
        <v>0.42191729323308275</v>
      </c>
      <c r="T609" t="str">
        <f t="shared" si="69"/>
        <v>Scenario 2: Weak Commitment/Convenience</v>
      </c>
    </row>
    <row r="610" spans="1:20" x14ac:dyDescent="0.35">
      <c r="A610" t="s">
        <v>785</v>
      </c>
      <c r="B610" s="1">
        <v>45527</v>
      </c>
      <c r="C610">
        <v>2024</v>
      </c>
      <c r="D610">
        <v>8</v>
      </c>
      <c r="E610" t="s">
        <v>78</v>
      </c>
      <c r="F610">
        <v>91</v>
      </c>
      <c r="G610" t="s">
        <v>21</v>
      </c>
      <c r="H610" t="s">
        <v>24</v>
      </c>
      <c r="I610">
        <v>0</v>
      </c>
      <c r="J610">
        <v>0</v>
      </c>
      <c r="K610">
        <v>5.8</v>
      </c>
      <c r="L610">
        <v>16316</v>
      </c>
      <c r="M610" t="s">
        <v>17</v>
      </c>
      <c r="N610" t="str">
        <f t="shared" si="63"/>
        <v>streaming</v>
      </c>
      <c r="O610" t="str">
        <f t="shared" si="64"/>
        <v>non-original</v>
      </c>
      <c r="P610" t="str">
        <f t="shared" si="65"/>
        <v>non-franchise</v>
      </c>
      <c r="Q610" t="str">
        <f t="shared" si="66"/>
        <v>new</v>
      </c>
      <c r="R610" s="2">
        <f t="shared" si="67"/>
        <v>5.5482282410540748E-3</v>
      </c>
      <c r="S610">
        <f t="shared" si="68"/>
        <v>0.57236842105263153</v>
      </c>
      <c r="T610" t="str">
        <f t="shared" si="69"/>
        <v>Scenario 3: Strong Convenience</v>
      </c>
    </row>
    <row r="611" spans="1:20" x14ac:dyDescent="0.35">
      <c r="A611" t="s">
        <v>786</v>
      </c>
      <c r="B611" s="1">
        <v>45532</v>
      </c>
      <c r="C611">
        <v>2024</v>
      </c>
      <c r="D611">
        <v>8</v>
      </c>
      <c r="E611" t="s">
        <v>78</v>
      </c>
      <c r="F611">
        <v>99</v>
      </c>
      <c r="G611" t="s">
        <v>34</v>
      </c>
      <c r="H611" t="s">
        <v>24</v>
      </c>
      <c r="I611">
        <v>0</v>
      </c>
      <c r="J611">
        <v>0</v>
      </c>
      <c r="K611">
        <v>4.5999999999999996</v>
      </c>
      <c r="L611">
        <v>735</v>
      </c>
      <c r="M611" t="s">
        <v>17</v>
      </c>
      <c r="N611" t="str">
        <f t="shared" si="63"/>
        <v>streaming</v>
      </c>
      <c r="O611" t="str">
        <f t="shared" si="64"/>
        <v>non-original</v>
      </c>
      <c r="P611" t="str">
        <f t="shared" si="65"/>
        <v>non-franchise</v>
      </c>
      <c r="Q611" t="str">
        <f t="shared" si="66"/>
        <v>new</v>
      </c>
      <c r="R611" s="2">
        <f t="shared" si="67"/>
        <v>2.7190786092819277E-4</v>
      </c>
      <c r="S611">
        <f t="shared" si="68"/>
        <v>0.43319548872180452</v>
      </c>
      <c r="T611" t="str">
        <f t="shared" si="69"/>
        <v>Scenario 2: Weak Commitment/Convenience</v>
      </c>
    </row>
    <row r="612" spans="1:20" x14ac:dyDescent="0.35">
      <c r="A612" t="s">
        <v>787</v>
      </c>
      <c r="B612" s="1">
        <v>45534</v>
      </c>
      <c r="C612">
        <v>2024</v>
      </c>
      <c r="D612">
        <v>8</v>
      </c>
      <c r="E612" t="s">
        <v>78</v>
      </c>
      <c r="F612">
        <v>112</v>
      </c>
      <c r="G612" t="s">
        <v>19</v>
      </c>
      <c r="H612" t="s">
        <v>24</v>
      </c>
      <c r="I612">
        <v>0</v>
      </c>
      <c r="J612">
        <v>0</v>
      </c>
      <c r="K612">
        <v>5.0999999999999996</v>
      </c>
      <c r="L612">
        <v>24984</v>
      </c>
      <c r="M612" t="s">
        <v>88</v>
      </c>
      <c r="N612" t="str">
        <f t="shared" si="63"/>
        <v>streaming</v>
      </c>
      <c r="O612" t="str">
        <f t="shared" si="64"/>
        <v>non-original</v>
      </c>
      <c r="P612" t="str">
        <f t="shared" si="65"/>
        <v>non-franchise</v>
      </c>
      <c r="Q612" t="str">
        <f t="shared" si="66"/>
        <v>new</v>
      </c>
      <c r="R612" s="2">
        <f t="shared" si="67"/>
        <v>1.0456328615572821E-2</v>
      </c>
      <c r="S612">
        <f t="shared" si="68"/>
        <v>0.44289473684210529</v>
      </c>
      <c r="T612" t="str">
        <f t="shared" si="69"/>
        <v>Scenario 2: Weak Commitment/Convenience</v>
      </c>
    </row>
    <row r="613" spans="1:20" x14ac:dyDescent="0.35">
      <c r="A613" t="s">
        <v>788</v>
      </c>
      <c r="B613" s="1">
        <v>45534</v>
      </c>
      <c r="C613">
        <v>2024</v>
      </c>
      <c r="D613">
        <v>8</v>
      </c>
      <c r="E613" t="s">
        <v>78</v>
      </c>
      <c r="F613">
        <v>83</v>
      </c>
      <c r="G613" t="s">
        <v>21</v>
      </c>
      <c r="H613" t="s">
        <v>27</v>
      </c>
      <c r="I613">
        <v>0</v>
      </c>
      <c r="J613">
        <v>0</v>
      </c>
      <c r="K613">
        <v>5.2</v>
      </c>
      <c r="L613">
        <v>947</v>
      </c>
      <c r="M613" t="s">
        <v>17</v>
      </c>
      <c r="N613" t="str">
        <f t="shared" si="63"/>
        <v>streaming</v>
      </c>
      <c r="O613" t="str">
        <f t="shared" si="64"/>
        <v>non-original</v>
      </c>
      <c r="P613" t="str">
        <f t="shared" si="65"/>
        <v>non-franchise</v>
      </c>
      <c r="Q613" t="str">
        <f t="shared" si="66"/>
        <v>new</v>
      </c>
      <c r="R613" s="2">
        <f t="shared" si="67"/>
        <v>2.9371579436290629E-4</v>
      </c>
      <c r="S613">
        <f t="shared" si="68"/>
        <v>0.53661654135338355</v>
      </c>
      <c r="T613" t="str">
        <f t="shared" si="69"/>
        <v>Scenario 3: Strong Convenience</v>
      </c>
    </row>
    <row r="614" spans="1:20" x14ac:dyDescent="0.35">
      <c r="A614" t="s">
        <v>789</v>
      </c>
      <c r="B614" s="1">
        <v>45541</v>
      </c>
      <c r="C614">
        <v>2024</v>
      </c>
      <c r="D614">
        <v>9</v>
      </c>
      <c r="E614" t="s">
        <v>125</v>
      </c>
      <c r="F614">
        <v>131</v>
      </c>
      <c r="G614" t="s">
        <v>19</v>
      </c>
      <c r="H614" t="s">
        <v>24</v>
      </c>
      <c r="I614">
        <v>0</v>
      </c>
      <c r="J614">
        <v>0</v>
      </c>
      <c r="K614">
        <v>6.8</v>
      </c>
      <c r="L614">
        <v>101102</v>
      </c>
      <c r="M614" t="s">
        <v>88</v>
      </c>
      <c r="N614" t="str">
        <f t="shared" si="63"/>
        <v>streaming</v>
      </c>
      <c r="O614" t="str">
        <f t="shared" si="64"/>
        <v>non-original</v>
      </c>
      <c r="P614" t="str">
        <f t="shared" si="65"/>
        <v>non-franchise</v>
      </c>
      <c r="Q614" t="str">
        <f t="shared" si="66"/>
        <v>new</v>
      </c>
      <c r="R614" s="2">
        <f t="shared" si="67"/>
        <v>4.9491460740447205E-2</v>
      </c>
      <c r="S614">
        <f t="shared" si="68"/>
        <v>0.51766917293233095</v>
      </c>
      <c r="T614" t="str">
        <f t="shared" si="69"/>
        <v>Scenario 4: Hybrid Logic</v>
      </c>
    </row>
    <row r="615" spans="1:20" x14ac:dyDescent="0.35">
      <c r="A615" t="s">
        <v>790</v>
      </c>
      <c r="B615" s="1">
        <v>45546</v>
      </c>
      <c r="C615">
        <v>2024</v>
      </c>
      <c r="D615">
        <v>9</v>
      </c>
      <c r="E615" t="s">
        <v>125</v>
      </c>
      <c r="F615">
        <v>152</v>
      </c>
      <c r="G615" t="s">
        <v>791</v>
      </c>
      <c r="H615" t="s">
        <v>24</v>
      </c>
      <c r="I615">
        <v>0</v>
      </c>
      <c r="J615">
        <v>0</v>
      </c>
      <c r="K615">
        <v>6.5</v>
      </c>
      <c r="L615">
        <v>1540</v>
      </c>
      <c r="M615" t="s">
        <v>17</v>
      </c>
      <c r="N615" t="str">
        <f t="shared" si="63"/>
        <v>streaming</v>
      </c>
      <c r="O615" t="str">
        <f t="shared" si="64"/>
        <v>non-original</v>
      </c>
      <c r="P615" t="str">
        <f t="shared" si="65"/>
        <v>non-franchise</v>
      </c>
      <c r="Q615" t="str">
        <f t="shared" si="66"/>
        <v>new</v>
      </c>
      <c r="R615" s="2">
        <f t="shared" si="67"/>
        <v>8.7470888594889517E-4</v>
      </c>
      <c r="S615">
        <f t="shared" si="68"/>
        <v>0.41785714285714293</v>
      </c>
      <c r="T615" t="str">
        <f t="shared" si="69"/>
        <v>Scenario 2: Weak Commitment/Convenience</v>
      </c>
    </row>
    <row r="616" spans="1:20" x14ac:dyDescent="0.35">
      <c r="A616" t="s">
        <v>792</v>
      </c>
      <c r="B616" s="1">
        <v>45546</v>
      </c>
      <c r="C616">
        <v>2024</v>
      </c>
      <c r="D616">
        <v>9</v>
      </c>
      <c r="E616" t="s">
        <v>125</v>
      </c>
      <c r="F616">
        <v>110</v>
      </c>
      <c r="G616" t="s">
        <v>464</v>
      </c>
      <c r="H616" t="s">
        <v>30</v>
      </c>
      <c r="I616">
        <v>0</v>
      </c>
      <c r="J616">
        <v>0</v>
      </c>
      <c r="K616">
        <v>5.3</v>
      </c>
      <c r="L616">
        <v>1113</v>
      </c>
      <c r="M616" t="s">
        <v>17</v>
      </c>
      <c r="N616" t="str">
        <f t="shared" si="63"/>
        <v>streaming</v>
      </c>
      <c r="O616" t="str">
        <f t="shared" si="64"/>
        <v>non-original</v>
      </c>
      <c r="P616" t="str">
        <f t="shared" si="65"/>
        <v>non-franchise</v>
      </c>
      <c r="Q616" t="str">
        <f t="shared" si="66"/>
        <v>new</v>
      </c>
      <c r="R616" s="2">
        <f t="shared" si="67"/>
        <v>4.5749576600616554E-4</v>
      </c>
      <c r="S616">
        <f t="shared" si="68"/>
        <v>0.46624060150375951</v>
      </c>
      <c r="T616" t="str">
        <f t="shared" si="69"/>
        <v>Scenario 2: Weak Commitment/Convenience</v>
      </c>
    </row>
    <row r="617" spans="1:20" x14ac:dyDescent="0.35">
      <c r="A617" t="s">
        <v>793</v>
      </c>
      <c r="B617" s="1">
        <v>45548</v>
      </c>
      <c r="C617">
        <v>2024</v>
      </c>
      <c r="D617">
        <v>9</v>
      </c>
      <c r="E617" t="s">
        <v>125</v>
      </c>
      <c r="F617">
        <v>109</v>
      </c>
      <c r="G617" t="s">
        <v>41</v>
      </c>
      <c r="H617" t="s">
        <v>24</v>
      </c>
      <c r="I617">
        <v>0</v>
      </c>
      <c r="J617">
        <v>0</v>
      </c>
      <c r="K617">
        <v>6.9</v>
      </c>
      <c r="L617">
        <v>10230</v>
      </c>
      <c r="M617" t="s">
        <v>88</v>
      </c>
      <c r="N617" t="str">
        <f t="shared" si="63"/>
        <v>streaming</v>
      </c>
      <c r="O617" t="str">
        <f t="shared" si="64"/>
        <v>non-original</v>
      </c>
      <c r="P617" t="str">
        <f t="shared" si="65"/>
        <v>non-franchise</v>
      </c>
      <c r="Q617" t="str">
        <f t="shared" si="66"/>
        <v>new</v>
      </c>
      <c r="R617" s="2">
        <f t="shared" si="67"/>
        <v>4.1667875831127585E-3</v>
      </c>
      <c r="S617">
        <f t="shared" si="68"/>
        <v>0.61088345864661664</v>
      </c>
      <c r="T617" t="str">
        <f t="shared" si="69"/>
        <v>Scenario 3: Strong Convenience</v>
      </c>
    </row>
    <row r="618" spans="1:20" x14ac:dyDescent="0.35">
      <c r="A618" t="s">
        <v>794</v>
      </c>
      <c r="B618" s="1">
        <v>45548</v>
      </c>
      <c r="C618">
        <v>2024</v>
      </c>
      <c r="D618">
        <v>9</v>
      </c>
      <c r="E618" t="s">
        <v>125</v>
      </c>
      <c r="F618">
        <v>123</v>
      </c>
      <c r="G618" t="s">
        <v>76</v>
      </c>
      <c r="H618" t="s">
        <v>24</v>
      </c>
      <c r="I618">
        <v>0</v>
      </c>
      <c r="J618">
        <v>0</v>
      </c>
      <c r="K618">
        <v>7.1</v>
      </c>
      <c r="L618">
        <v>26793</v>
      </c>
      <c r="M618" t="s">
        <v>17</v>
      </c>
      <c r="N618" t="str">
        <f t="shared" si="63"/>
        <v>streaming</v>
      </c>
      <c r="O618" t="str">
        <f t="shared" si="64"/>
        <v>non-original</v>
      </c>
      <c r="P618" t="str">
        <f t="shared" si="65"/>
        <v>non-franchise</v>
      </c>
      <c r="Q618" t="str">
        <f t="shared" si="66"/>
        <v>new</v>
      </c>
      <c r="R618" s="2">
        <f t="shared" si="67"/>
        <v>1.231475242349255E-2</v>
      </c>
      <c r="S618">
        <f t="shared" si="68"/>
        <v>0.5725375939849624</v>
      </c>
      <c r="T618" t="str">
        <f t="shared" si="69"/>
        <v>Scenario 3: Strong Convenience</v>
      </c>
    </row>
    <row r="619" spans="1:20" x14ac:dyDescent="0.35">
      <c r="A619" t="s">
        <v>795</v>
      </c>
      <c r="B619" s="1">
        <v>45548</v>
      </c>
      <c r="C619">
        <v>2024</v>
      </c>
      <c r="D619">
        <v>9</v>
      </c>
      <c r="E619" t="s">
        <v>125</v>
      </c>
      <c r="F619">
        <v>102</v>
      </c>
      <c r="G619" t="s">
        <v>343</v>
      </c>
      <c r="H619" t="s">
        <v>27</v>
      </c>
      <c r="I619">
        <v>0</v>
      </c>
      <c r="J619">
        <v>0</v>
      </c>
      <c r="K619">
        <v>4.7</v>
      </c>
      <c r="L619">
        <v>36545</v>
      </c>
      <c r="M619" t="s">
        <v>88</v>
      </c>
      <c r="N619" t="str">
        <f t="shared" si="63"/>
        <v>streaming</v>
      </c>
      <c r="O619" t="str">
        <f t="shared" si="64"/>
        <v>non-original</v>
      </c>
      <c r="P619" t="str">
        <f t="shared" si="65"/>
        <v>non-franchise</v>
      </c>
      <c r="Q619" t="str">
        <f t="shared" si="66"/>
        <v>new</v>
      </c>
      <c r="R619" s="2">
        <f t="shared" si="67"/>
        <v>1.3929238278256329E-2</v>
      </c>
      <c r="S619">
        <f t="shared" si="68"/>
        <v>0.43466165413533847</v>
      </c>
      <c r="T619" t="str">
        <f t="shared" si="69"/>
        <v>Scenario 2: Weak Commitment/Convenience</v>
      </c>
    </row>
    <row r="620" spans="1:20" x14ac:dyDescent="0.35">
      <c r="A620" t="s">
        <v>796</v>
      </c>
      <c r="B620" s="1">
        <v>45560</v>
      </c>
      <c r="C620">
        <v>2024</v>
      </c>
      <c r="D620">
        <v>9</v>
      </c>
      <c r="E620" t="s">
        <v>125</v>
      </c>
      <c r="F620">
        <v>92</v>
      </c>
      <c r="G620" t="s">
        <v>34</v>
      </c>
      <c r="H620" t="s">
        <v>30</v>
      </c>
      <c r="I620">
        <v>0</v>
      </c>
      <c r="J620">
        <v>0</v>
      </c>
      <c r="K620">
        <v>5.9</v>
      </c>
      <c r="L620">
        <v>888</v>
      </c>
      <c r="M620" t="s">
        <v>17</v>
      </c>
      <c r="N620" t="str">
        <f t="shared" si="63"/>
        <v>streaming</v>
      </c>
      <c r="O620" t="str">
        <f t="shared" si="64"/>
        <v>non-original</v>
      </c>
      <c r="P620" t="str">
        <f t="shared" si="65"/>
        <v>non-franchise</v>
      </c>
      <c r="Q620" t="str">
        <f t="shared" si="66"/>
        <v>new</v>
      </c>
      <c r="R620" s="2">
        <f t="shared" si="67"/>
        <v>3.0528117372898554E-4</v>
      </c>
      <c r="S620">
        <f t="shared" si="68"/>
        <v>0.57890977443609037</v>
      </c>
      <c r="T620" t="str">
        <f t="shared" si="69"/>
        <v>Scenario 3: Strong Convenience</v>
      </c>
    </row>
    <row r="621" spans="1:20" x14ac:dyDescent="0.35">
      <c r="A621" t="s">
        <v>797</v>
      </c>
      <c r="B621" s="1">
        <v>45561</v>
      </c>
      <c r="C621">
        <v>2024</v>
      </c>
      <c r="D621">
        <v>9</v>
      </c>
      <c r="E621" t="s">
        <v>125</v>
      </c>
      <c r="F621">
        <v>110</v>
      </c>
      <c r="G621" t="s">
        <v>34</v>
      </c>
      <c r="H621" t="s">
        <v>24</v>
      </c>
      <c r="I621">
        <v>0</v>
      </c>
      <c r="J621">
        <v>0</v>
      </c>
      <c r="K621">
        <v>4.5</v>
      </c>
      <c r="L621">
        <v>2762</v>
      </c>
      <c r="M621" t="s">
        <v>17</v>
      </c>
      <c r="N621" t="str">
        <f t="shared" si="63"/>
        <v>streaming</v>
      </c>
      <c r="O621" t="str">
        <f t="shared" si="64"/>
        <v>non-original</v>
      </c>
      <c r="P621" t="str">
        <f t="shared" si="65"/>
        <v>non-franchise</v>
      </c>
      <c r="Q621" t="str">
        <f t="shared" si="66"/>
        <v>new</v>
      </c>
      <c r="R621" s="2">
        <f t="shared" si="67"/>
        <v>1.1353129431347971E-3</v>
      </c>
      <c r="S621">
        <f t="shared" si="68"/>
        <v>0.39586466165413542</v>
      </c>
      <c r="T621" t="str">
        <f t="shared" si="69"/>
        <v>Scenario 2: Weak Commitment/Convenience</v>
      </c>
    </row>
    <row r="622" spans="1:20" x14ac:dyDescent="0.35">
      <c r="A622" t="s">
        <v>798</v>
      </c>
      <c r="B622" s="1">
        <v>45562</v>
      </c>
      <c r="C622">
        <v>2024</v>
      </c>
      <c r="D622">
        <v>9</v>
      </c>
      <c r="E622" t="s">
        <v>125</v>
      </c>
      <c r="F622">
        <v>113</v>
      </c>
      <c r="G622" t="s">
        <v>791</v>
      </c>
      <c r="H622" t="s">
        <v>27</v>
      </c>
      <c r="I622">
        <v>0</v>
      </c>
      <c r="J622">
        <v>0</v>
      </c>
      <c r="K622">
        <v>6.4</v>
      </c>
      <c r="L622">
        <v>2940</v>
      </c>
      <c r="M622" t="s">
        <v>17</v>
      </c>
      <c r="N622" t="str">
        <f t="shared" si="63"/>
        <v>streaming</v>
      </c>
      <c r="O622" t="str">
        <f t="shared" si="64"/>
        <v>non-original</v>
      </c>
      <c r="P622" t="str">
        <f t="shared" si="65"/>
        <v>non-franchise</v>
      </c>
      <c r="Q622" t="str">
        <f t="shared" si="66"/>
        <v>new</v>
      </c>
      <c r="R622" s="2">
        <f t="shared" si="67"/>
        <v>1.2414379105004356E-3</v>
      </c>
      <c r="S622">
        <f t="shared" si="68"/>
        <v>0.55218045112781955</v>
      </c>
      <c r="T622" t="str">
        <f t="shared" si="69"/>
        <v>Scenario 3: Strong Convenience</v>
      </c>
    </row>
    <row r="623" spans="1:20" x14ac:dyDescent="0.35">
      <c r="A623" t="s">
        <v>799</v>
      </c>
      <c r="B623" s="1">
        <v>45568</v>
      </c>
      <c r="C623">
        <v>2024</v>
      </c>
      <c r="D623">
        <v>10</v>
      </c>
      <c r="E623" t="s">
        <v>125</v>
      </c>
      <c r="F623">
        <v>98</v>
      </c>
      <c r="G623" t="s">
        <v>41</v>
      </c>
      <c r="H623" t="s">
        <v>24</v>
      </c>
      <c r="I623">
        <v>1</v>
      </c>
      <c r="J623">
        <v>1</v>
      </c>
      <c r="K623">
        <v>6.2</v>
      </c>
      <c r="L623">
        <v>7832</v>
      </c>
      <c r="M623" t="s">
        <v>88</v>
      </c>
      <c r="N623" t="str">
        <f t="shared" si="63"/>
        <v>streaming</v>
      </c>
      <c r="O623" t="str">
        <f t="shared" si="64"/>
        <v>original</v>
      </c>
      <c r="P623" t="str">
        <f t="shared" si="65"/>
        <v>franchise</v>
      </c>
      <c r="Q623" t="str">
        <f t="shared" si="66"/>
        <v>old</v>
      </c>
      <c r="R623" s="2">
        <f t="shared" si="67"/>
        <v>4.3021865995749604E-3</v>
      </c>
      <c r="S623">
        <f t="shared" si="68"/>
        <v>0.39157894736842103</v>
      </c>
      <c r="T623" t="str">
        <f t="shared" si="69"/>
        <v>Scenario 2: Weak Commitment/Convenience</v>
      </c>
    </row>
    <row r="624" spans="1:20" x14ac:dyDescent="0.35">
      <c r="A624" t="s">
        <v>800</v>
      </c>
      <c r="B624" s="1">
        <v>45569</v>
      </c>
      <c r="C624">
        <v>2024</v>
      </c>
      <c r="D624">
        <v>10</v>
      </c>
      <c r="E624" t="s">
        <v>125</v>
      </c>
      <c r="F624">
        <v>99</v>
      </c>
      <c r="G624" t="s">
        <v>19</v>
      </c>
      <c r="H624" t="s">
        <v>30</v>
      </c>
      <c r="I624">
        <v>0</v>
      </c>
      <c r="J624">
        <v>0</v>
      </c>
      <c r="K624">
        <v>6.2</v>
      </c>
      <c r="L624">
        <v>6816</v>
      </c>
      <c r="M624" t="s">
        <v>17</v>
      </c>
      <c r="N624" t="str">
        <f t="shared" si="63"/>
        <v>streaming</v>
      </c>
      <c r="O624" t="str">
        <f t="shared" si="64"/>
        <v>non-original</v>
      </c>
      <c r="P624" t="str">
        <f t="shared" si="65"/>
        <v>non-franchise</v>
      </c>
      <c r="Q624" t="str">
        <f t="shared" si="66"/>
        <v>new</v>
      </c>
      <c r="R624" s="2">
        <f t="shared" si="67"/>
        <v>2.5215292246075667E-3</v>
      </c>
      <c r="S624">
        <f t="shared" si="68"/>
        <v>0.58387218045112788</v>
      </c>
      <c r="T624" t="str">
        <f t="shared" si="69"/>
        <v>Scenario 3: Strong Convenience</v>
      </c>
    </row>
    <row r="625" spans="1:20" x14ac:dyDescent="0.35">
      <c r="A625" t="s">
        <v>801</v>
      </c>
      <c r="B625" s="1">
        <v>45569</v>
      </c>
      <c r="C625">
        <v>2024</v>
      </c>
      <c r="D625">
        <v>10</v>
      </c>
      <c r="E625" t="s">
        <v>125</v>
      </c>
      <c r="F625">
        <v>104</v>
      </c>
      <c r="G625" t="s">
        <v>802</v>
      </c>
      <c r="H625" t="s">
        <v>24</v>
      </c>
      <c r="I625">
        <v>0</v>
      </c>
      <c r="J625">
        <v>0</v>
      </c>
      <c r="K625">
        <v>6.6</v>
      </c>
      <c r="L625">
        <v>50368</v>
      </c>
      <c r="M625" t="s">
        <v>17</v>
      </c>
      <c r="N625" t="str">
        <f t="shared" si="63"/>
        <v>streaming</v>
      </c>
      <c r="O625" t="str">
        <f t="shared" si="64"/>
        <v>non-original</v>
      </c>
      <c r="P625" t="str">
        <f t="shared" si="65"/>
        <v>non-franchise</v>
      </c>
      <c r="Q625" t="str">
        <f t="shared" si="66"/>
        <v>new</v>
      </c>
      <c r="R625" s="2">
        <f t="shared" si="67"/>
        <v>1.9574346656772431E-2</v>
      </c>
      <c r="S625">
        <f t="shared" si="68"/>
        <v>0.60293233082706765</v>
      </c>
      <c r="T625" t="str">
        <f t="shared" si="69"/>
        <v>Scenario 3: Strong Convenience</v>
      </c>
    </row>
    <row r="626" spans="1:20" x14ac:dyDescent="0.35">
      <c r="A626" t="s">
        <v>803</v>
      </c>
      <c r="B626" s="1">
        <v>45569</v>
      </c>
      <c r="C626">
        <v>2024</v>
      </c>
      <c r="D626">
        <v>10</v>
      </c>
      <c r="E626" t="s">
        <v>125</v>
      </c>
      <c r="F626">
        <v>100</v>
      </c>
      <c r="G626" t="s">
        <v>192</v>
      </c>
      <c r="H626" t="s">
        <v>24</v>
      </c>
      <c r="I626">
        <v>0</v>
      </c>
      <c r="J626">
        <v>0</v>
      </c>
      <c r="K626">
        <v>4.9000000000000004</v>
      </c>
      <c r="L626">
        <v>45972</v>
      </c>
      <c r="M626" t="s">
        <v>88</v>
      </c>
      <c r="N626" t="str">
        <f t="shared" si="63"/>
        <v>streaming</v>
      </c>
      <c r="O626" t="str">
        <f t="shared" si="64"/>
        <v>non-original</v>
      </c>
      <c r="P626" t="str">
        <f t="shared" si="65"/>
        <v>non-franchise</v>
      </c>
      <c r="Q626" t="str">
        <f t="shared" si="66"/>
        <v>new</v>
      </c>
      <c r="R626" s="2">
        <f t="shared" si="67"/>
        <v>1.7178792252581426E-2</v>
      </c>
      <c r="S626">
        <f t="shared" si="68"/>
        <v>0.45868421052631586</v>
      </c>
      <c r="T626" t="str">
        <f t="shared" si="69"/>
        <v>Scenario 2: Weak Commitment/Convenience</v>
      </c>
    </row>
    <row r="627" spans="1:20" x14ac:dyDescent="0.35">
      <c r="A627" t="s">
        <v>804</v>
      </c>
      <c r="B627" s="1">
        <v>45576</v>
      </c>
      <c r="C627">
        <v>2024</v>
      </c>
      <c r="D627">
        <v>10</v>
      </c>
      <c r="E627" t="s">
        <v>125</v>
      </c>
      <c r="F627">
        <v>95</v>
      </c>
      <c r="G627" t="s">
        <v>34</v>
      </c>
      <c r="H627" t="s">
        <v>27</v>
      </c>
      <c r="I627">
        <v>0</v>
      </c>
      <c r="J627">
        <v>0</v>
      </c>
      <c r="K627">
        <v>6.3</v>
      </c>
      <c r="L627">
        <v>7346</v>
      </c>
      <c r="M627" t="s">
        <v>17</v>
      </c>
      <c r="N627" t="str">
        <f t="shared" si="63"/>
        <v>streaming</v>
      </c>
      <c r="O627" t="str">
        <f t="shared" si="64"/>
        <v>non-original</v>
      </c>
      <c r="P627" t="str">
        <f t="shared" si="65"/>
        <v>non-franchise</v>
      </c>
      <c r="Q627" t="str">
        <f t="shared" si="66"/>
        <v>new</v>
      </c>
      <c r="R627" s="2">
        <f t="shared" si="67"/>
        <v>2.6077968653330291E-3</v>
      </c>
      <c r="S627">
        <f t="shared" si="68"/>
        <v>0.60749999999999993</v>
      </c>
      <c r="T627" t="str">
        <f t="shared" si="69"/>
        <v>Scenario 3: Strong Convenience</v>
      </c>
    </row>
    <row r="628" spans="1:20" x14ac:dyDescent="0.35">
      <c r="A628" t="s">
        <v>805</v>
      </c>
      <c r="B628" s="1">
        <v>45576</v>
      </c>
      <c r="C628">
        <v>2024</v>
      </c>
      <c r="D628">
        <v>10</v>
      </c>
      <c r="E628" t="s">
        <v>125</v>
      </c>
      <c r="F628">
        <v>96</v>
      </c>
      <c r="G628" t="s">
        <v>90</v>
      </c>
      <c r="H628" t="s">
        <v>24</v>
      </c>
      <c r="I628">
        <v>0</v>
      </c>
      <c r="J628">
        <v>0</v>
      </c>
      <c r="K628">
        <v>5.7</v>
      </c>
      <c r="L628">
        <v>13205</v>
      </c>
      <c r="M628" t="s">
        <v>88</v>
      </c>
      <c r="N628" t="str">
        <f t="shared" si="63"/>
        <v>streaming</v>
      </c>
      <c r="O628" t="str">
        <f t="shared" si="64"/>
        <v>non-original</v>
      </c>
      <c r="P628" t="str">
        <f t="shared" si="65"/>
        <v>non-franchise</v>
      </c>
      <c r="Q628" t="str">
        <f t="shared" si="66"/>
        <v>new</v>
      </c>
      <c r="R628" s="2">
        <f t="shared" si="67"/>
        <v>4.737059810918042E-3</v>
      </c>
      <c r="S628">
        <f t="shared" si="68"/>
        <v>0.54642857142857149</v>
      </c>
      <c r="T628" t="str">
        <f t="shared" si="69"/>
        <v>Scenario 3: Strong Convenience</v>
      </c>
    </row>
    <row r="629" spans="1:20" x14ac:dyDescent="0.35">
      <c r="A629" t="s">
        <v>806</v>
      </c>
      <c r="B629" s="1">
        <v>45576</v>
      </c>
      <c r="C629">
        <v>2024</v>
      </c>
      <c r="D629">
        <v>10</v>
      </c>
      <c r="E629" t="s">
        <v>125</v>
      </c>
      <c r="F629">
        <v>128</v>
      </c>
      <c r="G629" t="s">
        <v>807</v>
      </c>
      <c r="H629" t="s">
        <v>24</v>
      </c>
      <c r="I629">
        <v>0</v>
      </c>
      <c r="J629">
        <v>0</v>
      </c>
      <c r="K629">
        <v>6.6</v>
      </c>
      <c r="L629">
        <v>7038</v>
      </c>
      <c r="M629" t="s">
        <v>88</v>
      </c>
      <c r="N629" t="str">
        <f t="shared" si="63"/>
        <v>streaming</v>
      </c>
      <c r="O629" t="str">
        <f t="shared" si="64"/>
        <v>non-original</v>
      </c>
      <c r="P629" t="str">
        <f t="shared" si="65"/>
        <v>non-franchise</v>
      </c>
      <c r="Q629" t="str">
        <f t="shared" si="66"/>
        <v>new</v>
      </c>
      <c r="R629" s="2">
        <f t="shared" si="67"/>
        <v>3.3663437535520566E-3</v>
      </c>
      <c r="S629">
        <f t="shared" si="68"/>
        <v>0.51360902255639096</v>
      </c>
      <c r="T629" t="str">
        <f t="shared" si="69"/>
        <v>Scenario 3: Strong Convenience</v>
      </c>
    </row>
    <row r="630" spans="1:20" x14ac:dyDescent="0.35">
      <c r="A630" t="s">
        <v>808</v>
      </c>
      <c r="B630" s="1">
        <v>45581</v>
      </c>
      <c r="C630">
        <v>2024</v>
      </c>
      <c r="D630">
        <v>10</v>
      </c>
      <c r="E630" t="s">
        <v>125</v>
      </c>
      <c r="F630">
        <v>115</v>
      </c>
      <c r="G630" t="s">
        <v>43</v>
      </c>
      <c r="H630" t="s">
        <v>24</v>
      </c>
      <c r="I630">
        <v>0</v>
      </c>
      <c r="J630">
        <v>0</v>
      </c>
      <c r="K630">
        <v>6.3</v>
      </c>
      <c r="L630">
        <v>4534</v>
      </c>
      <c r="M630" t="s">
        <v>17</v>
      </c>
      <c r="N630" t="str">
        <f t="shared" si="63"/>
        <v>streaming</v>
      </c>
      <c r="O630" t="str">
        <f t="shared" si="64"/>
        <v>non-original</v>
      </c>
      <c r="P630" t="str">
        <f t="shared" si="65"/>
        <v>non-franchise</v>
      </c>
      <c r="Q630" t="str">
        <f t="shared" si="66"/>
        <v>new</v>
      </c>
      <c r="R630" s="2">
        <f t="shared" si="67"/>
        <v>1.9484020857083622E-3</v>
      </c>
      <c r="S630">
        <f t="shared" si="68"/>
        <v>0.53644736842105267</v>
      </c>
      <c r="T630" t="str">
        <f t="shared" si="69"/>
        <v>Scenario 3: Strong Convenience</v>
      </c>
    </row>
    <row r="631" spans="1:20" x14ac:dyDescent="0.35">
      <c r="A631" t="s">
        <v>809</v>
      </c>
      <c r="B631" s="1">
        <v>45582</v>
      </c>
      <c r="C631">
        <v>2024</v>
      </c>
      <c r="D631">
        <v>10</v>
      </c>
      <c r="E631" t="s">
        <v>125</v>
      </c>
      <c r="F631">
        <v>142</v>
      </c>
      <c r="G631" t="s">
        <v>810</v>
      </c>
      <c r="H631" t="s">
        <v>16</v>
      </c>
      <c r="I631">
        <v>0</v>
      </c>
      <c r="J631">
        <v>0</v>
      </c>
      <c r="K631">
        <v>5.0999999999999996</v>
      </c>
      <c r="L631">
        <v>5323</v>
      </c>
      <c r="M631" t="s">
        <v>17</v>
      </c>
      <c r="N631" t="str">
        <f t="shared" si="63"/>
        <v>streaming</v>
      </c>
      <c r="O631" t="str">
        <f t="shared" si="64"/>
        <v>non-original</v>
      </c>
      <c r="P631" t="str">
        <f t="shared" si="65"/>
        <v>non-franchise</v>
      </c>
      <c r="Q631" t="str">
        <f t="shared" si="66"/>
        <v>new</v>
      </c>
      <c r="R631" s="2">
        <f t="shared" si="67"/>
        <v>2.8245160064364646E-3</v>
      </c>
      <c r="S631">
        <f t="shared" si="68"/>
        <v>0.35661654135338344</v>
      </c>
      <c r="T631" t="str">
        <f t="shared" si="69"/>
        <v>Scenario 2: Weak Commitment/Convenience</v>
      </c>
    </row>
    <row r="632" spans="1:20" x14ac:dyDescent="0.35">
      <c r="A632" t="s">
        <v>811</v>
      </c>
      <c r="B632" s="1">
        <v>45582</v>
      </c>
      <c r="C632">
        <v>2024</v>
      </c>
      <c r="D632">
        <v>10</v>
      </c>
      <c r="E632" t="s">
        <v>125</v>
      </c>
      <c r="F632">
        <v>145</v>
      </c>
      <c r="G632" t="s">
        <v>58</v>
      </c>
      <c r="H632" t="s">
        <v>265</v>
      </c>
      <c r="I632">
        <v>0</v>
      </c>
      <c r="J632">
        <v>0</v>
      </c>
      <c r="K632">
        <v>6.5</v>
      </c>
      <c r="L632">
        <v>10893</v>
      </c>
      <c r="M632" t="s">
        <v>88</v>
      </c>
      <c r="N632" t="str">
        <f t="shared" si="63"/>
        <v>streaming</v>
      </c>
      <c r="O632" t="str">
        <f t="shared" si="64"/>
        <v>non-original</v>
      </c>
      <c r="P632" t="str">
        <f t="shared" si="65"/>
        <v>non-franchise</v>
      </c>
      <c r="Q632" t="str">
        <f t="shared" si="66"/>
        <v>new</v>
      </c>
      <c r="R632" s="2">
        <f t="shared" si="67"/>
        <v>5.9022110591378614E-3</v>
      </c>
      <c r="S632">
        <f t="shared" si="68"/>
        <v>0.44351503759398503</v>
      </c>
      <c r="T632" t="str">
        <f t="shared" si="69"/>
        <v>Scenario 2: Weak Commitment/Convenience</v>
      </c>
    </row>
    <row r="633" spans="1:20" x14ac:dyDescent="0.35">
      <c r="A633" t="s">
        <v>812</v>
      </c>
      <c r="B633" s="1">
        <v>45583</v>
      </c>
      <c r="C633">
        <v>2024</v>
      </c>
      <c r="D633">
        <v>10</v>
      </c>
      <c r="E633" t="s">
        <v>125</v>
      </c>
      <c r="F633">
        <v>96</v>
      </c>
      <c r="G633" t="s">
        <v>116</v>
      </c>
      <c r="H633" t="s">
        <v>24</v>
      </c>
      <c r="I633">
        <v>0</v>
      </c>
      <c r="J633">
        <v>0</v>
      </c>
      <c r="K633">
        <v>3.9</v>
      </c>
      <c r="L633">
        <v>331</v>
      </c>
      <c r="M633" t="s">
        <v>17</v>
      </c>
      <c r="N633" t="str">
        <f t="shared" si="63"/>
        <v>streaming</v>
      </c>
      <c r="O633" t="str">
        <f t="shared" si="64"/>
        <v>non-original</v>
      </c>
      <c r="P633" t="str">
        <f t="shared" si="65"/>
        <v>non-franchise</v>
      </c>
      <c r="Q633" t="str">
        <f t="shared" si="66"/>
        <v>new</v>
      </c>
      <c r="R633" s="2">
        <f t="shared" si="67"/>
        <v>1.1874038602149731E-4</v>
      </c>
      <c r="S633">
        <f t="shared" si="68"/>
        <v>0.3738721804511278</v>
      </c>
      <c r="T633" t="str">
        <f t="shared" si="69"/>
        <v>Scenario 2: Weak Commitment/Convenience</v>
      </c>
    </row>
    <row r="634" spans="1:20" x14ac:dyDescent="0.35">
      <c r="A634" t="s">
        <v>813</v>
      </c>
      <c r="B634" s="1">
        <v>45583</v>
      </c>
      <c r="C634">
        <v>2024</v>
      </c>
      <c r="D634">
        <v>10</v>
      </c>
      <c r="E634" t="s">
        <v>125</v>
      </c>
      <c r="F634">
        <v>107</v>
      </c>
      <c r="G634" t="s">
        <v>116</v>
      </c>
      <c r="H634" t="s">
        <v>24</v>
      </c>
      <c r="I634">
        <v>0</v>
      </c>
      <c r="J634">
        <v>0</v>
      </c>
      <c r="K634">
        <v>5.3</v>
      </c>
      <c r="L634">
        <v>685</v>
      </c>
      <c r="M634" t="s">
        <v>17</v>
      </c>
      <c r="N634" t="str">
        <f t="shared" si="63"/>
        <v>streaming</v>
      </c>
      <c r="O634" t="str">
        <f t="shared" si="64"/>
        <v>non-original</v>
      </c>
      <c r="P634" t="str">
        <f t="shared" si="65"/>
        <v>non-franchise</v>
      </c>
      <c r="Q634" t="str">
        <f t="shared" si="66"/>
        <v>new</v>
      </c>
      <c r="R634" s="2">
        <f t="shared" si="67"/>
        <v>2.7388836207973459E-4</v>
      </c>
      <c r="S634">
        <f t="shared" si="68"/>
        <v>0.4752067669172933</v>
      </c>
      <c r="T634" t="str">
        <f t="shared" si="69"/>
        <v>Scenario 2: Weak Commitment/Convenience</v>
      </c>
    </row>
    <row r="635" spans="1:20" x14ac:dyDescent="0.35">
      <c r="A635" t="s">
        <v>814</v>
      </c>
      <c r="B635" s="1">
        <v>45588</v>
      </c>
      <c r="C635">
        <v>2024</v>
      </c>
      <c r="D635">
        <v>10</v>
      </c>
      <c r="E635" t="s">
        <v>125</v>
      </c>
      <c r="F635">
        <v>95</v>
      </c>
      <c r="G635" t="s">
        <v>21</v>
      </c>
      <c r="H635" t="s">
        <v>27</v>
      </c>
      <c r="I635">
        <v>0</v>
      </c>
      <c r="J635">
        <v>0</v>
      </c>
      <c r="K635">
        <v>5.5</v>
      </c>
      <c r="L635">
        <v>11065</v>
      </c>
      <c r="M635" t="s">
        <v>88</v>
      </c>
      <c r="N635" t="str">
        <f t="shared" si="63"/>
        <v>streaming</v>
      </c>
      <c r="O635" t="str">
        <f t="shared" si="64"/>
        <v>non-original</v>
      </c>
      <c r="P635" t="str">
        <f t="shared" si="65"/>
        <v>non-franchise</v>
      </c>
      <c r="Q635" t="str">
        <f t="shared" si="66"/>
        <v>new</v>
      </c>
      <c r="R635" s="2">
        <f t="shared" si="67"/>
        <v>3.9280250905132002E-3</v>
      </c>
      <c r="S635">
        <f t="shared" si="68"/>
        <v>0.53035714285714286</v>
      </c>
      <c r="T635" t="str">
        <f t="shared" si="69"/>
        <v>Scenario 3: Strong Convenience</v>
      </c>
    </row>
    <row r="636" spans="1:20" x14ac:dyDescent="0.35">
      <c r="A636" t="s">
        <v>815</v>
      </c>
      <c r="B636" s="1">
        <v>45590</v>
      </c>
      <c r="C636">
        <v>2024</v>
      </c>
      <c r="D636">
        <v>10</v>
      </c>
      <c r="E636" t="s">
        <v>125</v>
      </c>
      <c r="F636">
        <v>127</v>
      </c>
      <c r="G636" t="s">
        <v>816</v>
      </c>
      <c r="H636" t="s">
        <v>30</v>
      </c>
      <c r="I636">
        <v>0</v>
      </c>
      <c r="J636">
        <v>0</v>
      </c>
      <c r="K636">
        <v>6.3</v>
      </c>
      <c r="L636">
        <v>70477</v>
      </c>
      <c r="M636" t="s">
        <v>88</v>
      </c>
      <c r="N636" t="str">
        <f t="shared" si="63"/>
        <v>streaming</v>
      </c>
      <c r="O636" t="str">
        <f t="shared" si="64"/>
        <v>non-original</v>
      </c>
      <c r="P636" t="str">
        <f t="shared" si="65"/>
        <v>non-franchise</v>
      </c>
      <c r="Q636" t="str">
        <f t="shared" si="66"/>
        <v>new</v>
      </c>
      <c r="R636" s="2">
        <f t="shared" si="67"/>
        <v>3.3446475502766471E-2</v>
      </c>
      <c r="S636">
        <f t="shared" si="68"/>
        <v>0.49381578947368421</v>
      </c>
      <c r="T636" t="str">
        <f t="shared" si="69"/>
        <v>Scenario 1: Strong Commitment</v>
      </c>
    </row>
    <row r="637" spans="1:20" x14ac:dyDescent="0.35">
      <c r="A637" t="s">
        <v>817</v>
      </c>
      <c r="B637" s="1">
        <v>45590</v>
      </c>
      <c r="C637">
        <v>2024</v>
      </c>
      <c r="D637">
        <v>10</v>
      </c>
      <c r="E637" t="s">
        <v>125</v>
      </c>
      <c r="F637">
        <v>92</v>
      </c>
      <c r="G637" t="s">
        <v>818</v>
      </c>
      <c r="H637" t="s">
        <v>24</v>
      </c>
      <c r="I637">
        <v>0</v>
      </c>
      <c r="J637">
        <v>0</v>
      </c>
      <c r="K637">
        <v>5.8</v>
      </c>
      <c r="L637">
        <v>44751</v>
      </c>
      <c r="M637" t="s">
        <v>88</v>
      </c>
      <c r="N637" t="str">
        <f t="shared" si="63"/>
        <v>streaming</v>
      </c>
      <c r="O637" t="str">
        <f t="shared" si="64"/>
        <v>non-original</v>
      </c>
      <c r="P637" t="str">
        <f t="shared" si="65"/>
        <v>non-franchise</v>
      </c>
      <c r="Q637" t="str">
        <f t="shared" si="66"/>
        <v>new</v>
      </c>
      <c r="R637" s="2">
        <f t="shared" si="67"/>
        <v>1.5384727258497559E-2</v>
      </c>
      <c r="S637">
        <f t="shared" si="68"/>
        <v>0.56909774436090221</v>
      </c>
      <c r="T637" t="str">
        <f t="shared" si="69"/>
        <v>Scenario 3: Strong Convenience</v>
      </c>
    </row>
    <row r="638" spans="1:20" x14ac:dyDescent="0.35">
      <c r="A638" t="s">
        <v>819</v>
      </c>
      <c r="B638" s="1">
        <v>45595</v>
      </c>
      <c r="C638">
        <v>2024</v>
      </c>
      <c r="D638">
        <v>10</v>
      </c>
      <c r="E638" t="s">
        <v>125</v>
      </c>
      <c r="F638">
        <v>91</v>
      </c>
      <c r="G638" t="s">
        <v>820</v>
      </c>
      <c r="H638" t="s">
        <v>27</v>
      </c>
      <c r="I638">
        <v>0</v>
      </c>
      <c r="J638">
        <v>0</v>
      </c>
      <c r="K638">
        <v>5.0999999999999996</v>
      </c>
      <c r="L638">
        <v>22375</v>
      </c>
      <c r="M638" t="s">
        <v>17</v>
      </c>
      <c r="N638" t="str">
        <f t="shared" si="63"/>
        <v>streaming</v>
      </c>
      <c r="O638" t="str">
        <f t="shared" si="64"/>
        <v>non-original</v>
      </c>
      <c r="P638" t="str">
        <f t="shared" si="65"/>
        <v>non-franchise</v>
      </c>
      <c r="Q638" t="str">
        <f t="shared" si="66"/>
        <v>new</v>
      </c>
      <c r="R638" s="2">
        <f t="shared" si="67"/>
        <v>7.6085809569493082E-3</v>
      </c>
      <c r="S638">
        <f t="shared" si="68"/>
        <v>0.50328947368421062</v>
      </c>
      <c r="T638" t="str">
        <f t="shared" si="69"/>
        <v>Scenario 3: Strong Convenience</v>
      </c>
    </row>
    <row r="639" spans="1:20" x14ac:dyDescent="0.35">
      <c r="A639" t="s">
        <v>821</v>
      </c>
      <c r="B639" s="1">
        <v>45597</v>
      </c>
      <c r="C639">
        <v>2024</v>
      </c>
      <c r="D639">
        <v>11</v>
      </c>
      <c r="E639" t="s">
        <v>125</v>
      </c>
      <c r="F639">
        <v>110</v>
      </c>
      <c r="G639" t="s">
        <v>34</v>
      </c>
      <c r="H639" t="s">
        <v>30</v>
      </c>
      <c r="I639">
        <v>0</v>
      </c>
      <c r="J639">
        <v>0</v>
      </c>
      <c r="K639">
        <v>7</v>
      </c>
      <c r="L639">
        <v>7348</v>
      </c>
      <c r="M639" t="s">
        <v>88</v>
      </c>
      <c r="N639" t="str">
        <f t="shared" si="63"/>
        <v>streaming</v>
      </c>
      <c r="O639" t="str">
        <f t="shared" si="64"/>
        <v>non-original</v>
      </c>
      <c r="P639" t="str">
        <f t="shared" si="65"/>
        <v>non-franchise</v>
      </c>
      <c r="Q639" t="str">
        <f t="shared" si="66"/>
        <v>new</v>
      </c>
      <c r="R639" s="2">
        <f t="shared" si="67"/>
        <v>3.0203763599400755E-3</v>
      </c>
      <c r="S639">
        <f t="shared" si="68"/>
        <v>0.61578947368421055</v>
      </c>
      <c r="T639" t="str">
        <f t="shared" si="69"/>
        <v>Scenario 3: Strong Convenience</v>
      </c>
    </row>
    <row r="640" spans="1:20" x14ac:dyDescent="0.35">
      <c r="A640" t="s">
        <v>822</v>
      </c>
      <c r="B640" s="1">
        <v>45602</v>
      </c>
      <c r="C640">
        <v>2024</v>
      </c>
      <c r="D640">
        <v>11</v>
      </c>
      <c r="E640" t="s">
        <v>125</v>
      </c>
      <c r="F640">
        <v>105</v>
      </c>
      <c r="G640" t="s">
        <v>29</v>
      </c>
      <c r="H640" t="s">
        <v>56</v>
      </c>
      <c r="I640">
        <v>0</v>
      </c>
      <c r="J640">
        <v>0</v>
      </c>
      <c r="K640">
        <v>5.7</v>
      </c>
      <c r="L640">
        <v>9487</v>
      </c>
      <c r="M640" t="s">
        <v>17</v>
      </c>
      <c r="N640" t="str">
        <f t="shared" si="63"/>
        <v>streaming</v>
      </c>
      <c r="O640" t="str">
        <f t="shared" si="64"/>
        <v>non-original</v>
      </c>
      <c r="P640" t="str">
        <f t="shared" si="65"/>
        <v>non-franchise</v>
      </c>
      <c r="Q640" t="str">
        <f t="shared" si="66"/>
        <v>new</v>
      </c>
      <c r="R640" s="2">
        <f t="shared" si="67"/>
        <v>3.7223519143228926E-3</v>
      </c>
      <c r="S640">
        <f t="shared" si="68"/>
        <v>0.51750000000000007</v>
      </c>
      <c r="T640" t="str">
        <f t="shared" si="69"/>
        <v>Scenario 3: Strong Convenience</v>
      </c>
    </row>
    <row r="641" spans="1:20" x14ac:dyDescent="0.35">
      <c r="A641" t="s">
        <v>823</v>
      </c>
      <c r="B641" s="1">
        <v>45602</v>
      </c>
      <c r="C641">
        <v>2024</v>
      </c>
      <c r="D641">
        <v>11</v>
      </c>
      <c r="E641" t="s">
        <v>125</v>
      </c>
      <c r="F641">
        <v>132</v>
      </c>
      <c r="G641" t="s">
        <v>34</v>
      </c>
      <c r="H641" t="s">
        <v>24</v>
      </c>
      <c r="I641">
        <v>0</v>
      </c>
      <c r="J641">
        <v>0</v>
      </c>
      <c r="K641">
        <v>6.3</v>
      </c>
      <c r="L641">
        <v>3530</v>
      </c>
      <c r="M641" t="s">
        <v>17</v>
      </c>
      <c r="N641" t="str">
        <f t="shared" si="63"/>
        <v>streaming</v>
      </c>
      <c r="O641" t="str">
        <f t="shared" si="64"/>
        <v>non-original</v>
      </c>
      <c r="P641" t="str">
        <f t="shared" si="65"/>
        <v>non-franchise</v>
      </c>
      <c r="Q641" t="str">
        <f t="shared" si="66"/>
        <v>new</v>
      </c>
      <c r="R641" s="2">
        <f t="shared" si="67"/>
        <v>1.7411968237215788E-3</v>
      </c>
      <c r="S641">
        <f t="shared" si="68"/>
        <v>0.47605263157894745</v>
      </c>
      <c r="T641" t="str">
        <f t="shared" si="69"/>
        <v>Scenario 2: Weak Commitment/Convenience</v>
      </c>
    </row>
    <row r="642" spans="1:20" x14ac:dyDescent="0.35">
      <c r="A642" t="s">
        <v>824</v>
      </c>
      <c r="B642" s="1">
        <v>45603</v>
      </c>
      <c r="C642">
        <v>2024</v>
      </c>
      <c r="D642">
        <v>11</v>
      </c>
      <c r="E642" t="s">
        <v>125</v>
      </c>
      <c r="F642">
        <v>110</v>
      </c>
      <c r="G642" t="s">
        <v>34</v>
      </c>
      <c r="H642" t="s">
        <v>24</v>
      </c>
      <c r="I642">
        <v>0</v>
      </c>
      <c r="J642">
        <v>0</v>
      </c>
      <c r="K642">
        <v>5.7</v>
      </c>
      <c r="L642">
        <v>1531</v>
      </c>
      <c r="M642" t="s">
        <v>17</v>
      </c>
      <c r="N642" t="str">
        <f t="shared" si="63"/>
        <v>streaming</v>
      </c>
      <c r="O642" t="str">
        <f t="shared" si="64"/>
        <v>non-original</v>
      </c>
      <c r="P642" t="str">
        <f t="shared" si="65"/>
        <v>non-franchise</v>
      </c>
      <c r="Q642" t="str">
        <f t="shared" si="66"/>
        <v>new</v>
      </c>
      <c r="R642" s="2">
        <f t="shared" si="67"/>
        <v>6.293135828889842E-4</v>
      </c>
      <c r="S642">
        <f t="shared" si="68"/>
        <v>0.50142857142857156</v>
      </c>
      <c r="T642" t="str">
        <f t="shared" si="69"/>
        <v>Scenario 3: Strong Convenience</v>
      </c>
    </row>
    <row r="643" spans="1:20" x14ac:dyDescent="0.35">
      <c r="A643" t="s">
        <v>825</v>
      </c>
      <c r="B643" s="1">
        <v>45604</v>
      </c>
      <c r="C643">
        <v>2024</v>
      </c>
      <c r="D643">
        <v>11</v>
      </c>
      <c r="E643" t="s">
        <v>125</v>
      </c>
      <c r="F643">
        <v>93</v>
      </c>
      <c r="G643" t="s">
        <v>29</v>
      </c>
      <c r="H643" t="s">
        <v>24</v>
      </c>
      <c r="I643">
        <v>0</v>
      </c>
      <c r="J643">
        <v>0</v>
      </c>
      <c r="K643">
        <v>4.4000000000000004</v>
      </c>
      <c r="L643">
        <v>312</v>
      </c>
      <c r="M643" t="s">
        <v>17</v>
      </c>
      <c r="N643" t="str">
        <f t="shared" ref="N643:N706" si="70">IF(ISNUMBER(SEARCH("Streaming", M643)), "streaming", "cinema")</f>
        <v>streaming</v>
      </c>
      <c r="O643" t="str">
        <f t="shared" ref="O643:O706" si="71">IF(I643=1, "original", "non-original")</f>
        <v>non-original</v>
      </c>
      <c r="P643" t="str">
        <f t="shared" ref="P643:P706" si="72">IF(J643 = 1, "franchise", "non-franchise")</f>
        <v>non-franchise</v>
      </c>
      <c r="Q643" t="str">
        <f t="shared" ref="Q643:Q706" si="73">IF(OR(I643 = 1,J643 =1), "old", "new")</f>
        <v>new</v>
      </c>
      <c r="R643" s="2">
        <f t="shared" ref="R643:R706" si="74">IF(Q643="old", 1.5, 1) * (L643 / MAX($L$2:$L$1000)) * (F643 / MAX($F$2:$F$1000))</f>
        <v>1.0842683285497754E-4</v>
      </c>
      <c r="S643">
        <f t="shared" ref="S643:S706" si="75">IF(Q643="new", 1.5, 1) * (K643 / 10) * (1 - (F643 / MAX($F$2:$F$1000)))</f>
        <v>0.42924812030075199</v>
      </c>
      <c r="T643" t="str">
        <f t="shared" ref="T643:T706" si="76">IF(AND(R643&gt;=0.03, S643&gt;=0.5), "Scenario 4: Hybrid Logic",
 IF(AND(R643&gt;=0.03, S643&lt;0.5), "Scenario 1: Strong Commitment",
  IF(AND(R643&lt;0.03, S643&gt;=0.5), "Scenario 3: Strong Convenience",
   "Scenario 2: Weak Commitment/Convenience")))</f>
        <v>Scenario 2: Weak Commitment/Convenience</v>
      </c>
    </row>
    <row r="644" spans="1:20" x14ac:dyDescent="0.35">
      <c r="A644" t="s">
        <v>826</v>
      </c>
      <c r="B644" s="1">
        <v>45604</v>
      </c>
      <c r="C644">
        <v>2024</v>
      </c>
      <c r="D644">
        <v>11</v>
      </c>
      <c r="E644" t="s">
        <v>125</v>
      </c>
      <c r="F644">
        <v>112</v>
      </c>
      <c r="G644" t="s">
        <v>116</v>
      </c>
      <c r="H644" t="s">
        <v>27</v>
      </c>
      <c r="I644">
        <v>0</v>
      </c>
      <c r="J644">
        <v>0</v>
      </c>
      <c r="K644">
        <v>6.1</v>
      </c>
      <c r="L644">
        <v>1296</v>
      </c>
      <c r="M644" t="s">
        <v>17</v>
      </c>
      <c r="N644" t="str">
        <f t="shared" si="70"/>
        <v>streaming</v>
      </c>
      <c r="O644" t="str">
        <f t="shared" si="71"/>
        <v>non-original</v>
      </c>
      <c r="P644" t="str">
        <f t="shared" si="72"/>
        <v>non-franchise</v>
      </c>
      <c r="Q644" t="str">
        <f t="shared" si="73"/>
        <v>new</v>
      </c>
      <c r="R644" s="2">
        <f t="shared" si="74"/>
        <v>5.4240321348792732E-4</v>
      </c>
      <c r="S644">
        <f t="shared" si="75"/>
        <v>0.52973684210526317</v>
      </c>
      <c r="T644" t="str">
        <f t="shared" si="76"/>
        <v>Scenario 3: Strong Convenience</v>
      </c>
    </row>
    <row r="645" spans="1:20" x14ac:dyDescent="0.35">
      <c r="A645" t="s">
        <v>827</v>
      </c>
      <c r="B645" s="1">
        <v>45609</v>
      </c>
      <c r="C645">
        <v>2024</v>
      </c>
      <c r="D645">
        <v>11</v>
      </c>
      <c r="E645" t="s">
        <v>125</v>
      </c>
      <c r="F645">
        <v>92</v>
      </c>
      <c r="G645" t="s">
        <v>29</v>
      </c>
      <c r="H645" t="s">
        <v>56</v>
      </c>
      <c r="I645">
        <v>0</v>
      </c>
      <c r="J645">
        <v>0</v>
      </c>
      <c r="K645">
        <v>5.3</v>
      </c>
      <c r="L645">
        <v>16262</v>
      </c>
      <c r="M645" t="s">
        <v>17</v>
      </c>
      <c r="N645" t="str">
        <f t="shared" si="70"/>
        <v>streaming</v>
      </c>
      <c r="O645" t="str">
        <f t="shared" si="71"/>
        <v>non-original</v>
      </c>
      <c r="P645" t="str">
        <f t="shared" si="72"/>
        <v>non-franchise</v>
      </c>
      <c r="Q645" t="str">
        <f t="shared" si="73"/>
        <v>new</v>
      </c>
      <c r="R645" s="2">
        <f t="shared" si="74"/>
        <v>5.5906333864648231E-3</v>
      </c>
      <c r="S645">
        <f t="shared" si="75"/>
        <v>0.52003759398496241</v>
      </c>
      <c r="T645" t="str">
        <f t="shared" si="76"/>
        <v>Scenario 3: Strong Convenience</v>
      </c>
    </row>
    <row r="646" spans="1:20" x14ac:dyDescent="0.35">
      <c r="A646" t="s">
        <v>828</v>
      </c>
      <c r="B646" s="1">
        <v>45616</v>
      </c>
      <c r="C646">
        <v>2024</v>
      </c>
      <c r="D646">
        <v>11</v>
      </c>
      <c r="E646" t="s">
        <v>125</v>
      </c>
      <c r="F646">
        <v>100</v>
      </c>
      <c r="G646" t="s">
        <v>58</v>
      </c>
      <c r="H646" t="s">
        <v>24</v>
      </c>
      <c r="I646">
        <v>0</v>
      </c>
      <c r="J646">
        <v>0</v>
      </c>
      <c r="K646">
        <v>5</v>
      </c>
      <c r="L646">
        <v>1455</v>
      </c>
      <c r="M646" t="s">
        <v>17</v>
      </c>
      <c r="N646" t="str">
        <f t="shared" si="70"/>
        <v>streaming</v>
      </c>
      <c r="O646" t="str">
        <f t="shared" si="71"/>
        <v>non-original</v>
      </c>
      <c r="P646" t="str">
        <f t="shared" si="72"/>
        <v>non-franchise</v>
      </c>
      <c r="Q646" t="str">
        <f t="shared" si="73"/>
        <v>new</v>
      </c>
      <c r="R646" s="2">
        <f t="shared" si="74"/>
        <v>5.4370361801761883E-4</v>
      </c>
      <c r="S646">
        <f t="shared" si="75"/>
        <v>0.46804511278195493</v>
      </c>
      <c r="T646" t="str">
        <f t="shared" si="76"/>
        <v>Scenario 2: Weak Commitment/Convenience</v>
      </c>
    </row>
    <row r="647" spans="1:20" x14ac:dyDescent="0.35">
      <c r="A647" t="s">
        <v>829</v>
      </c>
      <c r="B647" s="1">
        <v>45616</v>
      </c>
      <c r="C647">
        <v>2024</v>
      </c>
      <c r="D647">
        <v>11</v>
      </c>
      <c r="E647" t="s">
        <v>125</v>
      </c>
      <c r="F647">
        <v>87</v>
      </c>
      <c r="G647" t="s">
        <v>29</v>
      </c>
      <c r="H647" t="s">
        <v>56</v>
      </c>
      <c r="I647">
        <v>0</v>
      </c>
      <c r="J647">
        <v>0</v>
      </c>
      <c r="K647">
        <v>4.8</v>
      </c>
      <c r="L647">
        <v>11384</v>
      </c>
      <c r="M647" t="s">
        <v>17</v>
      </c>
      <c r="N647" t="str">
        <f t="shared" si="70"/>
        <v>streaming</v>
      </c>
      <c r="O647" t="str">
        <f t="shared" si="71"/>
        <v>non-original</v>
      </c>
      <c r="P647" t="str">
        <f t="shared" si="72"/>
        <v>non-franchise</v>
      </c>
      <c r="Q647" t="str">
        <f t="shared" si="73"/>
        <v>new</v>
      </c>
      <c r="R647" s="2">
        <f t="shared" si="74"/>
        <v>3.7009512915023635E-3</v>
      </c>
      <c r="S647">
        <f t="shared" si="75"/>
        <v>0.48451127819548867</v>
      </c>
      <c r="T647" t="str">
        <f t="shared" si="76"/>
        <v>Scenario 2: Weak Commitment/Convenience</v>
      </c>
    </row>
    <row r="648" spans="1:20" x14ac:dyDescent="0.35">
      <c r="A648" t="s">
        <v>830</v>
      </c>
      <c r="B648" s="1">
        <v>45617</v>
      </c>
      <c r="C648">
        <v>2024</v>
      </c>
      <c r="D648">
        <v>11</v>
      </c>
      <c r="E648" t="s">
        <v>125</v>
      </c>
      <c r="F648">
        <v>107</v>
      </c>
      <c r="G648" t="s">
        <v>21</v>
      </c>
      <c r="H648" t="s">
        <v>30</v>
      </c>
      <c r="I648">
        <v>0</v>
      </c>
      <c r="J648">
        <v>0</v>
      </c>
      <c r="K648">
        <v>5.7</v>
      </c>
      <c r="L648">
        <v>653</v>
      </c>
      <c r="M648" t="s">
        <v>17</v>
      </c>
      <c r="N648" t="str">
        <f t="shared" si="70"/>
        <v>streaming</v>
      </c>
      <c r="O648" t="str">
        <f t="shared" si="71"/>
        <v>non-original</v>
      </c>
      <c r="P648" t="str">
        <f t="shared" si="72"/>
        <v>non-franchise</v>
      </c>
      <c r="Q648" t="str">
        <f t="shared" si="73"/>
        <v>new</v>
      </c>
      <c r="R648" s="2">
        <f t="shared" si="74"/>
        <v>2.6109357728184917E-4</v>
      </c>
      <c r="S648">
        <f t="shared" si="75"/>
        <v>0.51107142857142862</v>
      </c>
      <c r="T648" t="str">
        <f t="shared" si="76"/>
        <v>Scenario 3: Strong Convenience</v>
      </c>
    </row>
    <row r="649" spans="1:20" x14ac:dyDescent="0.35">
      <c r="A649" t="s">
        <v>831</v>
      </c>
      <c r="B649" s="1">
        <v>45618</v>
      </c>
      <c r="C649">
        <v>2024</v>
      </c>
      <c r="D649">
        <v>11</v>
      </c>
      <c r="E649" t="s">
        <v>125</v>
      </c>
      <c r="F649">
        <v>115</v>
      </c>
      <c r="G649" t="s">
        <v>34</v>
      </c>
      <c r="H649" t="s">
        <v>27</v>
      </c>
      <c r="I649">
        <v>0</v>
      </c>
      <c r="J649">
        <v>0</v>
      </c>
      <c r="K649">
        <v>7.1</v>
      </c>
      <c r="L649">
        <v>11556</v>
      </c>
      <c r="M649" t="s">
        <v>17</v>
      </c>
      <c r="N649" t="str">
        <f t="shared" si="70"/>
        <v>streaming</v>
      </c>
      <c r="O649" t="str">
        <f t="shared" si="71"/>
        <v>non-original</v>
      </c>
      <c r="P649" t="str">
        <f t="shared" si="72"/>
        <v>non-franchise</v>
      </c>
      <c r="Q649" t="str">
        <f t="shared" si="73"/>
        <v>new</v>
      </c>
      <c r="R649" s="2">
        <f t="shared" si="74"/>
        <v>4.9659758496792749E-3</v>
      </c>
      <c r="S649">
        <f t="shared" si="75"/>
        <v>0.60456766917293236</v>
      </c>
      <c r="T649" t="str">
        <f t="shared" si="76"/>
        <v>Scenario 3: Strong Convenience</v>
      </c>
    </row>
    <row r="650" spans="1:20" x14ac:dyDescent="0.35">
      <c r="A650" t="s">
        <v>832</v>
      </c>
      <c r="B650" s="1">
        <v>45618</v>
      </c>
      <c r="C650">
        <v>2024</v>
      </c>
      <c r="D650">
        <v>11</v>
      </c>
      <c r="E650" t="s">
        <v>125</v>
      </c>
      <c r="F650">
        <v>110</v>
      </c>
      <c r="G650" t="s">
        <v>833</v>
      </c>
      <c r="H650" t="s">
        <v>56</v>
      </c>
      <c r="I650">
        <v>0</v>
      </c>
      <c r="J650">
        <v>0</v>
      </c>
      <c r="K650">
        <v>5.5</v>
      </c>
      <c r="L650">
        <v>8848</v>
      </c>
      <c r="M650" t="s">
        <v>17</v>
      </c>
      <c r="N650" t="str">
        <f t="shared" si="70"/>
        <v>streaming</v>
      </c>
      <c r="O650" t="str">
        <f t="shared" si="71"/>
        <v>non-original</v>
      </c>
      <c r="P650" t="str">
        <f t="shared" si="72"/>
        <v>non-franchise</v>
      </c>
      <c r="Q650" t="str">
        <f t="shared" si="73"/>
        <v>new</v>
      </c>
      <c r="R650" s="2">
        <f t="shared" si="74"/>
        <v>3.6369474731559322E-3</v>
      </c>
      <c r="S650">
        <f t="shared" si="75"/>
        <v>0.48383458646616551</v>
      </c>
      <c r="T650" t="str">
        <f t="shared" si="76"/>
        <v>Scenario 2: Weak Commitment/Convenience</v>
      </c>
    </row>
    <row r="651" spans="1:20" x14ac:dyDescent="0.35">
      <c r="A651" t="s">
        <v>834</v>
      </c>
      <c r="B651" s="1">
        <v>45618</v>
      </c>
      <c r="C651">
        <v>2024</v>
      </c>
      <c r="D651">
        <v>11</v>
      </c>
      <c r="E651" t="s">
        <v>125</v>
      </c>
      <c r="F651">
        <v>127</v>
      </c>
      <c r="G651" t="s">
        <v>34</v>
      </c>
      <c r="H651" t="s">
        <v>27</v>
      </c>
      <c r="I651">
        <v>0</v>
      </c>
      <c r="J651">
        <v>0</v>
      </c>
      <c r="K651">
        <v>6.2</v>
      </c>
      <c r="L651">
        <v>5572</v>
      </c>
      <c r="M651" t="s">
        <v>17</v>
      </c>
      <c r="N651" t="str">
        <f t="shared" si="70"/>
        <v>streaming</v>
      </c>
      <c r="O651" t="str">
        <f t="shared" si="71"/>
        <v>non-original</v>
      </c>
      <c r="P651" t="str">
        <f t="shared" si="72"/>
        <v>non-franchise</v>
      </c>
      <c r="Q651" t="str">
        <f t="shared" si="73"/>
        <v>new</v>
      </c>
      <c r="R651" s="2">
        <f t="shared" si="74"/>
        <v>2.6443202960031611E-3</v>
      </c>
      <c r="S651">
        <f t="shared" si="75"/>
        <v>0.48597744360902245</v>
      </c>
      <c r="T651" t="str">
        <f t="shared" si="76"/>
        <v>Scenario 2: Weak Commitment/Convenience</v>
      </c>
    </row>
    <row r="652" spans="1:20" x14ac:dyDescent="0.35">
      <c r="A652" t="s">
        <v>835</v>
      </c>
      <c r="B652" s="1">
        <v>45623</v>
      </c>
      <c r="C652">
        <v>2024</v>
      </c>
      <c r="D652">
        <v>11</v>
      </c>
      <c r="E652" t="s">
        <v>125</v>
      </c>
      <c r="F652">
        <v>101</v>
      </c>
      <c r="G652" t="s">
        <v>29</v>
      </c>
      <c r="H652" t="s">
        <v>27</v>
      </c>
      <c r="I652">
        <v>0</v>
      </c>
      <c r="J652">
        <v>0</v>
      </c>
      <c r="K652">
        <v>5.7</v>
      </c>
      <c r="L652">
        <v>26679</v>
      </c>
      <c r="M652" t="s">
        <v>88</v>
      </c>
      <c r="N652" t="str">
        <f t="shared" si="70"/>
        <v>streaming</v>
      </c>
      <c r="O652" t="str">
        <f t="shared" si="71"/>
        <v>non-original</v>
      </c>
      <c r="P652" t="str">
        <f t="shared" si="72"/>
        <v>non-franchise</v>
      </c>
      <c r="Q652" t="str">
        <f t="shared" si="73"/>
        <v>new</v>
      </c>
      <c r="R652" s="2">
        <f t="shared" si="74"/>
        <v>1.0069088325321633E-2</v>
      </c>
      <c r="S652">
        <f t="shared" si="75"/>
        <v>0.53035714285714286</v>
      </c>
      <c r="T652" t="str">
        <f t="shared" si="76"/>
        <v>Scenario 3: Strong Convenience</v>
      </c>
    </row>
    <row r="653" spans="1:20" x14ac:dyDescent="0.35">
      <c r="A653" t="s">
        <v>836</v>
      </c>
      <c r="B653" s="1">
        <v>45625</v>
      </c>
      <c r="C653">
        <v>2024</v>
      </c>
      <c r="D653">
        <v>11</v>
      </c>
      <c r="E653" t="s">
        <v>125</v>
      </c>
      <c r="F653">
        <v>143</v>
      </c>
      <c r="G653" t="s">
        <v>43</v>
      </c>
      <c r="H653" t="s">
        <v>24</v>
      </c>
      <c r="I653">
        <v>0</v>
      </c>
      <c r="J653">
        <v>0</v>
      </c>
      <c r="K653">
        <v>6</v>
      </c>
      <c r="L653">
        <v>26281</v>
      </c>
      <c r="M653" t="s">
        <v>88</v>
      </c>
      <c r="N653" t="str">
        <f t="shared" si="70"/>
        <v>streaming</v>
      </c>
      <c r="O653" t="str">
        <f t="shared" si="71"/>
        <v>non-original</v>
      </c>
      <c r="P653" t="str">
        <f t="shared" si="72"/>
        <v>non-franchise</v>
      </c>
      <c r="Q653" t="str">
        <f t="shared" si="73"/>
        <v>new</v>
      </c>
      <c r="R653" s="2">
        <f t="shared" si="74"/>
        <v>1.4043558036235802E-2</v>
      </c>
      <c r="S653">
        <f t="shared" si="75"/>
        <v>0.41616541353383452</v>
      </c>
      <c r="T653" t="str">
        <f t="shared" si="76"/>
        <v>Scenario 2: Weak Commitment/Convenience</v>
      </c>
    </row>
    <row r="654" spans="1:20" x14ac:dyDescent="0.35">
      <c r="A654" t="s">
        <v>837</v>
      </c>
      <c r="B654" s="1">
        <v>45625</v>
      </c>
      <c r="C654">
        <v>2024</v>
      </c>
      <c r="D654">
        <v>11</v>
      </c>
      <c r="E654" t="s">
        <v>125</v>
      </c>
      <c r="F654">
        <v>97</v>
      </c>
      <c r="G654" t="s">
        <v>838</v>
      </c>
      <c r="H654" t="s">
        <v>56</v>
      </c>
      <c r="I654">
        <v>0</v>
      </c>
      <c r="J654">
        <v>0</v>
      </c>
      <c r="K654">
        <v>7</v>
      </c>
      <c r="L654">
        <v>2616</v>
      </c>
      <c r="M654" t="s">
        <v>17</v>
      </c>
      <c r="N654" t="str">
        <f t="shared" si="70"/>
        <v>streaming</v>
      </c>
      <c r="O654" t="str">
        <f t="shared" si="71"/>
        <v>non-original</v>
      </c>
      <c r="P654" t="str">
        <f t="shared" si="72"/>
        <v>non-franchise</v>
      </c>
      <c r="Q654" t="str">
        <f t="shared" si="73"/>
        <v>new</v>
      </c>
      <c r="R654" s="2">
        <f t="shared" si="74"/>
        <v>9.4821910982272745E-4</v>
      </c>
      <c r="S654">
        <f t="shared" si="75"/>
        <v>0.66710526315789465</v>
      </c>
      <c r="T654" t="str">
        <f t="shared" si="76"/>
        <v>Scenario 3: Strong Convenience</v>
      </c>
    </row>
    <row r="655" spans="1:20" x14ac:dyDescent="0.35">
      <c r="A655" t="s">
        <v>839</v>
      </c>
      <c r="B655" s="1">
        <v>45630</v>
      </c>
      <c r="C655">
        <v>2024</v>
      </c>
      <c r="D655">
        <v>12</v>
      </c>
      <c r="E655" t="s">
        <v>14</v>
      </c>
      <c r="F655">
        <v>97</v>
      </c>
      <c r="G655" t="s">
        <v>840</v>
      </c>
      <c r="H655" t="s">
        <v>56</v>
      </c>
      <c r="I655">
        <v>0</v>
      </c>
      <c r="J655">
        <v>0</v>
      </c>
      <c r="K655">
        <v>6.8</v>
      </c>
      <c r="L655">
        <v>20392</v>
      </c>
      <c r="M655" t="s">
        <v>88</v>
      </c>
      <c r="N655" t="str">
        <f t="shared" si="70"/>
        <v>streaming</v>
      </c>
      <c r="O655" t="str">
        <f t="shared" si="71"/>
        <v>non-original</v>
      </c>
      <c r="P655" t="str">
        <f t="shared" si="72"/>
        <v>non-franchise</v>
      </c>
      <c r="Q655" t="str">
        <f t="shared" si="73"/>
        <v>new</v>
      </c>
      <c r="R655" s="2">
        <f t="shared" si="74"/>
        <v>7.3914694524101895E-3</v>
      </c>
      <c r="S655">
        <f t="shared" si="75"/>
        <v>0.64804511278195487</v>
      </c>
      <c r="T655" t="str">
        <f t="shared" si="76"/>
        <v>Scenario 3: Strong Convenience</v>
      </c>
    </row>
    <row r="656" spans="1:20" x14ac:dyDescent="0.35">
      <c r="A656" t="s">
        <v>841</v>
      </c>
      <c r="B656" s="1">
        <v>45630</v>
      </c>
      <c r="C656">
        <v>2024</v>
      </c>
      <c r="D656">
        <v>12</v>
      </c>
      <c r="E656" t="s">
        <v>14</v>
      </c>
      <c r="F656">
        <v>106</v>
      </c>
      <c r="G656" t="s">
        <v>761</v>
      </c>
      <c r="H656" t="s">
        <v>56</v>
      </c>
      <c r="I656">
        <v>0</v>
      </c>
      <c r="J656">
        <v>0</v>
      </c>
      <c r="K656">
        <v>7.4</v>
      </c>
      <c r="L656">
        <v>9690</v>
      </c>
      <c r="M656" t="s">
        <v>88</v>
      </c>
      <c r="N656" t="str">
        <f t="shared" si="70"/>
        <v>streaming</v>
      </c>
      <c r="O656" t="str">
        <f t="shared" si="71"/>
        <v>non-original</v>
      </c>
      <c r="P656" t="str">
        <f t="shared" si="72"/>
        <v>non-franchise</v>
      </c>
      <c r="Q656" t="str">
        <f t="shared" si="73"/>
        <v>new</v>
      </c>
      <c r="R656" s="2">
        <f t="shared" si="74"/>
        <v>3.8382112316880895E-3</v>
      </c>
      <c r="S656">
        <f t="shared" si="75"/>
        <v>0.66766917293233075</v>
      </c>
      <c r="T656" t="str">
        <f t="shared" si="76"/>
        <v>Scenario 3: Strong Convenience</v>
      </c>
    </row>
    <row r="657" spans="1:20" x14ac:dyDescent="0.35">
      <c r="A657" t="s">
        <v>842</v>
      </c>
      <c r="B657" s="1">
        <v>45632</v>
      </c>
      <c r="C657">
        <v>2024</v>
      </c>
      <c r="D657">
        <v>12</v>
      </c>
      <c r="E657" t="s">
        <v>14</v>
      </c>
      <c r="F657">
        <v>95</v>
      </c>
      <c r="G657" t="s">
        <v>21</v>
      </c>
      <c r="H657" t="s">
        <v>27</v>
      </c>
      <c r="I657">
        <v>0</v>
      </c>
      <c r="J657">
        <v>0</v>
      </c>
      <c r="K657">
        <v>5.5</v>
      </c>
      <c r="L657">
        <v>977</v>
      </c>
      <c r="M657" t="s">
        <v>17</v>
      </c>
      <c r="N657" t="str">
        <f t="shared" si="70"/>
        <v>streaming</v>
      </c>
      <c r="O657" t="str">
        <f t="shared" si="71"/>
        <v>non-original</v>
      </c>
      <c r="P657" t="str">
        <f t="shared" si="72"/>
        <v>non-franchise</v>
      </c>
      <c r="Q657" t="str">
        <f t="shared" si="73"/>
        <v>new</v>
      </c>
      <c r="R657" s="2">
        <f t="shared" si="74"/>
        <v>3.4683059317048318E-4</v>
      </c>
      <c r="S657">
        <f t="shared" si="75"/>
        <v>0.53035714285714286</v>
      </c>
      <c r="T657" t="str">
        <f t="shared" si="76"/>
        <v>Scenario 3: Strong Convenience</v>
      </c>
    </row>
    <row r="658" spans="1:20" x14ac:dyDescent="0.35">
      <c r="A658" t="s">
        <v>843</v>
      </c>
      <c r="B658" s="1">
        <v>45632</v>
      </c>
      <c r="C658">
        <v>2024</v>
      </c>
      <c r="D658">
        <v>12</v>
      </c>
      <c r="E658" t="s">
        <v>14</v>
      </c>
      <c r="F658">
        <v>112</v>
      </c>
      <c r="G658" t="s">
        <v>761</v>
      </c>
      <c r="H658" t="s">
        <v>27</v>
      </c>
      <c r="I658">
        <v>0</v>
      </c>
      <c r="J658">
        <v>0</v>
      </c>
      <c r="K658">
        <v>5.2</v>
      </c>
      <c r="L658">
        <v>9053</v>
      </c>
      <c r="M658" t="s">
        <v>17</v>
      </c>
      <c r="N658" t="str">
        <f t="shared" si="70"/>
        <v>streaming</v>
      </c>
      <c r="O658" t="str">
        <f t="shared" si="71"/>
        <v>non-original</v>
      </c>
      <c r="P658" t="str">
        <f t="shared" si="72"/>
        <v>non-franchise</v>
      </c>
      <c r="Q658" t="str">
        <f t="shared" si="73"/>
        <v>new</v>
      </c>
      <c r="R658" s="2">
        <f t="shared" si="74"/>
        <v>3.7888705954523191E-3</v>
      </c>
      <c r="S658">
        <f t="shared" si="75"/>
        <v>0.45157894736842108</v>
      </c>
      <c r="T658" t="str">
        <f t="shared" si="76"/>
        <v>Scenario 2: Weak Commitment/Convenience</v>
      </c>
    </row>
    <row r="659" spans="1:20" x14ac:dyDescent="0.35">
      <c r="A659" t="s">
        <v>844</v>
      </c>
      <c r="B659" s="1">
        <v>45639</v>
      </c>
      <c r="C659">
        <v>2024</v>
      </c>
      <c r="D659">
        <v>12</v>
      </c>
      <c r="E659" t="s">
        <v>14</v>
      </c>
      <c r="F659">
        <v>119</v>
      </c>
      <c r="G659" t="s">
        <v>49</v>
      </c>
      <c r="H659" t="s">
        <v>27</v>
      </c>
      <c r="I659">
        <v>0</v>
      </c>
      <c r="J659">
        <v>0</v>
      </c>
      <c r="K659">
        <v>6.5</v>
      </c>
      <c r="L659">
        <v>190818</v>
      </c>
      <c r="M659" t="s">
        <v>88</v>
      </c>
      <c r="N659" t="str">
        <f t="shared" si="70"/>
        <v>streaming</v>
      </c>
      <c r="O659" t="str">
        <f t="shared" si="71"/>
        <v>non-original</v>
      </c>
      <c r="P659" t="str">
        <f t="shared" si="72"/>
        <v>non-franchise</v>
      </c>
      <c r="Q659" t="str">
        <f t="shared" si="73"/>
        <v>new</v>
      </c>
      <c r="R659" s="2">
        <f t="shared" si="74"/>
        <v>8.4852673546140456E-2</v>
      </c>
      <c r="S659">
        <f t="shared" si="75"/>
        <v>0.53881578947368425</v>
      </c>
      <c r="T659" t="str">
        <f t="shared" si="76"/>
        <v>Scenario 4: Hybrid Logic</v>
      </c>
    </row>
    <row r="660" spans="1:20" x14ac:dyDescent="0.35">
      <c r="A660" t="s">
        <v>845</v>
      </c>
      <c r="B660" s="1">
        <v>45639</v>
      </c>
      <c r="C660">
        <v>2024</v>
      </c>
      <c r="D660">
        <v>12</v>
      </c>
      <c r="E660" t="s">
        <v>14</v>
      </c>
      <c r="F660">
        <v>93</v>
      </c>
      <c r="G660" t="s">
        <v>21</v>
      </c>
      <c r="H660" t="s">
        <v>56</v>
      </c>
      <c r="I660">
        <v>0</v>
      </c>
      <c r="J660">
        <v>0</v>
      </c>
      <c r="K660">
        <v>4.9000000000000004</v>
      </c>
      <c r="L660">
        <v>901</v>
      </c>
      <c r="M660" t="s">
        <v>17</v>
      </c>
      <c r="N660" t="str">
        <f t="shared" si="70"/>
        <v>streaming</v>
      </c>
      <c r="O660" t="str">
        <f t="shared" si="71"/>
        <v>non-original</v>
      </c>
      <c r="P660" t="str">
        <f t="shared" si="72"/>
        <v>non-franchise</v>
      </c>
      <c r="Q660" t="str">
        <f t="shared" si="73"/>
        <v>new</v>
      </c>
      <c r="R660" s="2">
        <f t="shared" si="74"/>
        <v>3.1311723205876529E-4</v>
      </c>
      <c r="S660">
        <f t="shared" si="75"/>
        <v>0.47802631578947374</v>
      </c>
      <c r="T660" t="str">
        <f t="shared" si="76"/>
        <v>Scenario 2: Weak Commitment/Convenience</v>
      </c>
    </row>
    <row r="661" spans="1:20" x14ac:dyDescent="0.35">
      <c r="A661" t="s">
        <v>846</v>
      </c>
      <c r="B661" s="1">
        <v>45646</v>
      </c>
      <c r="C661">
        <v>2024</v>
      </c>
      <c r="D661">
        <v>12</v>
      </c>
      <c r="E661" t="s">
        <v>14</v>
      </c>
      <c r="F661">
        <v>95</v>
      </c>
      <c r="G661" t="s">
        <v>43</v>
      </c>
      <c r="H661" t="s">
        <v>24</v>
      </c>
      <c r="I661">
        <v>0</v>
      </c>
      <c r="J661">
        <v>1</v>
      </c>
      <c r="K661">
        <v>5.6</v>
      </c>
      <c r="L661">
        <v>4266</v>
      </c>
      <c r="M661" t="s">
        <v>17</v>
      </c>
      <c r="N661" t="str">
        <f t="shared" si="70"/>
        <v>streaming</v>
      </c>
      <c r="O661" t="str">
        <f t="shared" si="71"/>
        <v>non-original</v>
      </c>
      <c r="P661" t="str">
        <f t="shared" si="72"/>
        <v>franchise</v>
      </c>
      <c r="Q661" t="str">
        <f t="shared" si="73"/>
        <v>old</v>
      </c>
      <c r="R661" s="2">
        <f t="shared" si="74"/>
        <v>2.2716161368453651E-3</v>
      </c>
      <c r="S661">
        <f t="shared" si="75"/>
        <v>0.35999999999999993</v>
      </c>
      <c r="T661" t="str">
        <f t="shared" si="76"/>
        <v>Scenario 2: Weak Commitment/Convenience</v>
      </c>
    </row>
    <row r="662" spans="1:20" x14ac:dyDescent="0.35">
      <c r="A662" t="s">
        <v>847</v>
      </c>
      <c r="B662" s="1">
        <v>45646</v>
      </c>
      <c r="C662">
        <v>2024</v>
      </c>
      <c r="D662">
        <v>12</v>
      </c>
      <c r="E662" t="s">
        <v>14</v>
      </c>
      <c r="F662">
        <v>129</v>
      </c>
      <c r="G662" t="s">
        <v>761</v>
      </c>
      <c r="H662" t="s">
        <v>27</v>
      </c>
      <c r="I662">
        <v>0</v>
      </c>
      <c r="J662">
        <v>0</v>
      </c>
      <c r="K662">
        <v>6.7</v>
      </c>
      <c r="L662">
        <v>31385</v>
      </c>
      <c r="M662" t="s">
        <v>88</v>
      </c>
      <c r="N662" t="str">
        <f t="shared" si="70"/>
        <v>streaming</v>
      </c>
      <c r="O662" t="str">
        <f t="shared" si="71"/>
        <v>non-original</v>
      </c>
      <c r="P662" t="str">
        <f t="shared" si="72"/>
        <v>non-franchise</v>
      </c>
      <c r="Q662" t="str">
        <f t="shared" si="73"/>
        <v>new</v>
      </c>
      <c r="R662" s="2">
        <f t="shared" si="74"/>
        <v>1.5129029612655005E-2</v>
      </c>
      <c r="S662">
        <f t="shared" si="75"/>
        <v>0.51761278195488725</v>
      </c>
      <c r="T662" t="str">
        <f t="shared" si="76"/>
        <v>Scenario 3: Strong Convenience</v>
      </c>
    </row>
    <row r="663" spans="1:20" x14ac:dyDescent="0.35">
      <c r="A663" t="s">
        <v>848</v>
      </c>
      <c r="B663" s="1">
        <v>45646</v>
      </c>
      <c r="C663">
        <v>2024</v>
      </c>
      <c r="D663">
        <v>12</v>
      </c>
      <c r="E663" t="s">
        <v>14</v>
      </c>
      <c r="F663">
        <v>86</v>
      </c>
      <c r="G663" t="s">
        <v>29</v>
      </c>
      <c r="H663" t="s">
        <v>24</v>
      </c>
      <c r="I663">
        <v>0</v>
      </c>
      <c r="J663">
        <v>0</v>
      </c>
      <c r="K663">
        <v>4.3</v>
      </c>
      <c r="L663">
        <v>174</v>
      </c>
      <c r="M663" t="s">
        <v>17</v>
      </c>
      <c r="N663" t="str">
        <f t="shared" si="70"/>
        <v>streaming</v>
      </c>
      <c r="O663" t="str">
        <f t="shared" si="71"/>
        <v>non-original</v>
      </c>
      <c r="P663" t="str">
        <f t="shared" si="72"/>
        <v>non-franchise</v>
      </c>
      <c r="Q663" t="str">
        <f t="shared" si="73"/>
        <v>new</v>
      </c>
      <c r="R663" s="2">
        <f t="shared" si="74"/>
        <v>5.5917394776739856E-5</v>
      </c>
      <c r="S663">
        <f t="shared" si="75"/>
        <v>0.43646616541353389</v>
      </c>
      <c r="T663" t="str">
        <f t="shared" si="76"/>
        <v>Scenario 2: Weak Commitment/Convenience</v>
      </c>
    </row>
    <row r="664" spans="1:20" x14ac:dyDescent="0.35">
      <c r="A664" t="s">
        <v>849</v>
      </c>
      <c r="B664" s="1">
        <v>45658</v>
      </c>
      <c r="C664">
        <v>2025</v>
      </c>
      <c r="D664">
        <v>1</v>
      </c>
      <c r="E664" t="s">
        <v>14</v>
      </c>
      <c r="F664">
        <v>101</v>
      </c>
      <c r="G664" t="s">
        <v>29</v>
      </c>
      <c r="H664" t="s">
        <v>24</v>
      </c>
      <c r="I664">
        <v>0</v>
      </c>
      <c r="J664">
        <v>0</v>
      </c>
      <c r="K664">
        <v>6.1</v>
      </c>
      <c r="L664">
        <v>1734</v>
      </c>
      <c r="M664" t="s">
        <v>17</v>
      </c>
      <c r="N664" t="str">
        <f t="shared" si="70"/>
        <v>streaming</v>
      </c>
      <c r="O664" t="str">
        <f t="shared" si="71"/>
        <v>non-original</v>
      </c>
      <c r="P664" t="str">
        <f t="shared" si="72"/>
        <v>non-franchise</v>
      </c>
      <c r="Q664" t="str">
        <f t="shared" si="73"/>
        <v>new</v>
      </c>
      <c r="R664" s="2">
        <f t="shared" si="74"/>
        <v>6.5443978995118686E-4</v>
      </c>
      <c r="S664">
        <f t="shared" si="75"/>
        <v>0.56757518796992479</v>
      </c>
      <c r="T664" t="str">
        <f t="shared" si="76"/>
        <v>Scenario 3: Strong Convenience</v>
      </c>
    </row>
    <row r="665" spans="1:20" x14ac:dyDescent="0.35">
      <c r="A665" t="s">
        <v>850</v>
      </c>
      <c r="B665" s="1">
        <v>45667</v>
      </c>
      <c r="C665">
        <v>2025</v>
      </c>
      <c r="D665">
        <v>1</v>
      </c>
      <c r="E665" t="s">
        <v>14</v>
      </c>
      <c r="F665">
        <v>98</v>
      </c>
      <c r="G665" t="s">
        <v>49</v>
      </c>
      <c r="H665" t="s">
        <v>24</v>
      </c>
      <c r="I665">
        <v>0</v>
      </c>
      <c r="J665">
        <v>0</v>
      </c>
      <c r="K665">
        <v>5.9</v>
      </c>
      <c r="L665">
        <v>11121</v>
      </c>
      <c r="M665" t="s">
        <v>88</v>
      </c>
      <c r="N665" t="str">
        <f t="shared" si="70"/>
        <v>streaming</v>
      </c>
      <c r="O665" t="str">
        <f t="shared" si="71"/>
        <v>non-original</v>
      </c>
      <c r="P665" t="str">
        <f t="shared" si="72"/>
        <v>non-franchise</v>
      </c>
      <c r="Q665" t="str">
        <f t="shared" si="73"/>
        <v>new</v>
      </c>
      <c r="R665" s="2">
        <f t="shared" si="74"/>
        <v>4.072575517013375E-3</v>
      </c>
      <c r="S665">
        <f t="shared" si="75"/>
        <v>0.55894736842105264</v>
      </c>
      <c r="T665" t="str">
        <f t="shared" si="76"/>
        <v>Scenario 3: Strong Convenience</v>
      </c>
    </row>
    <row r="666" spans="1:20" x14ac:dyDescent="0.35">
      <c r="A666" t="s">
        <v>851</v>
      </c>
      <c r="B666" s="1">
        <v>45674</v>
      </c>
      <c r="C666">
        <v>2025</v>
      </c>
      <c r="D666">
        <v>1</v>
      </c>
      <c r="E666" t="s">
        <v>14</v>
      </c>
      <c r="F666">
        <v>114</v>
      </c>
      <c r="G666" t="s">
        <v>41</v>
      </c>
      <c r="H666" t="s">
        <v>27</v>
      </c>
      <c r="I666">
        <v>0</v>
      </c>
      <c r="J666">
        <v>0</v>
      </c>
      <c r="K666">
        <v>5.9</v>
      </c>
      <c r="L666">
        <v>65650</v>
      </c>
      <c r="M666" t="s">
        <v>88</v>
      </c>
      <c r="N666" t="str">
        <f t="shared" si="70"/>
        <v>streaming</v>
      </c>
      <c r="O666" t="str">
        <f t="shared" si="71"/>
        <v>non-original</v>
      </c>
      <c r="P666" t="str">
        <f t="shared" si="72"/>
        <v>non-franchise</v>
      </c>
      <c r="Q666" t="str">
        <f t="shared" si="73"/>
        <v>new</v>
      </c>
      <c r="R666" s="2">
        <f t="shared" si="74"/>
        <v>2.7966544657083585E-2</v>
      </c>
      <c r="S666">
        <f t="shared" si="75"/>
        <v>0.50571428571428578</v>
      </c>
      <c r="T666" t="str">
        <f t="shared" si="76"/>
        <v>Scenario 3: Strong Convenience</v>
      </c>
    </row>
    <row r="667" spans="1:20" x14ac:dyDescent="0.35">
      <c r="A667" t="s">
        <v>852</v>
      </c>
      <c r="B667" s="1">
        <v>45688</v>
      </c>
      <c r="C667">
        <v>2025</v>
      </c>
      <c r="D667">
        <v>1</v>
      </c>
      <c r="E667" t="s">
        <v>14</v>
      </c>
      <c r="F667">
        <v>96</v>
      </c>
      <c r="G667" t="s">
        <v>34</v>
      </c>
      <c r="H667" t="s">
        <v>27</v>
      </c>
      <c r="I667">
        <v>0</v>
      </c>
      <c r="J667">
        <v>0</v>
      </c>
      <c r="K667">
        <v>6.9</v>
      </c>
      <c r="L667">
        <v>1784</v>
      </c>
      <c r="M667" t="s">
        <v>88</v>
      </c>
      <c r="N667" t="str">
        <f t="shared" si="70"/>
        <v>streaming</v>
      </c>
      <c r="O667" t="str">
        <f t="shared" si="71"/>
        <v>non-original</v>
      </c>
      <c r="P667" t="str">
        <f t="shared" si="72"/>
        <v>non-franchise</v>
      </c>
      <c r="Q667" t="str">
        <f t="shared" si="73"/>
        <v>new</v>
      </c>
      <c r="R667" s="2">
        <f t="shared" si="74"/>
        <v>6.3997839475030572E-4</v>
      </c>
      <c r="S667">
        <f t="shared" si="75"/>
        <v>0.66146616541353398</v>
      </c>
      <c r="T667" t="str">
        <f t="shared" si="76"/>
        <v>Scenario 3: Strong Convenience</v>
      </c>
    </row>
    <row r="668" spans="1:20" x14ac:dyDescent="0.35">
      <c r="A668" t="s">
        <v>853</v>
      </c>
      <c r="B668" s="1">
        <v>45693</v>
      </c>
      <c r="C668">
        <v>2025</v>
      </c>
      <c r="D668">
        <v>2</v>
      </c>
      <c r="E668" t="s">
        <v>14</v>
      </c>
      <c r="F668">
        <v>100</v>
      </c>
      <c r="G668" t="s">
        <v>21</v>
      </c>
      <c r="H668" t="s">
        <v>24</v>
      </c>
      <c r="I668">
        <v>0</v>
      </c>
      <c r="J668">
        <v>0</v>
      </c>
      <c r="K668">
        <v>4.9000000000000004</v>
      </c>
      <c r="L668">
        <v>18012</v>
      </c>
      <c r="M668" t="s">
        <v>17</v>
      </c>
      <c r="N668" t="str">
        <f t="shared" si="70"/>
        <v>streaming</v>
      </c>
      <c r="O668" t="str">
        <f t="shared" si="71"/>
        <v>non-original</v>
      </c>
      <c r="P668" t="str">
        <f t="shared" si="72"/>
        <v>non-franchise</v>
      </c>
      <c r="Q668" t="str">
        <f t="shared" si="73"/>
        <v>new</v>
      </c>
      <c r="R668" s="2">
        <f t="shared" si="74"/>
        <v>6.7307144795418225E-3</v>
      </c>
      <c r="S668">
        <f t="shared" si="75"/>
        <v>0.45868421052631586</v>
      </c>
      <c r="T668" t="str">
        <f t="shared" si="76"/>
        <v>Scenario 2: Weak Commitment/Convenience</v>
      </c>
    </row>
    <row r="669" spans="1:20" x14ac:dyDescent="0.35">
      <c r="A669" t="s">
        <v>854</v>
      </c>
      <c r="B669" s="1">
        <v>45699</v>
      </c>
      <c r="C669">
        <v>2025</v>
      </c>
      <c r="D669">
        <v>2</v>
      </c>
      <c r="E669" t="s">
        <v>14</v>
      </c>
      <c r="F669">
        <v>91</v>
      </c>
      <c r="G669" t="s">
        <v>855</v>
      </c>
      <c r="H669" t="s">
        <v>24</v>
      </c>
      <c r="I669">
        <v>0</v>
      </c>
      <c r="J669">
        <v>0</v>
      </c>
      <c r="K669">
        <v>6.1</v>
      </c>
      <c r="L669">
        <v>11057</v>
      </c>
      <c r="M669" t="s">
        <v>17</v>
      </c>
      <c r="N669" t="str">
        <f t="shared" si="70"/>
        <v>streaming</v>
      </c>
      <c r="O669" t="str">
        <f t="shared" si="71"/>
        <v>non-original</v>
      </c>
      <c r="P669" t="str">
        <f t="shared" si="72"/>
        <v>non-franchise</v>
      </c>
      <c r="Q669" t="str">
        <f t="shared" si="73"/>
        <v>new</v>
      </c>
      <c r="R669" s="2">
        <f t="shared" si="74"/>
        <v>3.7599141738989279E-3</v>
      </c>
      <c r="S669">
        <f t="shared" si="75"/>
        <v>0.60197368421052633</v>
      </c>
      <c r="T669" t="str">
        <f t="shared" si="76"/>
        <v>Scenario 3: Strong Convenience</v>
      </c>
    </row>
    <row r="670" spans="1:20" x14ac:dyDescent="0.35">
      <c r="A670" t="s">
        <v>856</v>
      </c>
      <c r="B670" s="1">
        <v>45700</v>
      </c>
      <c r="C670">
        <v>2025</v>
      </c>
      <c r="D670">
        <v>2</v>
      </c>
      <c r="E670" t="s">
        <v>14</v>
      </c>
      <c r="F670">
        <v>106</v>
      </c>
      <c r="G670" t="s">
        <v>21</v>
      </c>
      <c r="H670" t="s">
        <v>27</v>
      </c>
      <c r="I670">
        <v>0</v>
      </c>
      <c r="J670">
        <v>0</v>
      </c>
      <c r="K670">
        <v>4.8</v>
      </c>
      <c r="L670">
        <v>696</v>
      </c>
      <c r="M670" t="s">
        <v>17</v>
      </c>
      <c r="N670" t="str">
        <f t="shared" si="70"/>
        <v>streaming</v>
      </c>
      <c r="O670" t="str">
        <f t="shared" si="71"/>
        <v>non-original</v>
      </c>
      <c r="P670" t="str">
        <f t="shared" si="72"/>
        <v>non-franchise</v>
      </c>
      <c r="Q670" t="str">
        <f t="shared" si="73"/>
        <v>new</v>
      </c>
      <c r="R670" s="2">
        <f t="shared" si="74"/>
        <v>2.7568576029462442E-4</v>
      </c>
      <c r="S670">
        <f t="shared" si="75"/>
        <v>0.43308270676691724</v>
      </c>
      <c r="T670" t="str">
        <f t="shared" si="76"/>
        <v>Scenario 2: Weak Commitment/Convenience</v>
      </c>
    </row>
    <row r="671" spans="1:20" x14ac:dyDescent="0.35">
      <c r="A671" t="s">
        <v>857</v>
      </c>
      <c r="B671" s="1">
        <v>45700</v>
      </c>
      <c r="C671">
        <v>2025</v>
      </c>
      <c r="D671">
        <v>2</v>
      </c>
      <c r="E671" t="s">
        <v>14</v>
      </c>
      <c r="F671">
        <v>95</v>
      </c>
      <c r="G671" t="s">
        <v>21</v>
      </c>
      <c r="H671" t="s">
        <v>24</v>
      </c>
      <c r="I671">
        <v>0</v>
      </c>
      <c r="J671">
        <v>0</v>
      </c>
      <c r="K671">
        <v>5.6</v>
      </c>
      <c r="L671">
        <v>3624</v>
      </c>
      <c r="M671" t="s">
        <v>17</v>
      </c>
      <c r="N671" t="str">
        <f t="shared" si="70"/>
        <v>streaming</v>
      </c>
      <c r="O671" t="str">
        <f t="shared" si="71"/>
        <v>non-original</v>
      </c>
      <c r="P671" t="str">
        <f t="shared" si="72"/>
        <v>non-franchise</v>
      </c>
      <c r="Q671" t="str">
        <f t="shared" si="73"/>
        <v>new</v>
      </c>
      <c r="R671" s="2">
        <f t="shared" si="74"/>
        <v>1.2865036536845763E-3</v>
      </c>
      <c r="S671">
        <f t="shared" si="75"/>
        <v>0.53999999999999981</v>
      </c>
      <c r="T671" t="str">
        <f t="shared" si="76"/>
        <v>Scenario 3: Strong Convenience</v>
      </c>
    </row>
    <row r="672" spans="1:20" x14ac:dyDescent="0.35">
      <c r="A672" t="s">
        <v>858</v>
      </c>
      <c r="B672" s="1">
        <v>45701</v>
      </c>
      <c r="C672">
        <v>2025</v>
      </c>
      <c r="D672">
        <v>2</v>
      </c>
      <c r="E672" t="s">
        <v>14</v>
      </c>
      <c r="F672">
        <v>99</v>
      </c>
      <c r="G672" t="s">
        <v>29</v>
      </c>
      <c r="H672" t="s">
        <v>56</v>
      </c>
      <c r="I672">
        <v>0</v>
      </c>
      <c r="J672">
        <v>0</v>
      </c>
      <c r="K672">
        <v>6</v>
      </c>
      <c r="L672">
        <v>12445</v>
      </c>
      <c r="M672" t="s">
        <v>17</v>
      </c>
      <c r="N672" t="str">
        <f t="shared" si="70"/>
        <v>streaming</v>
      </c>
      <c r="O672" t="str">
        <f t="shared" si="71"/>
        <v>non-original</v>
      </c>
      <c r="P672" t="str">
        <f t="shared" si="72"/>
        <v>non-franchise</v>
      </c>
      <c r="Q672" t="str">
        <f t="shared" si="73"/>
        <v>new</v>
      </c>
      <c r="R672" s="2">
        <f t="shared" si="74"/>
        <v>4.6039365023828006E-3</v>
      </c>
      <c r="S672">
        <f t="shared" si="75"/>
        <v>0.56503759398496234</v>
      </c>
      <c r="T672" t="str">
        <f t="shared" si="76"/>
        <v>Scenario 3: Strong Convenience</v>
      </c>
    </row>
    <row r="673" spans="1:20" x14ac:dyDescent="0.35">
      <c r="A673" t="s">
        <v>859</v>
      </c>
      <c r="B673" s="1">
        <v>45702</v>
      </c>
      <c r="C673">
        <v>2025</v>
      </c>
      <c r="D673">
        <v>2</v>
      </c>
      <c r="E673" t="s">
        <v>14</v>
      </c>
      <c r="F673">
        <v>108</v>
      </c>
      <c r="G673" t="s">
        <v>29</v>
      </c>
      <c r="H673" t="s">
        <v>24</v>
      </c>
      <c r="I673">
        <v>0</v>
      </c>
      <c r="J673">
        <v>0</v>
      </c>
      <c r="K673">
        <v>6.4</v>
      </c>
      <c r="L673">
        <v>8485</v>
      </c>
      <c r="M673" t="s">
        <v>17</v>
      </c>
      <c r="N673" t="str">
        <f t="shared" si="70"/>
        <v>streaming</v>
      </c>
      <c r="O673" t="str">
        <f t="shared" si="71"/>
        <v>non-original</v>
      </c>
      <c r="P673" t="str">
        <f t="shared" si="72"/>
        <v>non-franchise</v>
      </c>
      <c r="Q673" t="str">
        <f t="shared" si="73"/>
        <v>new</v>
      </c>
      <c r="R673" s="2">
        <f t="shared" si="74"/>
        <v>3.4243238589621002E-3</v>
      </c>
      <c r="S673">
        <f t="shared" si="75"/>
        <v>0.57022556390977441</v>
      </c>
      <c r="T673" t="str">
        <f t="shared" si="76"/>
        <v>Scenario 3: Strong Convenience</v>
      </c>
    </row>
    <row r="674" spans="1:20" x14ac:dyDescent="0.35">
      <c r="A674" t="s">
        <v>860</v>
      </c>
      <c r="B674" s="1">
        <v>45702</v>
      </c>
      <c r="C674">
        <v>2025</v>
      </c>
      <c r="D674">
        <v>2</v>
      </c>
      <c r="E674" t="s">
        <v>14</v>
      </c>
      <c r="F674">
        <v>96</v>
      </c>
      <c r="G674" t="s">
        <v>29</v>
      </c>
      <c r="H674" t="s">
        <v>24</v>
      </c>
      <c r="I674">
        <v>0</v>
      </c>
      <c r="J674">
        <v>0</v>
      </c>
      <c r="K674">
        <v>5.2</v>
      </c>
      <c r="L674">
        <v>1915</v>
      </c>
      <c r="M674" t="s">
        <v>17</v>
      </c>
      <c r="N674" t="str">
        <f t="shared" si="70"/>
        <v>streaming</v>
      </c>
      <c r="O674" t="str">
        <f t="shared" si="71"/>
        <v>non-original</v>
      </c>
      <c r="P674" t="str">
        <f t="shared" si="72"/>
        <v>non-franchise</v>
      </c>
      <c r="Q674" t="str">
        <f t="shared" si="73"/>
        <v>new</v>
      </c>
      <c r="R674" s="2">
        <f t="shared" si="74"/>
        <v>6.8697232396123067E-4</v>
      </c>
      <c r="S674">
        <f t="shared" si="75"/>
        <v>0.49849624060150377</v>
      </c>
      <c r="T674" t="str">
        <f t="shared" si="76"/>
        <v>Scenario 2: Weak Commitment/Convenience</v>
      </c>
    </row>
    <row r="675" spans="1:20" x14ac:dyDescent="0.35">
      <c r="A675" t="s">
        <v>861</v>
      </c>
      <c r="B675" s="1">
        <v>45702</v>
      </c>
      <c r="C675">
        <v>2025</v>
      </c>
      <c r="D675">
        <v>2</v>
      </c>
      <c r="E675" t="s">
        <v>14</v>
      </c>
      <c r="F675">
        <v>122</v>
      </c>
      <c r="G675" t="s">
        <v>29</v>
      </c>
      <c r="H675" t="s">
        <v>27</v>
      </c>
      <c r="I675">
        <v>0</v>
      </c>
      <c r="J675">
        <v>0</v>
      </c>
      <c r="K675">
        <v>6.2</v>
      </c>
      <c r="L675">
        <v>1107</v>
      </c>
      <c r="M675" t="s">
        <v>17</v>
      </c>
      <c r="N675" t="str">
        <f t="shared" si="70"/>
        <v>streaming</v>
      </c>
      <c r="O675" t="str">
        <f t="shared" si="71"/>
        <v>non-original</v>
      </c>
      <c r="P675" t="str">
        <f t="shared" si="72"/>
        <v>non-franchise</v>
      </c>
      <c r="Q675" t="str">
        <f t="shared" si="73"/>
        <v>new</v>
      </c>
      <c r="R675" s="2">
        <f t="shared" si="74"/>
        <v>5.0466906135911681E-4</v>
      </c>
      <c r="S675">
        <f t="shared" si="75"/>
        <v>0.50345864661654127</v>
      </c>
      <c r="T675" t="str">
        <f t="shared" si="76"/>
        <v>Scenario 3: Strong Convenience</v>
      </c>
    </row>
    <row r="676" spans="1:20" x14ac:dyDescent="0.35">
      <c r="A676" t="s">
        <v>862</v>
      </c>
      <c r="B676" s="1">
        <v>45702</v>
      </c>
      <c r="C676">
        <v>2025</v>
      </c>
      <c r="D676">
        <v>2</v>
      </c>
      <c r="E676" t="s">
        <v>14</v>
      </c>
      <c r="F676">
        <v>78</v>
      </c>
      <c r="G676" t="s">
        <v>29</v>
      </c>
      <c r="H676" t="s">
        <v>24</v>
      </c>
      <c r="I676">
        <v>0</v>
      </c>
      <c r="J676">
        <v>0</v>
      </c>
      <c r="K676">
        <v>4.0999999999999996</v>
      </c>
      <c r="L676">
        <v>170</v>
      </c>
      <c r="M676" t="s">
        <v>17</v>
      </c>
      <c r="N676" t="str">
        <f t="shared" si="70"/>
        <v>streaming</v>
      </c>
      <c r="O676" t="str">
        <f t="shared" si="71"/>
        <v>non-original</v>
      </c>
      <c r="P676" t="str">
        <f t="shared" si="72"/>
        <v>non-franchise</v>
      </c>
      <c r="Q676" t="str">
        <f t="shared" si="73"/>
        <v>new</v>
      </c>
      <c r="R676" s="2">
        <f t="shared" si="74"/>
        <v>4.9549896734801557E-5</v>
      </c>
      <c r="S676">
        <f t="shared" si="75"/>
        <v>0.43466165413533836</v>
      </c>
      <c r="T676" t="str">
        <f t="shared" si="76"/>
        <v>Scenario 2: Weak Commitment/Convenience</v>
      </c>
    </row>
    <row r="677" spans="1:20" x14ac:dyDescent="0.35">
      <c r="A677" t="s">
        <v>863</v>
      </c>
      <c r="B677" s="1">
        <v>45714</v>
      </c>
      <c r="C677">
        <v>2025</v>
      </c>
      <c r="D677">
        <v>2</v>
      </c>
      <c r="E677" t="s">
        <v>14</v>
      </c>
      <c r="F677">
        <v>105</v>
      </c>
      <c r="G677" t="s">
        <v>269</v>
      </c>
      <c r="H677" t="s">
        <v>24</v>
      </c>
      <c r="I677">
        <v>0</v>
      </c>
      <c r="J677">
        <v>0</v>
      </c>
      <c r="K677">
        <v>6.3</v>
      </c>
      <c r="L677">
        <v>2265</v>
      </c>
      <c r="M677" t="s">
        <v>17</v>
      </c>
      <c r="N677" t="str">
        <f t="shared" si="70"/>
        <v>streaming</v>
      </c>
      <c r="O677" t="str">
        <f t="shared" si="71"/>
        <v>non-original</v>
      </c>
      <c r="P677" t="str">
        <f t="shared" si="72"/>
        <v>non-franchise</v>
      </c>
      <c r="Q677" t="str">
        <f t="shared" si="73"/>
        <v>new</v>
      </c>
      <c r="R677" s="2">
        <f t="shared" si="74"/>
        <v>8.8870318182158233E-4</v>
      </c>
      <c r="S677">
        <f t="shared" si="75"/>
        <v>0.5719736842105263</v>
      </c>
      <c r="T677" t="str">
        <f t="shared" si="76"/>
        <v>Scenario 3: Strong Convenience</v>
      </c>
    </row>
    <row r="678" spans="1:20" x14ac:dyDescent="0.35">
      <c r="A678" t="s">
        <v>864</v>
      </c>
      <c r="B678" s="1">
        <v>45715</v>
      </c>
      <c r="C678">
        <v>2025</v>
      </c>
      <c r="D678">
        <v>2</v>
      </c>
      <c r="E678" t="s">
        <v>14</v>
      </c>
      <c r="F678">
        <v>107</v>
      </c>
      <c r="G678" t="s">
        <v>865</v>
      </c>
      <c r="H678" t="s">
        <v>24</v>
      </c>
      <c r="I678">
        <v>1</v>
      </c>
      <c r="J678">
        <v>0</v>
      </c>
      <c r="K678">
        <v>5.4</v>
      </c>
      <c r="L678">
        <v>6246</v>
      </c>
      <c r="M678" t="s">
        <v>88</v>
      </c>
      <c r="N678" t="str">
        <f t="shared" si="70"/>
        <v>streaming</v>
      </c>
      <c r="O678" t="str">
        <f t="shared" si="71"/>
        <v>original</v>
      </c>
      <c r="P678" t="str">
        <f t="shared" si="72"/>
        <v>non-franchise</v>
      </c>
      <c r="Q678" t="str">
        <f t="shared" si="73"/>
        <v>old</v>
      </c>
      <c r="R678" s="2">
        <f t="shared" si="74"/>
        <v>3.7460730866058878E-3</v>
      </c>
      <c r="S678">
        <f t="shared" si="75"/>
        <v>0.32278195488721811</v>
      </c>
      <c r="T678" t="str">
        <f t="shared" si="76"/>
        <v>Scenario 2: Weak Commitment/Convenience</v>
      </c>
    </row>
    <row r="679" spans="1:20" x14ac:dyDescent="0.35">
      <c r="A679" t="s">
        <v>866</v>
      </c>
      <c r="B679" s="1">
        <v>45715</v>
      </c>
      <c r="C679">
        <v>2025</v>
      </c>
      <c r="D679">
        <v>2</v>
      </c>
      <c r="E679" t="s">
        <v>14</v>
      </c>
      <c r="F679">
        <v>94</v>
      </c>
      <c r="G679" t="s">
        <v>34</v>
      </c>
      <c r="H679" t="s">
        <v>30</v>
      </c>
      <c r="I679">
        <v>0</v>
      </c>
      <c r="J679">
        <v>0</v>
      </c>
      <c r="K679">
        <v>6</v>
      </c>
      <c r="L679">
        <v>1267</v>
      </c>
      <c r="M679" t="s">
        <v>17</v>
      </c>
      <c r="N679" t="str">
        <f t="shared" si="70"/>
        <v>streaming</v>
      </c>
      <c r="O679" t="str">
        <f t="shared" si="71"/>
        <v>non-original</v>
      </c>
      <c r="P679" t="str">
        <f t="shared" si="72"/>
        <v>non-franchise</v>
      </c>
      <c r="Q679" t="str">
        <f t="shared" si="73"/>
        <v>new</v>
      </c>
      <c r="R679" s="2">
        <f t="shared" si="74"/>
        <v>4.4504476631383077E-4</v>
      </c>
      <c r="S679">
        <f t="shared" si="75"/>
        <v>0.58195488721804511</v>
      </c>
      <c r="T679" t="str">
        <f t="shared" si="76"/>
        <v>Scenario 3: Strong Convenience</v>
      </c>
    </row>
    <row r="680" spans="1:20" x14ac:dyDescent="0.35">
      <c r="A680" t="s">
        <v>867</v>
      </c>
      <c r="B680" s="1">
        <v>45715</v>
      </c>
      <c r="C680">
        <v>2025</v>
      </c>
      <c r="D680">
        <v>2</v>
      </c>
      <c r="E680" t="s">
        <v>14</v>
      </c>
      <c r="F680">
        <v>103</v>
      </c>
      <c r="G680" t="s">
        <v>29</v>
      </c>
      <c r="H680" t="s">
        <v>24</v>
      </c>
      <c r="I680">
        <v>0</v>
      </c>
      <c r="J680">
        <v>0</v>
      </c>
      <c r="K680">
        <v>5</v>
      </c>
      <c r="L680">
        <v>389</v>
      </c>
      <c r="M680" t="s">
        <v>17</v>
      </c>
      <c r="N680" t="str">
        <f t="shared" si="70"/>
        <v>streaming</v>
      </c>
      <c r="O680" t="str">
        <f t="shared" si="71"/>
        <v>non-original</v>
      </c>
      <c r="P680" t="str">
        <f t="shared" si="72"/>
        <v>non-franchise</v>
      </c>
      <c r="Q680" t="str">
        <f t="shared" si="73"/>
        <v>new</v>
      </c>
      <c r="R680" s="2">
        <f t="shared" si="74"/>
        <v>1.4972215026193774E-4</v>
      </c>
      <c r="S680">
        <f t="shared" si="75"/>
        <v>0.45958646616541349</v>
      </c>
      <c r="T680" t="str">
        <f t="shared" si="76"/>
        <v>Scenario 2: Weak Commitment/Convenience</v>
      </c>
    </row>
    <row r="681" spans="1:20" x14ac:dyDescent="0.35">
      <c r="A681" t="s">
        <v>868</v>
      </c>
      <c r="B681" s="1">
        <v>45716</v>
      </c>
      <c r="C681">
        <v>2025</v>
      </c>
      <c r="D681">
        <v>2</v>
      </c>
      <c r="E681" t="s">
        <v>14</v>
      </c>
      <c r="F681">
        <v>124</v>
      </c>
      <c r="G681" t="s">
        <v>76</v>
      </c>
      <c r="H681" t="s">
        <v>24</v>
      </c>
      <c r="I681">
        <v>0</v>
      </c>
      <c r="J681">
        <v>0</v>
      </c>
      <c r="K681">
        <v>5.5</v>
      </c>
      <c r="L681">
        <v>3144</v>
      </c>
      <c r="M681" t="s">
        <v>88</v>
      </c>
      <c r="N681" t="str">
        <f t="shared" si="70"/>
        <v>streaming</v>
      </c>
      <c r="O681" t="str">
        <f t="shared" si="71"/>
        <v>non-original</v>
      </c>
      <c r="P681" t="str">
        <f t="shared" si="72"/>
        <v>non-franchise</v>
      </c>
      <c r="Q681" t="str">
        <f t="shared" si="73"/>
        <v>new</v>
      </c>
      <c r="R681" s="2">
        <f t="shared" si="74"/>
        <v>1.4568118055386726E-3</v>
      </c>
      <c r="S681">
        <f t="shared" si="75"/>
        <v>0.44041353383458653</v>
      </c>
      <c r="T681" t="str">
        <f t="shared" si="76"/>
        <v>Scenario 2: Weak Commitment/Convenience</v>
      </c>
    </row>
    <row r="682" spans="1:20" x14ac:dyDescent="0.35">
      <c r="A682" t="s">
        <v>869</v>
      </c>
      <c r="B682" s="1">
        <v>45723</v>
      </c>
      <c r="C682">
        <v>2025</v>
      </c>
      <c r="D682">
        <v>3</v>
      </c>
      <c r="E682" t="s">
        <v>38</v>
      </c>
      <c r="F682">
        <v>102</v>
      </c>
      <c r="G682" t="s">
        <v>34</v>
      </c>
      <c r="H682" t="s">
        <v>24</v>
      </c>
      <c r="I682">
        <v>0</v>
      </c>
      <c r="J682">
        <v>0</v>
      </c>
      <c r="K682">
        <v>4.4000000000000004</v>
      </c>
      <c r="L682">
        <v>6230</v>
      </c>
      <c r="M682" t="s">
        <v>17</v>
      </c>
      <c r="N682" t="str">
        <f t="shared" si="70"/>
        <v>streaming</v>
      </c>
      <c r="O682" t="str">
        <f t="shared" si="71"/>
        <v>non-original</v>
      </c>
      <c r="P682" t="str">
        <f t="shared" si="72"/>
        <v>non-franchise</v>
      </c>
      <c r="Q682" t="str">
        <f t="shared" si="73"/>
        <v>new</v>
      </c>
      <c r="R682" s="2">
        <f t="shared" si="74"/>
        <v>2.374583512752413E-3</v>
      </c>
      <c r="S682">
        <f t="shared" si="75"/>
        <v>0.40691729323308284</v>
      </c>
      <c r="T682" t="str">
        <f t="shared" si="76"/>
        <v>Scenario 2: Weak Commitment/Convenience</v>
      </c>
    </row>
    <row r="683" spans="1:20" x14ac:dyDescent="0.35">
      <c r="A683" t="s">
        <v>870</v>
      </c>
      <c r="B683" s="1">
        <v>45723</v>
      </c>
      <c r="C683">
        <v>2025</v>
      </c>
      <c r="D683">
        <v>3</v>
      </c>
      <c r="E683" t="s">
        <v>38</v>
      </c>
      <c r="F683">
        <v>119</v>
      </c>
      <c r="G683" t="s">
        <v>29</v>
      </c>
      <c r="H683" t="s">
        <v>27</v>
      </c>
      <c r="I683">
        <v>0</v>
      </c>
      <c r="J683">
        <v>0</v>
      </c>
      <c r="K683">
        <v>3</v>
      </c>
      <c r="L683">
        <v>16024</v>
      </c>
      <c r="M683" t="s">
        <v>17</v>
      </c>
      <c r="N683" t="str">
        <f t="shared" si="70"/>
        <v>streaming</v>
      </c>
      <c r="O683" t="str">
        <f t="shared" si="71"/>
        <v>non-original</v>
      </c>
      <c r="P683" t="str">
        <f t="shared" si="72"/>
        <v>non-franchise</v>
      </c>
      <c r="Q683" t="str">
        <f t="shared" si="73"/>
        <v>new</v>
      </c>
      <c r="R683" s="2">
        <f t="shared" si="74"/>
        <v>7.125529252499002E-3</v>
      </c>
      <c r="S683">
        <f t="shared" si="75"/>
        <v>0.24868421052631573</v>
      </c>
      <c r="T683" t="str">
        <f t="shared" si="76"/>
        <v>Scenario 2: Weak Commitment/Convenience</v>
      </c>
    </row>
    <row r="684" spans="1:20" x14ac:dyDescent="0.35">
      <c r="A684" t="s">
        <v>871</v>
      </c>
      <c r="B684" s="1">
        <v>45723</v>
      </c>
      <c r="C684">
        <v>2025</v>
      </c>
      <c r="D684">
        <v>3</v>
      </c>
      <c r="E684" t="s">
        <v>38</v>
      </c>
      <c r="F684">
        <v>87</v>
      </c>
      <c r="G684" t="s">
        <v>872</v>
      </c>
      <c r="H684" t="s">
        <v>86</v>
      </c>
      <c r="I684">
        <v>0</v>
      </c>
      <c r="J684">
        <v>0</v>
      </c>
      <c r="K684">
        <v>5.3</v>
      </c>
      <c r="L684">
        <v>4553</v>
      </c>
      <c r="M684" t="s">
        <v>88</v>
      </c>
      <c r="N684" t="str">
        <f t="shared" si="70"/>
        <v>streaming</v>
      </c>
      <c r="O684" t="str">
        <f t="shared" si="71"/>
        <v>non-original</v>
      </c>
      <c r="P684" t="str">
        <f t="shared" si="72"/>
        <v>non-franchise</v>
      </c>
      <c r="Q684" t="str">
        <f t="shared" si="73"/>
        <v>new</v>
      </c>
      <c r="R684" s="2">
        <f t="shared" si="74"/>
        <v>1.4801854559214919E-3</v>
      </c>
      <c r="S684">
        <f t="shared" si="75"/>
        <v>0.53498120300751872</v>
      </c>
      <c r="T684" t="str">
        <f t="shared" si="76"/>
        <v>Scenario 3: Strong Convenience</v>
      </c>
    </row>
    <row r="685" spans="1:20" x14ac:dyDescent="0.35">
      <c r="A685" t="s">
        <v>873</v>
      </c>
      <c r="B685" s="1">
        <v>45730</v>
      </c>
      <c r="C685">
        <v>2025</v>
      </c>
      <c r="D685">
        <v>3</v>
      </c>
      <c r="E685" t="s">
        <v>38</v>
      </c>
      <c r="F685">
        <v>128</v>
      </c>
      <c r="G685" t="s">
        <v>874</v>
      </c>
      <c r="H685" t="s">
        <v>27</v>
      </c>
      <c r="I685">
        <v>0</v>
      </c>
      <c r="J685">
        <v>0</v>
      </c>
      <c r="K685">
        <v>5.9</v>
      </c>
      <c r="L685">
        <v>82982</v>
      </c>
      <c r="M685" t="s">
        <v>88</v>
      </c>
      <c r="N685" t="str">
        <f t="shared" si="70"/>
        <v>streaming</v>
      </c>
      <c r="O685" t="str">
        <f t="shared" si="71"/>
        <v>non-original</v>
      </c>
      <c r="P685" t="str">
        <f t="shared" si="72"/>
        <v>non-franchise</v>
      </c>
      <c r="Q685" t="str">
        <f t="shared" si="73"/>
        <v>new</v>
      </c>
      <c r="R685" s="2">
        <f t="shared" si="74"/>
        <v>3.9691096527032795E-2</v>
      </c>
      <c r="S685">
        <f t="shared" si="75"/>
        <v>0.45913533834586473</v>
      </c>
      <c r="T685" t="str">
        <f t="shared" si="76"/>
        <v>Scenario 1: Strong Commitment</v>
      </c>
    </row>
    <row r="686" spans="1:20" x14ac:dyDescent="0.35">
      <c r="A686" t="s">
        <v>875</v>
      </c>
      <c r="B686" s="1">
        <v>45737</v>
      </c>
      <c r="C686">
        <v>2025</v>
      </c>
      <c r="D686">
        <v>3</v>
      </c>
      <c r="E686" t="s">
        <v>38</v>
      </c>
      <c r="F686">
        <v>106</v>
      </c>
      <c r="G686" t="s">
        <v>116</v>
      </c>
      <c r="H686" t="s">
        <v>24</v>
      </c>
      <c r="I686">
        <v>0</v>
      </c>
      <c r="J686">
        <v>0</v>
      </c>
      <c r="K686">
        <v>5.2</v>
      </c>
      <c r="L686">
        <v>1851</v>
      </c>
      <c r="M686" t="s">
        <v>17</v>
      </c>
      <c r="N686" t="str">
        <f t="shared" si="70"/>
        <v>streaming</v>
      </c>
      <c r="O686" t="str">
        <f t="shared" si="71"/>
        <v>non-original</v>
      </c>
      <c r="P686" t="str">
        <f t="shared" si="72"/>
        <v>non-franchise</v>
      </c>
      <c r="Q686" t="str">
        <f t="shared" si="73"/>
        <v>new</v>
      </c>
      <c r="R686" s="2">
        <f t="shared" si="74"/>
        <v>7.3318152630078991E-4</v>
      </c>
      <c r="S686">
        <f t="shared" si="75"/>
        <v>0.46917293233082707</v>
      </c>
      <c r="T686" t="str">
        <f t="shared" si="76"/>
        <v>Scenario 2: Weak Commitment/Convenience</v>
      </c>
    </row>
    <row r="687" spans="1:20" x14ac:dyDescent="0.35">
      <c r="A687" t="s">
        <v>876</v>
      </c>
      <c r="B687" s="1">
        <v>45737</v>
      </c>
      <c r="C687">
        <v>2025</v>
      </c>
      <c r="D687">
        <v>3</v>
      </c>
      <c r="E687" t="s">
        <v>38</v>
      </c>
      <c r="F687">
        <v>122</v>
      </c>
      <c r="G687" t="s">
        <v>19</v>
      </c>
      <c r="H687" t="s">
        <v>24</v>
      </c>
      <c r="I687">
        <v>0</v>
      </c>
      <c r="J687">
        <v>0</v>
      </c>
      <c r="K687">
        <v>6</v>
      </c>
      <c r="L687">
        <v>5286</v>
      </c>
      <c r="M687" t="s">
        <v>17</v>
      </c>
      <c r="N687" t="str">
        <f t="shared" si="70"/>
        <v>streaming</v>
      </c>
      <c r="O687" t="str">
        <f t="shared" si="71"/>
        <v>non-original</v>
      </c>
      <c r="P687" t="str">
        <f t="shared" si="72"/>
        <v>non-franchise</v>
      </c>
      <c r="Q687" t="str">
        <f t="shared" si="73"/>
        <v>new</v>
      </c>
      <c r="R687" s="2">
        <f t="shared" si="74"/>
        <v>2.4098289596606068E-3</v>
      </c>
      <c r="S687">
        <f t="shared" si="75"/>
        <v>0.48721804511278188</v>
      </c>
      <c r="T687" t="str">
        <f t="shared" si="76"/>
        <v>Scenario 2: Weak Commitment/Convenience</v>
      </c>
    </row>
    <row r="688" spans="1:20" x14ac:dyDescent="0.35">
      <c r="A688" t="s">
        <v>877</v>
      </c>
      <c r="B688" s="1">
        <v>45744</v>
      </c>
      <c r="C688">
        <v>2025</v>
      </c>
      <c r="D688">
        <v>3</v>
      </c>
      <c r="E688" t="s">
        <v>38</v>
      </c>
      <c r="F688">
        <v>125</v>
      </c>
      <c r="G688" t="s">
        <v>29</v>
      </c>
      <c r="H688" t="s">
        <v>27</v>
      </c>
      <c r="I688">
        <v>0</v>
      </c>
      <c r="J688">
        <v>0</v>
      </c>
      <c r="K688">
        <v>6.8</v>
      </c>
      <c r="L688">
        <v>39203</v>
      </c>
      <c r="M688" t="s">
        <v>88</v>
      </c>
      <c r="N688" t="str">
        <f t="shared" si="70"/>
        <v>streaming</v>
      </c>
      <c r="O688" t="str">
        <f t="shared" si="71"/>
        <v>non-original</v>
      </c>
      <c r="P688" t="str">
        <f t="shared" si="72"/>
        <v>non-franchise</v>
      </c>
      <c r="Q688" t="str">
        <f t="shared" si="73"/>
        <v>new</v>
      </c>
      <c r="R688" s="2">
        <f t="shared" si="74"/>
        <v>1.8311694963182745E-2</v>
      </c>
      <c r="S688">
        <f t="shared" si="75"/>
        <v>0.54067669172932331</v>
      </c>
      <c r="T688" t="str">
        <f t="shared" si="76"/>
        <v>Scenario 3: Strong Convenience</v>
      </c>
    </row>
    <row r="689" spans="1:20" x14ac:dyDescent="0.35">
      <c r="A689" t="s">
        <v>878</v>
      </c>
      <c r="B689" s="1">
        <v>45747</v>
      </c>
      <c r="C689">
        <v>2025</v>
      </c>
      <c r="D689">
        <v>3</v>
      </c>
      <c r="E689" t="s">
        <v>38</v>
      </c>
      <c r="F689">
        <v>109</v>
      </c>
      <c r="G689" t="s">
        <v>879</v>
      </c>
      <c r="H689" t="s">
        <v>27</v>
      </c>
      <c r="I689">
        <v>0</v>
      </c>
      <c r="J689">
        <v>0</v>
      </c>
      <c r="K689">
        <v>5.2</v>
      </c>
      <c r="L689">
        <v>374</v>
      </c>
      <c r="M689" t="s">
        <v>17</v>
      </c>
      <c r="N689" t="str">
        <f t="shared" si="70"/>
        <v>streaming</v>
      </c>
      <c r="O689" t="str">
        <f t="shared" si="71"/>
        <v>non-original</v>
      </c>
      <c r="P689" t="str">
        <f t="shared" si="72"/>
        <v>non-franchise</v>
      </c>
      <c r="Q689" t="str">
        <f t="shared" si="73"/>
        <v>new</v>
      </c>
      <c r="R689" s="2">
        <f t="shared" si="74"/>
        <v>1.5233416970519763E-4</v>
      </c>
      <c r="S689">
        <f t="shared" si="75"/>
        <v>0.46037593984962405</v>
      </c>
      <c r="T689" t="str">
        <f t="shared" si="76"/>
        <v>Scenario 2: Weak Commitment/Convenience</v>
      </c>
    </row>
    <row r="690" spans="1:20" x14ac:dyDescent="0.35">
      <c r="A690" t="s">
        <v>880</v>
      </c>
      <c r="B690" s="1">
        <v>45749</v>
      </c>
      <c r="C690">
        <v>2025</v>
      </c>
      <c r="D690">
        <v>4</v>
      </c>
      <c r="E690" t="s">
        <v>38</v>
      </c>
      <c r="F690">
        <v>91</v>
      </c>
      <c r="G690" t="s">
        <v>881</v>
      </c>
      <c r="H690" t="s">
        <v>24</v>
      </c>
      <c r="I690">
        <v>0</v>
      </c>
      <c r="J690">
        <v>0</v>
      </c>
      <c r="K690">
        <v>4.9000000000000004</v>
      </c>
      <c r="L690">
        <v>1360</v>
      </c>
      <c r="M690" t="s">
        <v>17</v>
      </c>
      <c r="N690" t="str">
        <f t="shared" si="70"/>
        <v>streaming</v>
      </c>
      <c r="O690" t="str">
        <f t="shared" si="71"/>
        <v>non-original</v>
      </c>
      <c r="P690" t="str">
        <f t="shared" si="72"/>
        <v>non-franchise</v>
      </c>
      <c r="Q690" t="str">
        <f t="shared" si="73"/>
        <v>new</v>
      </c>
      <c r="R690" s="2">
        <f t="shared" si="74"/>
        <v>4.6246570285814789E-4</v>
      </c>
      <c r="S690">
        <f t="shared" si="75"/>
        <v>0.48355263157894746</v>
      </c>
      <c r="T690" t="str">
        <f t="shared" si="76"/>
        <v>Scenario 2: Weak Commitment/Convenience</v>
      </c>
    </row>
    <row r="691" spans="1:20" x14ac:dyDescent="0.35">
      <c r="A691" t="s">
        <v>882</v>
      </c>
      <c r="B691" s="1">
        <v>45751</v>
      </c>
      <c r="C691">
        <v>2025</v>
      </c>
      <c r="D691">
        <v>4</v>
      </c>
      <c r="E691" t="s">
        <v>38</v>
      </c>
      <c r="F691">
        <v>145</v>
      </c>
      <c r="G691" t="s">
        <v>791</v>
      </c>
      <c r="H691" t="s">
        <v>27</v>
      </c>
      <c r="I691">
        <v>0</v>
      </c>
      <c r="J691">
        <v>0</v>
      </c>
      <c r="K691">
        <v>5.0999999999999996</v>
      </c>
      <c r="L691">
        <v>2765</v>
      </c>
      <c r="M691" t="s">
        <v>17</v>
      </c>
      <c r="N691" t="str">
        <f t="shared" si="70"/>
        <v>streaming</v>
      </c>
      <c r="O691" t="str">
        <f t="shared" si="71"/>
        <v>non-original</v>
      </c>
      <c r="P691" t="str">
        <f t="shared" si="72"/>
        <v>non-franchise</v>
      </c>
      <c r="Q691" t="str">
        <f t="shared" si="73"/>
        <v>new</v>
      </c>
      <c r="R691" s="2">
        <f t="shared" si="74"/>
        <v>1.4981743852488926E-3</v>
      </c>
      <c r="S691">
        <f t="shared" si="75"/>
        <v>0.34798872180451129</v>
      </c>
      <c r="T691" t="str">
        <f t="shared" si="76"/>
        <v>Scenario 2: Weak Commitment/Convenience</v>
      </c>
    </row>
    <row r="692" spans="1:20" x14ac:dyDescent="0.35">
      <c r="A692" t="s">
        <v>883</v>
      </c>
      <c r="B692" s="1">
        <v>45756</v>
      </c>
      <c r="C692">
        <v>2025</v>
      </c>
      <c r="D692">
        <v>4</v>
      </c>
      <c r="E692" t="s">
        <v>38</v>
      </c>
      <c r="F692">
        <v>84</v>
      </c>
      <c r="G692" t="s">
        <v>34</v>
      </c>
      <c r="H692" t="s">
        <v>27</v>
      </c>
      <c r="I692">
        <v>0</v>
      </c>
      <c r="J692">
        <v>0</v>
      </c>
      <c r="K692">
        <v>5.5</v>
      </c>
      <c r="L692">
        <v>628</v>
      </c>
      <c r="M692" t="s">
        <v>17</v>
      </c>
      <c r="N692" t="str">
        <f t="shared" si="70"/>
        <v>streaming</v>
      </c>
      <c r="O692" t="str">
        <f t="shared" si="71"/>
        <v>non-original</v>
      </c>
      <c r="P692" t="str">
        <f t="shared" si="72"/>
        <v>non-franchise</v>
      </c>
      <c r="Q692" t="str">
        <f t="shared" si="73"/>
        <v>new</v>
      </c>
      <c r="R692" s="2">
        <f t="shared" si="74"/>
        <v>1.9712339008704763E-4</v>
      </c>
      <c r="S692">
        <f t="shared" si="75"/>
        <v>0.56447368421052635</v>
      </c>
      <c r="T692" t="str">
        <f t="shared" si="76"/>
        <v>Scenario 3: Strong Convenience</v>
      </c>
    </row>
    <row r="693" spans="1:20" x14ac:dyDescent="0.35">
      <c r="A693" t="s">
        <v>884</v>
      </c>
      <c r="B693" s="1">
        <v>45757</v>
      </c>
      <c r="C693">
        <v>2025</v>
      </c>
      <c r="D693">
        <v>4</v>
      </c>
      <c r="E693" t="s">
        <v>38</v>
      </c>
      <c r="F693">
        <v>118</v>
      </c>
      <c r="G693" t="s">
        <v>34</v>
      </c>
      <c r="H693" t="s">
        <v>30</v>
      </c>
      <c r="I693">
        <v>0</v>
      </c>
      <c r="J693">
        <v>0</v>
      </c>
      <c r="K693">
        <v>6.2</v>
      </c>
      <c r="L693">
        <v>484</v>
      </c>
      <c r="M693" t="s">
        <v>17</v>
      </c>
      <c r="N693" t="str">
        <f t="shared" si="70"/>
        <v>streaming</v>
      </c>
      <c r="O693" t="str">
        <f t="shared" si="71"/>
        <v>non-original</v>
      </c>
      <c r="P693" t="str">
        <f t="shared" si="72"/>
        <v>non-franchise</v>
      </c>
      <c r="Q693" t="str">
        <f t="shared" si="73"/>
        <v>new</v>
      </c>
      <c r="R693" s="2">
        <f t="shared" si="74"/>
        <v>2.1341581465444848E-4</v>
      </c>
      <c r="S693">
        <f t="shared" si="75"/>
        <v>0.51744360902255648</v>
      </c>
      <c r="T693" t="str">
        <f t="shared" si="76"/>
        <v>Scenario 3: Strong Convenience</v>
      </c>
    </row>
    <row r="694" spans="1:20" x14ac:dyDescent="0.35">
      <c r="A694" t="s">
        <v>885</v>
      </c>
      <c r="B694" s="1">
        <v>45758</v>
      </c>
      <c r="C694">
        <v>2025</v>
      </c>
      <c r="D694">
        <v>4</v>
      </c>
      <c r="E694" t="s">
        <v>38</v>
      </c>
      <c r="F694">
        <v>93</v>
      </c>
      <c r="G694" t="s">
        <v>21</v>
      </c>
      <c r="H694" t="s">
        <v>27</v>
      </c>
      <c r="I694">
        <v>0</v>
      </c>
      <c r="J694">
        <v>0</v>
      </c>
      <c r="K694">
        <v>5.2</v>
      </c>
      <c r="L694">
        <v>599</v>
      </c>
      <c r="M694" t="s">
        <v>17</v>
      </c>
      <c r="N694" t="str">
        <f t="shared" si="70"/>
        <v>streaming</v>
      </c>
      <c r="O694" t="str">
        <f t="shared" si="71"/>
        <v>non-original</v>
      </c>
      <c r="P694" t="str">
        <f t="shared" si="72"/>
        <v>non-franchise</v>
      </c>
      <c r="Q694" t="str">
        <f t="shared" si="73"/>
        <v>new</v>
      </c>
      <c r="R694" s="2">
        <f t="shared" si="74"/>
        <v>2.081656182055498E-4</v>
      </c>
      <c r="S694">
        <f t="shared" si="75"/>
        <v>0.5072932330827068</v>
      </c>
      <c r="T694" t="str">
        <f t="shared" si="76"/>
        <v>Scenario 3: Strong Convenience</v>
      </c>
    </row>
    <row r="695" spans="1:20" x14ac:dyDescent="0.35">
      <c r="A695" t="s">
        <v>886</v>
      </c>
      <c r="B695" s="1">
        <v>45765</v>
      </c>
      <c r="C695">
        <v>2025</v>
      </c>
      <c r="D695">
        <v>4</v>
      </c>
      <c r="E695" t="s">
        <v>38</v>
      </c>
      <c r="F695">
        <v>102</v>
      </c>
      <c r="G695" t="s">
        <v>76</v>
      </c>
      <c r="H695" t="s">
        <v>24</v>
      </c>
      <c r="I695">
        <v>0</v>
      </c>
      <c r="J695">
        <v>0</v>
      </c>
      <c r="K695">
        <v>5.7</v>
      </c>
      <c r="L695">
        <v>13163</v>
      </c>
      <c r="M695" t="s">
        <v>88</v>
      </c>
      <c r="N695" t="str">
        <f t="shared" si="70"/>
        <v>streaming</v>
      </c>
      <c r="O695" t="str">
        <f t="shared" si="71"/>
        <v>non-original</v>
      </c>
      <c r="P695" t="str">
        <f t="shared" si="72"/>
        <v>non-franchise</v>
      </c>
      <c r="Q695" t="str">
        <f t="shared" si="73"/>
        <v>new</v>
      </c>
      <c r="R695" s="2">
        <f t="shared" si="74"/>
        <v>5.0171176209245615E-3</v>
      </c>
      <c r="S695">
        <f t="shared" si="75"/>
        <v>0.52714285714285725</v>
      </c>
      <c r="T695" t="str">
        <f t="shared" si="76"/>
        <v>Scenario 3: Strong Convenience</v>
      </c>
    </row>
    <row r="696" spans="1:20" x14ac:dyDescent="0.35">
      <c r="A696" t="s">
        <v>887</v>
      </c>
      <c r="B696" s="1">
        <v>45770</v>
      </c>
      <c r="C696">
        <v>2025</v>
      </c>
      <c r="D696">
        <v>4</v>
      </c>
      <c r="E696" t="s">
        <v>38</v>
      </c>
      <c r="F696">
        <v>137</v>
      </c>
      <c r="G696" t="s">
        <v>49</v>
      </c>
      <c r="H696" t="s">
        <v>27</v>
      </c>
      <c r="I696">
        <v>1</v>
      </c>
      <c r="J696">
        <v>1</v>
      </c>
      <c r="K696">
        <v>6.2</v>
      </c>
      <c r="L696">
        <v>9006</v>
      </c>
      <c r="M696" t="s">
        <v>88</v>
      </c>
      <c r="N696" t="str">
        <f t="shared" si="70"/>
        <v>streaming</v>
      </c>
      <c r="O696" t="str">
        <f t="shared" si="71"/>
        <v>original</v>
      </c>
      <c r="P696" t="str">
        <f t="shared" si="72"/>
        <v>franchise</v>
      </c>
      <c r="Q696" t="str">
        <f t="shared" si="73"/>
        <v>old</v>
      </c>
      <c r="R696" s="2">
        <f t="shared" si="74"/>
        <v>6.9158091277292224E-3</v>
      </c>
      <c r="S696">
        <f t="shared" si="75"/>
        <v>0.30067669172932332</v>
      </c>
      <c r="T696" t="str">
        <f t="shared" si="76"/>
        <v>Scenario 2: Weak Commitment/Convenience</v>
      </c>
    </row>
    <row r="697" spans="1:20" x14ac:dyDescent="0.35">
      <c r="A697" t="s">
        <v>888</v>
      </c>
      <c r="B697" s="1">
        <v>45772</v>
      </c>
      <c r="C697">
        <v>2025</v>
      </c>
      <c r="D697">
        <v>4</v>
      </c>
      <c r="E697" t="s">
        <v>38</v>
      </c>
      <c r="F697">
        <v>107</v>
      </c>
      <c r="G697" t="s">
        <v>49</v>
      </c>
      <c r="H697" t="s">
        <v>24</v>
      </c>
      <c r="I697">
        <v>0</v>
      </c>
      <c r="J697">
        <v>0</v>
      </c>
      <c r="K697">
        <v>5.6</v>
      </c>
      <c r="L697">
        <v>67561</v>
      </c>
      <c r="M697" t="s">
        <v>88</v>
      </c>
      <c r="N697" t="str">
        <f t="shared" si="70"/>
        <v>streaming</v>
      </c>
      <c r="O697" t="str">
        <f t="shared" si="71"/>
        <v>non-original</v>
      </c>
      <c r="P697" t="str">
        <f t="shared" si="72"/>
        <v>non-franchise</v>
      </c>
      <c r="Q697" t="str">
        <f t="shared" si="73"/>
        <v>new</v>
      </c>
      <c r="R697" s="2">
        <f t="shared" si="74"/>
        <v>2.7013389241560506E-2</v>
      </c>
      <c r="S697">
        <f t="shared" si="75"/>
        <v>0.50210526315789472</v>
      </c>
      <c r="T697" t="str">
        <f t="shared" si="76"/>
        <v>Scenario 3: Strong Convenience</v>
      </c>
    </row>
    <row r="698" spans="1:20" x14ac:dyDescent="0.35">
      <c r="A698" t="s">
        <v>889</v>
      </c>
      <c r="B698" s="1">
        <v>45777</v>
      </c>
      <c r="C698">
        <v>2025</v>
      </c>
      <c r="D698">
        <v>4</v>
      </c>
      <c r="E698" t="s">
        <v>38</v>
      </c>
      <c r="F698">
        <v>109</v>
      </c>
      <c r="G698" t="s">
        <v>49</v>
      </c>
      <c r="H698" t="s">
        <v>24</v>
      </c>
      <c r="I698">
        <v>0</v>
      </c>
      <c r="J698">
        <v>0</v>
      </c>
      <c r="K698">
        <v>5.8</v>
      </c>
      <c r="L698">
        <v>17912</v>
      </c>
      <c r="M698" t="s">
        <v>88</v>
      </c>
      <c r="N698" t="str">
        <f t="shared" si="70"/>
        <v>streaming</v>
      </c>
      <c r="O698" t="str">
        <f t="shared" si="71"/>
        <v>non-original</v>
      </c>
      <c r="P698" t="str">
        <f t="shared" si="72"/>
        <v>non-franchise</v>
      </c>
      <c r="Q698" t="str">
        <f t="shared" si="73"/>
        <v>new</v>
      </c>
      <c r="R698" s="2">
        <f t="shared" si="74"/>
        <v>7.2957477212820844E-3</v>
      </c>
      <c r="S698">
        <f t="shared" si="75"/>
        <v>0.51349624060150367</v>
      </c>
      <c r="T698" t="str">
        <f t="shared" si="76"/>
        <v>Scenario 3: Strong Convenience</v>
      </c>
    </row>
    <row r="699" spans="1:20" x14ac:dyDescent="0.35">
      <c r="A699" t="s">
        <v>890</v>
      </c>
      <c r="B699" s="1">
        <v>45778</v>
      </c>
      <c r="C699">
        <v>2025</v>
      </c>
      <c r="D699">
        <v>5</v>
      </c>
      <c r="E699" t="s">
        <v>38</v>
      </c>
      <c r="F699">
        <v>92</v>
      </c>
      <c r="G699" t="s">
        <v>21</v>
      </c>
      <c r="H699" t="s">
        <v>24</v>
      </c>
      <c r="I699">
        <v>0</v>
      </c>
      <c r="J699">
        <v>0</v>
      </c>
      <c r="K699">
        <v>4.4000000000000004</v>
      </c>
      <c r="L699">
        <v>436</v>
      </c>
      <c r="M699" t="s">
        <v>17</v>
      </c>
      <c r="N699" t="str">
        <f t="shared" si="70"/>
        <v>streaming</v>
      </c>
      <c r="O699" t="str">
        <f t="shared" si="71"/>
        <v>non-original</v>
      </c>
      <c r="P699" t="str">
        <f t="shared" si="72"/>
        <v>non-franchise</v>
      </c>
      <c r="Q699" t="str">
        <f t="shared" si="73"/>
        <v>new</v>
      </c>
      <c r="R699" s="2">
        <f t="shared" si="74"/>
        <v>1.4989030602008749E-4</v>
      </c>
      <c r="S699">
        <f t="shared" si="75"/>
        <v>0.4317293233082708</v>
      </c>
      <c r="T699" t="str">
        <f t="shared" si="76"/>
        <v>Scenario 2: Weak Commitment/Convenience</v>
      </c>
    </row>
    <row r="700" spans="1:20" x14ac:dyDescent="0.35">
      <c r="A700" t="s">
        <v>891</v>
      </c>
      <c r="B700" s="1">
        <v>45784</v>
      </c>
      <c r="C700">
        <v>2025</v>
      </c>
      <c r="D700">
        <v>5</v>
      </c>
      <c r="E700" t="s">
        <v>38</v>
      </c>
      <c r="F700">
        <v>112</v>
      </c>
      <c r="G700" t="s">
        <v>635</v>
      </c>
      <c r="H700" t="s">
        <v>24</v>
      </c>
      <c r="I700">
        <v>0</v>
      </c>
      <c r="J700">
        <v>0</v>
      </c>
      <c r="K700">
        <v>6.3</v>
      </c>
      <c r="L700">
        <v>3901</v>
      </c>
      <c r="M700" t="s">
        <v>88</v>
      </c>
      <c r="N700" t="str">
        <f t="shared" si="70"/>
        <v>streaming</v>
      </c>
      <c r="O700" t="str">
        <f t="shared" si="71"/>
        <v>non-original</v>
      </c>
      <c r="P700" t="str">
        <f t="shared" si="72"/>
        <v>non-franchise</v>
      </c>
      <c r="Q700" t="str">
        <f t="shared" si="73"/>
        <v>new</v>
      </c>
      <c r="R700" s="2">
        <f t="shared" si="74"/>
        <v>1.6326504134385837E-3</v>
      </c>
      <c r="S700">
        <f t="shared" si="75"/>
        <v>0.54710526315789476</v>
      </c>
      <c r="T700" t="str">
        <f t="shared" si="76"/>
        <v>Scenario 3: Strong Convenience</v>
      </c>
    </row>
    <row r="701" spans="1:20" x14ac:dyDescent="0.35">
      <c r="A701" t="s">
        <v>892</v>
      </c>
      <c r="B701" s="1">
        <v>45786</v>
      </c>
      <c r="C701">
        <v>2025</v>
      </c>
      <c r="D701">
        <v>5</v>
      </c>
      <c r="E701" t="s">
        <v>38</v>
      </c>
      <c r="F701">
        <v>114</v>
      </c>
      <c r="G701" t="s">
        <v>21</v>
      </c>
      <c r="H701" t="s">
        <v>56</v>
      </c>
      <c r="I701">
        <v>0</v>
      </c>
      <c r="J701">
        <v>0</v>
      </c>
      <c r="K701">
        <v>6.8</v>
      </c>
      <c r="L701">
        <v>45450</v>
      </c>
      <c r="M701" t="s">
        <v>88</v>
      </c>
      <c r="N701" t="str">
        <f t="shared" si="70"/>
        <v>streaming</v>
      </c>
      <c r="O701" t="str">
        <f t="shared" si="71"/>
        <v>non-original</v>
      </c>
      <c r="P701" t="str">
        <f t="shared" si="72"/>
        <v>non-franchise</v>
      </c>
      <c r="Q701" t="str">
        <f t="shared" si="73"/>
        <v>new</v>
      </c>
      <c r="R701" s="2">
        <f t="shared" si="74"/>
        <v>1.9361453993365561E-2</v>
      </c>
      <c r="S701">
        <f t="shared" si="75"/>
        <v>0.58285714285714285</v>
      </c>
      <c r="T701" t="str">
        <f t="shared" si="76"/>
        <v>Scenario 3: Strong Convenience</v>
      </c>
    </row>
    <row r="702" spans="1:20" x14ac:dyDescent="0.35">
      <c r="A702" t="s">
        <v>893</v>
      </c>
      <c r="B702" s="1">
        <v>45800</v>
      </c>
      <c r="C702">
        <v>2025</v>
      </c>
      <c r="D702">
        <v>5</v>
      </c>
      <c r="E702" t="s">
        <v>38</v>
      </c>
      <c r="F702">
        <v>90</v>
      </c>
      <c r="G702" t="s">
        <v>304</v>
      </c>
      <c r="H702" t="s">
        <v>24</v>
      </c>
      <c r="I702">
        <v>0</v>
      </c>
      <c r="J702">
        <v>0</v>
      </c>
      <c r="K702">
        <v>5.0999999999999996</v>
      </c>
      <c r="L702">
        <v>25493</v>
      </c>
      <c r="M702" t="s">
        <v>17</v>
      </c>
      <c r="N702" t="str">
        <f t="shared" si="70"/>
        <v>streaming</v>
      </c>
      <c r="O702" t="str">
        <f t="shared" si="71"/>
        <v>non-original</v>
      </c>
      <c r="P702" t="str">
        <f t="shared" si="72"/>
        <v>non-franchise</v>
      </c>
      <c r="Q702" t="str">
        <f t="shared" si="73"/>
        <v>new</v>
      </c>
      <c r="R702" s="2">
        <f t="shared" si="74"/>
        <v>8.5735894850246346E-3</v>
      </c>
      <c r="S702">
        <f t="shared" si="75"/>
        <v>0.5061654135338346</v>
      </c>
      <c r="T702" t="str">
        <f t="shared" si="76"/>
        <v>Scenario 3: Strong Convenience</v>
      </c>
    </row>
    <row r="703" spans="1:20" x14ac:dyDescent="0.35">
      <c r="A703" t="s">
        <v>894</v>
      </c>
      <c r="B703" s="1">
        <v>45800</v>
      </c>
      <c r="C703">
        <v>2025</v>
      </c>
      <c r="D703">
        <v>5</v>
      </c>
      <c r="E703" t="s">
        <v>38</v>
      </c>
      <c r="F703">
        <v>97</v>
      </c>
      <c r="G703" t="s">
        <v>895</v>
      </c>
      <c r="H703" t="s">
        <v>30</v>
      </c>
      <c r="I703">
        <v>0</v>
      </c>
      <c r="J703">
        <v>0</v>
      </c>
      <c r="K703">
        <v>5.5</v>
      </c>
      <c r="L703">
        <v>1124</v>
      </c>
      <c r="M703" t="s">
        <v>17</v>
      </c>
      <c r="N703" t="str">
        <f t="shared" si="70"/>
        <v>streaming</v>
      </c>
      <c r="O703" t="str">
        <f t="shared" si="71"/>
        <v>non-original</v>
      </c>
      <c r="P703" t="str">
        <f t="shared" si="72"/>
        <v>non-franchise</v>
      </c>
      <c r="Q703" t="str">
        <f t="shared" si="73"/>
        <v>new</v>
      </c>
      <c r="R703" s="2">
        <f t="shared" si="74"/>
        <v>4.0741524443453582E-4</v>
      </c>
      <c r="S703">
        <f t="shared" si="75"/>
        <v>0.52415413533834587</v>
      </c>
      <c r="T703" t="str">
        <f t="shared" si="76"/>
        <v>Scenario 3: Strong Convenience</v>
      </c>
    </row>
    <row r="704" spans="1:20" x14ac:dyDescent="0.35">
      <c r="A704" t="s">
        <v>896</v>
      </c>
      <c r="B704" s="1">
        <v>45807</v>
      </c>
      <c r="C704">
        <v>2025</v>
      </c>
      <c r="D704">
        <v>5</v>
      </c>
      <c r="E704" t="s">
        <v>38</v>
      </c>
      <c r="F704">
        <v>122</v>
      </c>
      <c r="G704" t="s">
        <v>76</v>
      </c>
      <c r="H704" t="s">
        <v>24</v>
      </c>
      <c r="I704">
        <v>0</v>
      </c>
      <c r="J704">
        <v>0</v>
      </c>
      <c r="K704">
        <v>6.2</v>
      </c>
      <c r="L704">
        <v>8589</v>
      </c>
      <c r="M704" t="s">
        <v>88</v>
      </c>
      <c r="N704" t="str">
        <f t="shared" si="70"/>
        <v>streaming</v>
      </c>
      <c r="O704" t="str">
        <f t="shared" si="71"/>
        <v>non-original</v>
      </c>
      <c r="P704" t="str">
        <f t="shared" si="72"/>
        <v>non-franchise</v>
      </c>
      <c r="Q704" t="str">
        <f t="shared" si="73"/>
        <v>new</v>
      </c>
      <c r="R704" s="2">
        <f t="shared" si="74"/>
        <v>3.9156301427402482E-3</v>
      </c>
      <c r="S704">
        <f t="shared" si="75"/>
        <v>0.50345864661654127</v>
      </c>
      <c r="T704" t="str">
        <f t="shared" si="76"/>
        <v>Scenario 3: Strong Convenience</v>
      </c>
    </row>
    <row r="705" spans="1:20" x14ac:dyDescent="0.35">
      <c r="A705" t="s">
        <v>897</v>
      </c>
      <c r="B705" s="1">
        <v>45807</v>
      </c>
      <c r="C705">
        <v>2025</v>
      </c>
      <c r="D705">
        <v>5</v>
      </c>
      <c r="E705" t="s">
        <v>38</v>
      </c>
      <c r="F705">
        <v>98</v>
      </c>
      <c r="G705" t="s">
        <v>898</v>
      </c>
      <c r="H705" t="s">
        <v>56</v>
      </c>
      <c r="I705">
        <v>0</v>
      </c>
      <c r="J705">
        <v>0</v>
      </c>
      <c r="K705">
        <v>7</v>
      </c>
      <c r="L705">
        <v>5495</v>
      </c>
      <c r="M705" t="s">
        <v>17</v>
      </c>
      <c r="N705" t="str">
        <f t="shared" si="70"/>
        <v>streaming</v>
      </c>
      <c r="O705" t="str">
        <f t="shared" si="71"/>
        <v>non-original</v>
      </c>
      <c r="P705" t="str">
        <f t="shared" si="72"/>
        <v>non-franchise</v>
      </c>
      <c r="Q705" t="str">
        <f t="shared" si="73"/>
        <v>new</v>
      </c>
      <c r="R705" s="2">
        <f t="shared" si="74"/>
        <v>2.0123012738052781E-3</v>
      </c>
      <c r="S705">
        <f t="shared" si="75"/>
        <v>0.66315789473684195</v>
      </c>
      <c r="T705" t="str">
        <f t="shared" si="76"/>
        <v>Scenario 3: Strong Convenience</v>
      </c>
    </row>
    <row r="706" spans="1:20" x14ac:dyDescent="0.35">
      <c r="A706" t="s">
        <v>899</v>
      </c>
      <c r="B706" s="1">
        <v>45807</v>
      </c>
      <c r="C706">
        <v>2025</v>
      </c>
      <c r="D706">
        <v>5</v>
      </c>
      <c r="E706" t="s">
        <v>38</v>
      </c>
      <c r="F706">
        <v>89</v>
      </c>
      <c r="G706" t="s">
        <v>34</v>
      </c>
      <c r="H706" t="s">
        <v>30</v>
      </c>
      <c r="I706">
        <v>0</v>
      </c>
      <c r="J706">
        <v>0</v>
      </c>
      <c r="K706">
        <v>5.8</v>
      </c>
      <c r="L706">
        <v>1131</v>
      </c>
      <c r="M706" t="s">
        <v>17</v>
      </c>
      <c r="N706" t="str">
        <f t="shared" si="70"/>
        <v>streaming</v>
      </c>
      <c r="O706" t="str">
        <f t="shared" si="71"/>
        <v>non-original</v>
      </c>
      <c r="P706" t="str">
        <f t="shared" si="72"/>
        <v>non-franchise</v>
      </c>
      <c r="Q706" t="str">
        <f t="shared" si="73"/>
        <v>new</v>
      </c>
      <c r="R706" s="2">
        <f t="shared" si="74"/>
        <v>3.7614201021330247E-4</v>
      </c>
      <c r="S706">
        <f t="shared" si="75"/>
        <v>0.57890977443609015</v>
      </c>
      <c r="T706" t="str">
        <f t="shared" si="76"/>
        <v>Scenario 3: Strong Convenience</v>
      </c>
    </row>
    <row r="707" spans="1:20" x14ac:dyDescent="0.35">
      <c r="A707" t="s">
        <v>900</v>
      </c>
      <c r="B707" s="1">
        <v>45814</v>
      </c>
      <c r="C707">
        <v>2025</v>
      </c>
      <c r="D707">
        <v>6</v>
      </c>
      <c r="E707" t="s">
        <v>78</v>
      </c>
      <c r="F707">
        <v>86</v>
      </c>
      <c r="G707" t="s">
        <v>58</v>
      </c>
      <c r="H707" t="s">
        <v>24</v>
      </c>
      <c r="I707">
        <v>0</v>
      </c>
      <c r="J707">
        <v>0</v>
      </c>
      <c r="K707">
        <v>5.8</v>
      </c>
      <c r="L707">
        <v>5099</v>
      </c>
      <c r="M707" t="s">
        <v>88</v>
      </c>
      <c r="N707" t="str">
        <f t="shared" ref="N707:N770" si="77">IF(ISNUMBER(SEARCH("Streaming", M707)), "streaming", "cinema")</f>
        <v>streaming</v>
      </c>
      <c r="O707" t="str">
        <f t="shared" ref="O707:O770" si="78">IF(I707=1, "original", "non-original")</f>
        <v>non-original</v>
      </c>
      <c r="P707" t="str">
        <f t="shared" ref="P707:P770" si="79">IF(J707 = 1, "franchise", "non-franchise")</f>
        <v>non-franchise</v>
      </c>
      <c r="Q707" t="str">
        <f t="shared" ref="Q707:Q770" si="80">IF(OR(I707 = 1,J707 =1), "old", "new")</f>
        <v>new</v>
      </c>
      <c r="R707" s="2">
        <f t="shared" ref="R707:R770" si="81">IF(Q707="old", 1.5, 1) * (L707 / MAX($L$2:$L$1000)) * (F707 / MAX($F$2:$F$1000))</f>
        <v>1.6386367584287156E-3</v>
      </c>
      <c r="S707">
        <f t="shared" ref="S707:S770" si="82">IF(Q707="new", 1.5, 1) * (K707 / 10) * (1 - (F707 / MAX($F$2:$F$1000)))</f>
        <v>0.5887218045112782</v>
      </c>
      <c r="T707" t="str">
        <f t="shared" ref="T707:T770" si="83">IF(AND(R707&gt;=0.03, S707&gt;=0.5), "Scenario 4: Hybrid Logic",
 IF(AND(R707&gt;=0.03, S707&lt;0.5), "Scenario 1: Strong Commitment",
  IF(AND(R707&lt;0.03, S707&gt;=0.5), "Scenario 3: Strong Convenience",
   "Scenario 2: Weak Commitment/Convenience")))</f>
        <v>Scenario 3: Strong Convenience</v>
      </c>
    </row>
    <row r="708" spans="1:20" x14ac:dyDescent="0.35">
      <c r="A708" t="s">
        <v>901</v>
      </c>
      <c r="B708" s="1">
        <v>45814</v>
      </c>
      <c r="C708">
        <v>2025</v>
      </c>
      <c r="D708">
        <v>6</v>
      </c>
      <c r="E708" t="s">
        <v>78</v>
      </c>
      <c r="F708">
        <v>107</v>
      </c>
      <c r="G708" t="s">
        <v>34</v>
      </c>
      <c r="H708" t="s">
        <v>24</v>
      </c>
      <c r="I708">
        <v>0</v>
      </c>
      <c r="J708">
        <v>0</v>
      </c>
      <c r="K708">
        <v>6.5</v>
      </c>
      <c r="L708">
        <v>30466</v>
      </c>
      <c r="M708" t="s">
        <v>17</v>
      </c>
      <c r="N708" t="str">
        <f t="shared" si="77"/>
        <v>streaming</v>
      </c>
      <c r="O708" t="str">
        <f t="shared" si="78"/>
        <v>non-original</v>
      </c>
      <c r="P708" t="str">
        <f t="shared" si="79"/>
        <v>non-franchise</v>
      </c>
      <c r="Q708" t="str">
        <f t="shared" si="80"/>
        <v>new</v>
      </c>
      <c r="R708" s="2">
        <f t="shared" si="81"/>
        <v>1.2181434801636779E-2</v>
      </c>
      <c r="S708">
        <f t="shared" si="82"/>
        <v>0.58280075187969937</v>
      </c>
      <c r="T708" t="str">
        <f t="shared" si="83"/>
        <v>Scenario 3: Strong Convenience</v>
      </c>
    </row>
    <row r="709" spans="1:20" x14ac:dyDescent="0.35">
      <c r="A709" t="s">
        <v>902</v>
      </c>
      <c r="B709" s="1">
        <v>45819</v>
      </c>
      <c r="C709">
        <v>2025</v>
      </c>
      <c r="D709">
        <v>6</v>
      </c>
      <c r="E709" t="s">
        <v>78</v>
      </c>
      <c r="F709">
        <v>90</v>
      </c>
      <c r="G709" t="s">
        <v>21</v>
      </c>
      <c r="H709" t="s">
        <v>27</v>
      </c>
      <c r="I709">
        <v>0</v>
      </c>
      <c r="J709">
        <v>0</v>
      </c>
      <c r="K709">
        <v>5.4</v>
      </c>
      <c r="L709">
        <v>2982</v>
      </c>
      <c r="M709" t="s">
        <v>17</v>
      </c>
      <c r="N709" t="str">
        <f t="shared" si="77"/>
        <v>streaming</v>
      </c>
      <c r="O709" t="str">
        <f t="shared" si="78"/>
        <v>non-original</v>
      </c>
      <c r="P709" t="str">
        <f t="shared" si="79"/>
        <v>non-franchise</v>
      </c>
      <c r="Q709" t="str">
        <f t="shared" si="80"/>
        <v>new</v>
      </c>
      <c r="R709" s="2">
        <f t="shared" si="81"/>
        <v>1.0028809416052823E-3</v>
      </c>
      <c r="S709">
        <f t="shared" si="82"/>
        <v>0.53593984962406016</v>
      </c>
      <c r="T709" t="str">
        <f t="shared" si="83"/>
        <v>Scenario 3: Strong Convenience</v>
      </c>
    </row>
    <row r="710" spans="1:20" x14ac:dyDescent="0.35">
      <c r="A710" t="s">
        <v>903</v>
      </c>
      <c r="B710" s="1">
        <v>45828</v>
      </c>
      <c r="C710">
        <v>2025</v>
      </c>
      <c r="D710">
        <v>6</v>
      </c>
      <c r="E710" t="s">
        <v>78</v>
      </c>
      <c r="F710">
        <v>99</v>
      </c>
      <c r="G710" t="s">
        <v>154</v>
      </c>
      <c r="H710" t="s">
        <v>56</v>
      </c>
      <c r="I710">
        <v>0</v>
      </c>
      <c r="J710">
        <v>0</v>
      </c>
      <c r="K710">
        <v>7.5</v>
      </c>
      <c r="L710">
        <v>122289</v>
      </c>
      <c r="M710" t="s">
        <v>88</v>
      </c>
      <c r="N710" t="str">
        <f t="shared" si="77"/>
        <v>streaming</v>
      </c>
      <c r="O710" t="str">
        <f t="shared" si="78"/>
        <v>non-original</v>
      </c>
      <c r="P710" t="str">
        <f t="shared" si="79"/>
        <v>non-franchise</v>
      </c>
      <c r="Q710" t="str">
        <f t="shared" si="80"/>
        <v>new</v>
      </c>
      <c r="R710" s="2">
        <f t="shared" si="81"/>
        <v>4.5239918918432327E-2</v>
      </c>
      <c r="S710">
        <f t="shared" si="82"/>
        <v>0.70629699248120303</v>
      </c>
      <c r="T710" t="str">
        <f t="shared" si="83"/>
        <v>Scenario 4: Hybrid Logic</v>
      </c>
    </row>
    <row r="711" spans="1:20" x14ac:dyDescent="0.35">
      <c r="A711" t="s">
        <v>904</v>
      </c>
      <c r="B711" s="1">
        <v>45828</v>
      </c>
      <c r="C711">
        <v>2025</v>
      </c>
      <c r="D711">
        <v>6</v>
      </c>
      <c r="E711" t="s">
        <v>78</v>
      </c>
      <c r="F711">
        <v>92</v>
      </c>
      <c r="G711" t="s">
        <v>21</v>
      </c>
      <c r="H711" t="s">
        <v>56</v>
      </c>
      <c r="I711">
        <v>0</v>
      </c>
      <c r="J711">
        <v>0</v>
      </c>
      <c r="K711">
        <v>4.7</v>
      </c>
      <c r="L711">
        <v>254</v>
      </c>
      <c r="M711" t="s">
        <v>17</v>
      </c>
      <c r="N711" t="str">
        <f t="shared" si="77"/>
        <v>streaming</v>
      </c>
      <c r="O711" t="str">
        <f t="shared" si="78"/>
        <v>non-original</v>
      </c>
      <c r="P711" t="str">
        <f t="shared" si="79"/>
        <v>non-franchise</v>
      </c>
      <c r="Q711" t="str">
        <f t="shared" si="80"/>
        <v>new</v>
      </c>
      <c r="R711" s="2">
        <f t="shared" si="81"/>
        <v>8.7321416809867477E-5</v>
      </c>
      <c r="S711">
        <f t="shared" si="82"/>
        <v>0.46116541353383467</v>
      </c>
      <c r="T711" t="str">
        <f t="shared" si="83"/>
        <v>Scenario 2: Weak Commitment/Convenience</v>
      </c>
    </row>
    <row r="712" spans="1:20" x14ac:dyDescent="0.35">
      <c r="A712" t="s">
        <v>905</v>
      </c>
      <c r="B712" s="1">
        <v>45840</v>
      </c>
      <c r="C712">
        <v>2025</v>
      </c>
      <c r="D712">
        <v>7</v>
      </c>
      <c r="E712" t="s">
        <v>78</v>
      </c>
      <c r="F712">
        <v>106</v>
      </c>
      <c r="G712" t="s">
        <v>100</v>
      </c>
      <c r="H712" t="s">
        <v>24</v>
      </c>
      <c r="I712">
        <v>0</v>
      </c>
      <c r="J712">
        <v>0</v>
      </c>
      <c r="K712">
        <v>5.0999999999999996</v>
      </c>
      <c r="L712">
        <v>44796</v>
      </c>
      <c r="M712" t="s">
        <v>88</v>
      </c>
      <c r="N712" t="str">
        <f t="shared" si="77"/>
        <v>streaming</v>
      </c>
      <c r="O712" t="str">
        <f t="shared" si="78"/>
        <v>non-original</v>
      </c>
      <c r="P712" t="str">
        <f t="shared" si="79"/>
        <v>non-franchise</v>
      </c>
      <c r="Q712" t="str">
        <f t="shared" si="80"/>
        <v>new</v>
      </c>
      <c r="R712" s="2">
        <f t="shared" si="81"/>
        <v>1.7743705916893671E-2</v>
      </c>
      <c r="S712">
        <f t="shared" si="82"/>
        <v>0.46015037593984959</v>
      </c>
      <c r="T712" t="str">
        <f t="shared" si="83"/>
        <v>Scenario 2: Weak Commitment/Convenience</v>
      </c>
    </row>
    <row r="713" spans="1:20" x14ac:dyDescent="0.35">
      <c r="A713" t="s">
        <v>906</v>
      </c>
      <c r="B713" s="1">
        <v>45847</v>
      </c>
      <c r="C713">
        <v>2025</v>
      </c>
      <c r="D713">
        <v>7</v>
      </c>
      <c r="E713" t="s">
        <v>78</v>
      </c>
      <c r="F713">
        <v>96</v>
      </c>
      <c r="G713" t="s">
        <v>92</v>
      </c>
      <c r="H713" t="s">
        <v>24</v>
      </c>
      <c r="I713">
        <v>0</v>
      </c>
      <c r="J713">
        <v>0</v>
      </c>
      <c r="K713">
        <v>4.9000000000000004</v>
      </c>
      <c r="L713">
        <v>4641</v>
      </c>
      <c r="M713" t="s">
        <v>17</v>
      </c>
      <c r="N713" t="str">
        <f t="shared" si="77"/>
        <v>streaming</v>
      </c>
      <c r="O713" t="str">
        <f t="shared" si="78"/>
        <v>non-original</v>
      </c>
      <c r="P713" t="str">
        <f t="shared" si="79"/>
        <v>non-franchise</v>
      </c>
      <c r="Q713" t="str">
        <f t="shared" si="80"/>
        <v>new</v>
      </c>
      <c r="R713" s="2">
        <f t="shared" si="81"/>
        <v>1.6648765302893324E-3</v>
      </c>
      <c r="S713">
        <f t="shared" si="82"/>
        <v>0.46973684210526323</v>
      </c>
      <c r="T713" t="str">
        <f t="shared" si="83"/>
        <v>Scenario 2: Weak Commitment/Convenience</v>
      </c>
    </row>
    <row r="714" spans="1:20" x14ac:dyDescent="0.35">
      <c r="A714" t="s">
        <v>907</v>
      </c>
      <c r="B714" s="1">
        <v>45848</v>
      </c>
      <c r="C714">
        <v>2025</v>
      </c>
      <c r="D714">
        <v>7</v>
      </c>
      <c r="E714" t="s">
        <v>78</v>
      </c>
      <c r="F714">
        <v>100</v>
      </c>
      <c r="G714" t="s">
        <v>19</v>
      </c>
      <c r="H714" t="s">
        <v>24</v>
      </c>
      <c r="I714">
        <v>0</v>
      </c>
      <c r="J714">
        <v>0</v>
      </c>
      <c r="K714">
        <v>5.5</v>
      </c>
      <c r="L714">
        <v>25974</v>
      </c>
      <c r="M714" t="s">
        <v>88</v>
      </c>
      <c r="N714" t="str">
        <f t="shared" si="77"/>
        <v>streaming</v>
      </c>
      <c r="O714" t="str">
        <f t="shared" si="78"/>
        <v>non-original</v>
      </c>
      <c r="P714" t="str">
        <f t="shared" si="79"/>
        <v>non-franchise</v>
      </c>
      <c r="Q714" t="str">
        <f t="shared" si="80"/>
        <v>new</v>
      </c>
      <c r="R714" s="2">
        <f t="shared" si="81"/>
        <v>9.705950360405247E-3</v>
      </c>
      <c r="S714">
        <f t="shared" si="82"/>
        <v>0.51484962406015045</v>
      </c>
      <c r="T714" t="str">
        <f t="shared" si="83"/>
        <v>Scenario 3: Strong Convenience</v>
      </c>
    </row>
    <row r="715" spans="1:20" x14ac:dyDescent="0.35">
      <c r="A715" t="s">
        <v>908</v>
      </c>
      <c r="B715" s="1">
        <v>45849</v>
      </c>
      <c r="C715">
        <v>2025</v>
      </c>
      <c r="D715">
        <v>7</v>
      </c>
      <c r="E715" t="s">
        <v>78</v>
      </c>
      <c r="F715">
        <v>115</v>
      </c>
      <c r="G715" t="s">
        <v>29</v>
      </c>
      <c r="H715" t="s">
        <v>27</v>
      </c>
      <c r="I715">
        <v>0</v>
      </c>
      <c r="J715">
        <v>0</v>
      </c>
      <c r="K715">
        <v>5.8</v>
      </c>
      <c r="L715">
        <v>5858</v>
      </c>
      <c r="M715" t="s">
        <v>17</v>
      </c>
      <c r="N715" t="str">
        <f t="shared" si="77"/>
        <v>streaming</v>
      </c>
      <c r="O715" t="str">
        <f t="shared" si="78"/>
        <v>non-original</v>
      </c>
      <c r="P715" t="str">
        <f t="shared" si="79"/>
        <v>non-franchise</v>
      </c>
      <c r="Q715" t="str">
        <f t="shared" si="80"/>
        <v>new</v>
      </c>
      <c r="R715" s="2">
        <f t="shared" si="81"/>
        <v>2.5173664353947034E-3</v>
      </c>
      <c r="S715">
        <f t="shared" si="82"/>
        <v>0.4938721804511278</v>
      </c>
      <c r="T715" t="str">
        <f t="shared" si="83"/>
        <v>Scenario 2: Weak Commitment/Convenience</v>
      </c>
    </row>
    <row r="716" spans="1:20" x14ac:dyDescent="0.35">
      <c r="A716" t="s">
        <v>909</v>
      </c>
      <c r="B716" s="1">
        <v>45849</v>
      </c>
      <c r="C716">
        <v>2025</v>
      </c>
      <c r="D716">
        <v>7</v>
      </c>
      <c r="E716" t="s">
        <v>78</v>
      </c>
      <c r="F716">
        <v>97</v>
      </c>
      <c r="G716" t="s">
        <v>21</v>
      </c>
      <c r="H716" t="s">
        <v>24</v>
      </c>
      <c r="I716">
        <v>0</v>
      </c>
      <c r="J716">
        <v>0</v>
      </c>
      <c r="K716">
        <v>5</v>
      </c>
      <c r="L716">
        <v>3348</v>
      </c>
      <c r="M716" t="s">
        <v>17</v>
      </c>
      <c r="N716" t="str">
        <f t="shared" si="77"/>
        <v>streaming</v>
      </c>
      <c r="O716" t="str">
        <f t="shared" si="78"/>
        <v>non-original</v>
      </c>
      <c r="P716" t="str">
        <f t="shared" si="79"/>
        <v>non-franchise</v>
      </c>
      <c r="Q716" t="str">
        <f t="shared" si="80"/>
        <v>new</v>
      </c>
      <c r="R716" s="2">
        <f t="shared" si="81"/>
        <v>1.2135464754153256E-3</v>
      </c>
      <c r="S716">
        <f t="shared" si="82"/>
        <v>0.47650375939849621</v>
      </c>
      <c r="T716" t="str">
        <f t="shared" si="83"/>
        <v>Scenario 2: Weak Commitment/Convenience</v>
      </c>
    </row>
    <row r="717" spans="1:20" x14ac:dyDescent="0.35">
      <c r="A717" t="s">
        <v>910</v>
      </c>
      <c r="B717" s="1">
        <v>45849</v>
      </c>
      <c r="C717">
        <v>2025</v>
      </c>
      <c r="D717">
        <v>7</v>
      </c>
      <c r="E717" t="s">
        <v>78</v>
      </c>
      <c r="F717">
        <v>104</v>
      </c>
      <c r="G717" t="s">
        <v>21</v>
      </c>
      <c r="H717" t="s">
        <v>27</v>
      </c>
      <c r="I717">
        <v>0</v>
      </c>
      <c r="J717">
        <v>0</v>
      </c>
      <c r="K717">
        <v>5.0999999999999996</v>
      </c>
      <c r="L717">
        <v>3528</v>
      </c>
      <c r="M717" t="s">
        <v>17</v>
      </c>
      <c r="N717" t="str">
        <f t="shared" si="77"/>
        <v>streaming</v>
      </c>
      <c r="O717" t="str">
        <f t="shared" si="78"/>
        <v>non-original</v>
      </c>
      <c r="P717" t="str">
        <f t="shared" si="79"/>
        <v>non-franchise</v>
      </c>
      <c r="Q717" t="str">
        <f t="shared" si="80"/>
        <v>new</v>
      </c>
      <c r="R717" s="2">
        <f t="shared" si="81"/>
        <v>1.3710747896500384E-3</v>
      </c>
      <c r="S717">
        <f t="shared" si="82"/>
        <v>0.46590225563909776</v>
      </c>
      <c r="T717" t="str">
        <f t="shared" si="83"/>
        <v>Scenario 2: Weak Commitment/Convenience</v>
      </c>
    </row>
    <row r="718" spans="1:20" x14ac:dyDescent="0.35">
      <c r="A718" t="s">
        <v>911</v>
      </c>
      <c r="B718" s="1">
        <v>45856</v>
      </c>
      <c r="C718">
        <v>2025</v>
      </c>
      <c r="D718">
        <v>7</v>
      </c>
      <c r="E718" t="s">
        <v>78</v>
      </c>
      <c r="F718">
        <v>81</v>
      </c>
      <c r="G718" t="s">
        <v>21</v>
      </c>
      <c r="H718" t="s">
        <v>56</v>
      </c>
      <c r="I718">
        <v>0</v>
      </c>
      <c r="J718">
        <v>0</v>
      </c>
      <c r="K718">
        <v>4.7</v>
      </c>
      <c r="L718">
        <v>1246</v>
      </c>
      <c r="M718" t="s">
        <v>17</v>
      </c>
      <c r="N718" t="str">
        <f t="shared" si="77"/>
        <v>streaming</v>
      </c>
      <c r="O718" t="str">
        <f t="shared" si="78"/>
        <v>non-original</v>
      </c>
      <c r="P718" t="str">
        <f t="shared" si="79"/>
        <v>non-franchise</v>
      </c>
      <c r="Q718" t="str">
        <f t="shared" si="80"/>
        <v>new</v>
      </c>
      <c r="R718" s="2">
        <f t="shared" si="81"/>
        <v>3.7713973437832445E-4</v>
      </c>
      <c r="S718">
        <f t="shared" si="82"/>
        <v>0.49031954887218049</v>
      </c>
      <c r="T718" t="str">
        <f t="shared" si="83"/>
        <v>Scenario 2: Weak Commitment/Convenience</v>
      </c>
    </row>
    <row r="719" spans="1:20" x14ac:dyDescent="0.35">
      <c r="A719" t="s">
        <v>912</v>
      </c>
      <c r="B719" s="1">
        <v>45856</v>
      </c>
      <c r="C719">
        <v>2025</v>
      </c>
      <c r="D719">
        <v>7</v>
      </c>
      <c r="E719" t="s">
        <v>78</v>
      </c>
      <c r="F719">
        <v>118</v>
      </c>
      <c r="G719" t="s">
        <v>913</v>
      </c>
      <c r="H719" t="s">
        <v>24</v>
      </c>
      <c r="I719">
        <v>0</v>
      </c>
      <c r="J719">
        <v>0</v>
      </c>
      <c r="K719">
        <v>5.9</v>
      </c>
      <c r="L719">
        <v>7940</v>
      </c>
      <c r="M719" t="s">
        <v>17</v>
      </c>
      <c r="N719" t="str">
        <f t="shared" si="77"/>
        <v>streaming</v>
      </c>
      <c r="O719" t="str">
        <f t="shared" si="78"/>
        <v>non-original</v>
      </c>
      <c r="P719" t="str">
        <f t="shared" si="79"/>
        <v>non-franchise</v>
      </c>
      <c r="Q719" t="str">
        <f t="shared" si="80"/>
        <v>new</v>
      </c>
      <c r="R719" s="2">
        <f t="shared" si="81"/>
        <v>3.5010776205709106E-3</v>
      </c>
      <c r="S719">
        <f t="shared" si="82"/>
        <v>0.49240601503759412</v>
      </c>
      <c r="T719" t="str">
        <f t="shared" si="83"/>
        <v>Scenario 2: Weak Commitment/Convenience</v>
      </c>
    </row>
    <row r="720" spans="1:20" x14ac:dyDescent="0.35">
      <c r="A720" t="s">
        <v>914</v>
      </c>
      <c r="B720" s="1">
        <v>45862</v>
      </c>
      <c r="C720">
        <v>2025</v>
      </c>
      <c r="D720">
        <v>7</v>
      </c>
      <c r="E720" t="s">
        <v>78</v>
      </c>
      <c r="F720">
        <v>110</v>
      </c>
      <c r="G720" t="s">
        <v>103</v>
      </c>
      <c r="H720" t="s">
        <v>24</v>
      </c>
      <c r="I720">
        <v>0</v>
      </c>
      <c r="J720">
        <v>0</v>
      </c>
      <c r="K720">
        <v>4.4000000000000004</v>
      </c>
      <c r="L720">
        <v>1271</v>
      </c>
      <c r="M720" t="s">
        <v>17</v>
      </c>
      <c r="N720" t="str">
        <f t="shared" si="77"/>
        <v>streaming</v>
      </c>
      <c r="O720" t="str">
        <f t="shared" si="78"/>
        <v>non-original</v>
      </c>
      <c r="P720" t="str">
        <f t="shared" si="79"/>
        <v>non-franchise</v>
      </c>
      <c r="Q720" t="str">
        <f t="shared" si="80"/>
        <v>new</v>
      </c>
      <c r="R720" s="2">
        <f t="shared" si="81"/>
        <v>5.2244125659823572E-4</v>
      </c>
      <c r="S720">
        <f t="shared" si="82"/>
        <v>0.38706766917293245</v>
      </c>
      <c r="T720" t="str">
        <f t="shared" si="83"/>
        <v>Scenario 2: Weak Commitment/Convenience</v>
      </c>
    </row>
    <row r="721" spans="1:20" x14ac:dyDescent="0.35">
      <c r="A721" t="s">
        <v>915</v>
      </c>
      <c r="B721" s="1">
        <v>45863</v>
      </c>
      <c r="C721">
        <v>2025</v>
      </c>
      <c r="D721">
        <v>7</v>
      </c>
      <c r="E721" t="s">
        <v>78</v>
      </c>
      <c r="F721">
        <v>117</v>
      </c>
      <c r="G721" t="s">
        <v>53</v>
      </c>
      <c r="H721" t="s">
        <v>27</v>
      </c>
      <c r="I721">
        <v>0</v>
      </c>
      <c r="J721">
        <v>1</v>
      </c>
      <c r="K721">
        <v>6.1</v>
      </c>
      <c r="L721">
        <v>115030</v>
      </c>
      <c r="M721" t="s">
        <v>88</v>
      </c>
      <c r="N721" t="str">
        <f t="shared" si="77"/>
        <v>streaming</v>
      </c>
      <c r="O721" t="str">
        <f t="shared" si="78"/>
        <v>non-original</v>
      </c>
      <c r="P721" t="str">
        <f t="shared" si="79"/>
        <v>franchise</v>
      </c>
      <c r="Q721" t="str">
        <f t="shared" si="80"/>
        <v>old</v>
      </c>
      <c r="R721" s="2">
        <f t="shared" si="81"/>
        <v>7.5437531753879433E-2</v>
      </c>
      <c r="S721">
        <f t="shared" si="82"/>
        <v>0.34169172932330827</v>
      </c>
      <c r="T721" t="str">
        <f t="shared" si="83"/>
        <v>Scenario 1: Strong Commitment</v>
      </c>
    </row>
    <row r="722" spans="1:20" x14ac:dyDescent="0.35">
      <c r="A722" t="s">
        <v>916</v>
      </c>
      <c r="B722" s="1">
        <v>45869</v>
      </c>
      <c r="C722">
        <v>2025</v>
      </c>
      <c r="D722">
        <v>7</v>
      </c>
      <c r="E722" t="s">
        <v>78</v>
      </c>
      <c r="F722">
        <v>122</v>
      </c>
      <c r="G722" t="s">
        <v>19</v>
      </c>
      <c r="H722" t="s">
        <v>24</v>
      </c>
      <c r="I722">
        <v>0</v>
      </c>
      <c r="J722">
        <v>0</v>
      </c>
      <c r="K722">
        <v>5.6</v>
      </c>
      <c r="L722">
        <v>1661</v>
      </c>
      <c r="M722" t="s">
        <v>17</v>
      </c>
      <c r="N722" t="str">
        <f t="shared" si="77"/>
        <v>streaming</v>
      </c>
      <c r="O722" t="str">
        <f t="shared" si="78"/>
        <v>non-original</v>
      </c>
      <c r="P722" t="str">
        <f t="shared" si="79"/>
        <v>non-franchise</v>
      </c>
      <c r="Q722" t="str">
        <f t="shared" si="80"/>
        <v>new</v>
      </c>
      <c r="R722" s="2">
        <f t="shared" si="81"/>
        <v>7.5723153651083383E-4</v>
      </c>
      <c r="S722">
        <f t="shared" si="82"/>
        <v>0.45473684210526305</v>
      </c>
      <c r="T722" t="str">
        <f t="shared" si="83"/>
        <v>Scenario 2: Weak Commitment/Convenience</v>
      </c>
    </row>
    <row r="723" spans="1:20" x14ac:dyDescent="0.35">
      <c r="A723" t="s">
        <v>917</v>
      </c>
      <c r="B723" s="1">
        <v>45870</v>
      </c>
      <c r="C723">
        <v>2025</v>
      </c>
      <c r="D723">
        <v>8</v>
      </c>
      <c r="E723" t="s">
        <v>78</v>
      </c>
      <c r="F723">
        <v>112</v>
      </c>
      <c r="G723" t="s">
        <v>918</v>
      </c>
      <c r="H723" t="s">
        <v>27</v>
      </c>
      <c r="I723">
        <v>0</v>
      </c>
      <c r="J723">
        <v>0</v>
      </c>
      <c r="K723">
        <v>5.9</v>
      </c>
      <c r="L723">
        <v>27925</v>
      </c>
      <c r="M723" t="s">
        <v>88</v>
      </c>
      <c r="N723" t="str">
        <f t="shared" si="77"/>
        <v>streaming</v>
      </c>
      <c r="O723" t="str">
        <f t="shared" si="78"/>
        <v>non-original</v>
      </c>
      <c r="P723" t="str">
        <f t="shared" si="79"/>
        <v>non-franchise</v>
      </c>
      <c r="Q723" t="str">
        <f t="shared" si="80"/>
        <v>new</v>
      </c>
      <c r="R723" s="2">
        <f t="shared" si="81"/>
        <v>1.16871988708722E-2</v>
      </c>
      <c r="S723">
        <f t="shared" si="82"/>
        <v>0.5123684210526317</v>
      </c>
      <c r="T723" t="str">
        <f t="shared" si="83"/>
        <v>Scenario 3: Strong Convenience</v>
      </c>
    </row>
    <row r="724" spans="1:20" x14ac:dyDescent="0.35">
      <c r="A724" t="s">
        <v>919</v>
      </c>
      <c r="B724" s="1">
        <v>45882</v>
      </c>
      <c r="C724">
        <v>2025</v>
      </c>
      <c r="D724">
        <v>8</v>
      </c>
      <c r="E724" t="s">
        <v>78</v>
      </c>
      <c r="F724">
        <v>86</v>
      </c>
      <c r="G724" t="s">
        <v>920</v>
      </c>
      <c r="H724" t="s">
        <v>24</v>
      </c>
      <c r="I724">
        <v>0</v>
      </c>
      <c r="J724">
        <v>0</v>
      </c>
      <c r="K724">
        <v>5.2</v>
      </c>
      <c r="L724">
        <v>5048</v>
      </c>
      <c r="M724" t="s">
        <v>17</v>
      </c>
      <c r="N724" t="str">
        <f t="shared" si="77"/>
        <v>streaming</v>
      </c>
      <c r="O724" t="str">
        <f t="shared" si="78"/>
        <v>non-original</v>
      </c>
      <c r="P724" t="str">
        <f t="shared" si="79"/>
        <v>non-franchise</v>
      </c>
      <c r="Q724" t="str">
        <f t="shared" si="80"/>
        <v>new</v>
      </c>
      <c r="R724" s="2">
        <f t="shared" si="81"/>
        <v>1.6222471772010505E-3</v>
      </c>
      <c r="S724">
        <f t="shared" si="82"/>
        <v>0.52781954887218052</v>
      </c>
      <c r="T724" t="str">
        <f t="shared" si="83"/>
        <v>Scenario 3: Strong Convenience</v>
      </c>
    </row>
    <row r="725" spans="1:20" x14ac:dyDescent="0.35">
      <c r="A725" t="s">
        <v>921</v>
      </c>
      <c r="B725" s="1">
        <v>45884</v>
      </c>
      <c r="C725">
        <v>2025</v>
      </c>
      <c r="D725">
        <v>8</v>
      </c>
      <c r="E725" t="s">
        <v>78</v>
      </c>
      <c r="F725">
        <v>110</v>
      </c>
      <c r="G725" t="s">
        <v>43</v>
      </c>
      <c r="H725" t="s">
        <v>24</v>
      </c>
      <c r="I725">
        <v>0</v>
      </c>
      <c r="J725">
        <v>0</v>
      </c>
      <c r="K725">
        <v>5.9</v>
      </c>
      <c r="L725">
        <v>15259</v>
      </c>
      <c r="M725" t="s">
        <v>17</v>
      </c>
      <c r="N725" t="str">
        <f t="shared" si="77"/>
        <v>streaming</v>
      </c>
      <c r="O725" t="str">
        <f t="shared" si="78"/>
        <v>non-original</v>
      </c>
      <c r="P725" t="str">
        <f t="shared" si="79"/>
        <v>non-franchise</v>
      </c>
      <c r="Q725" t="str">
        <f t="shared" si="80"/>
        <v>new</v>
      </c>
      <c r="R725" s="2">
        <f t="shared" si="81"/>
        <v>6.2721724110405032E-3</v>
      </c>
      <c r="S725">
        <f t="shared" si="82"/>
        <v>0.51902255639097761</v>
      </c>
      <c r="T725" t="str">
        <f t="shared" si="83"/>
        <v>Scenario 3: Strong Convenience</v>
      </c>
    </row>
    <row r="726" spans="1:20" x14ac:dyDescent="0.35">
      <c r="A726" t="s">
        <v>922</v>
      </c>
      <c r="B726" s="1">
        <v>45890</v>
      </c>
      <c r="C726">
        <v>2025</v>
      </c>
      <c r="D726">
        <v>8</v>
      </c>
      <c r="E726" t="s">
        <v>78</v>
      </c>
      <c r="F726">
        <v>105</v>
      </c>
      <c r="G726" t="s">
        <v>397</v>
      </c>
      <c r="H726" t="s">
        <v>24</v>
      </c>
      <c r="I726">
        <v>0</v>
      </c>
      <c r="J726">
        <v>0</v>
      </c>
      <c r="K726">
        <v>4.8</v>
      </c>
      <c r="L726">
        <v>5436</v>
      </c>
      <c r="M726" t="s">
        <v>88</v>
      </c>
      <c r="N726" t="str">
        <f t="shared" si="77"/>
        <v>streaming</v>
      </c>
      <c r="O726" t="str">
        <f t="shared" si="78"/>
        <v>non-original</v>
      </c>
      <c r="P726" t="str">
        <f t="shared" si="79"/>
        <v>non-franchise</v>
      </c>
      <c r="Q726" t="str">
        <f t="shared" si="80"/>
        <v>new</v>
      </c>
      <c r="R726" s="2">
        <f t="shared" si="81"/>
        <v>2.1328876363717972E-3</v>
      </c>
      <c r="S726">
        <f t="shared" si="82"/>
        <v>0.4357894736842105</v>
      </c>
      <c r="T726" t="str">
        <f t="shared" si="83"/>
        <v>Scenario 2: Weak Commitment/Convenience</v>
      </c>
    </row>
    <row r="727" spans="1:20" x14ac:dyDescent="0.35">
      <c r="A727" t="s">
        <v>923</v>
      </c>
      <c r="B727" s="1">
        <v>45890</v>
      </c>
      <c r="C727">
        <v>2025</v>
      </c>
      <c r="D727">
        <v>8</v>
      </c>
      <c r="E727" t="s">
        <v>78</v>
      </c>
      <c r="F727">
        <v>120</v>
      </c>
      <c r="G727" t="s">
        <v>924</v>
      </c>
      <c r="H727" t="s">
        <v>24</v>
      </c>
      <c r="I727">
        <v>0</v>
      </c>
      <c r="J727">
        <v>0</v>
      </c>
      <c r="K727">
        <v>4.0999999999999996</v>
      </c>
      <c r="L727">
        <v>357</v>
      </c>
      <c r="M727" t="s">
        <v>17</v>
      </c>
      <c r="N727" t="str">
        <f t="shared" si="77"/>
        <v>streaming</v>
      </c>
      <c r="O727" t="str">
        <f t="shared" si="78"/>
        <v>non-original</v>
      </c>
      <c r="P727" t="str">
        <f t="shared" si="79"/>
        <v>non-franchise</v>
      </c>
      <c r="Q727" t="str">
        <f t="shared" si="80"/>
        <v>new</v>
      </c>
      <c r="R727" s="2">
        <f t="shared" si="81"/>
        <v>1.6008428175858964E-4</v>
      </c>
      <c r="S727">
        <f t="shared" si="82"/>
        <v>0.33755639097744361</v>
      </c>
      <c r="T727" t="str">
        <f t="shared" si="83"/>
        <v>Scenario 2: Weak Commitment/Convenience</v>
      </c>
    </row>
    <row r="728" spans="1:20" x14ac:dyDescent="0.35">
      <c r="A728" t="s">
        <v>925</v>
      </c>
      <c r="B728" s="1">
        <v>45890</v>
      </c>
      <c r="C728">
        <v>2025</v>
      </c>
      <c r="D728">
        <v>8</v>
      </c>
      <c r="E728" t="s">
        <v>78</v>
      </c>
      <c r="F728">
        <v>112</v>
      </c>
      <c r="G728" t="s">
        <v>29</v>
      </c>
      <c r="H728" t="s">
        <v>30</v>
      </c>
      <c r="I728">
        <v>0</v>
      </c>
      <c r="J728">
        <v>0</v>
      </c>
      <c r="K728">
        <v>4.7</v>
      </c>
      <c r="L728">
        <v>154</v>
      </c>
      <c r="M728" t="s">
        <v>17</v>
      </c>
      <c r="N728" t="str">
        <f t="shared" si="77"/>
        <v>streaming</v>
      </c>
      <c r="O728" t="str">
        <f t="shared" si="78"/>
        <v>non-original</v>
      </c>
      <c r="P728" t="str">
        <f t="shared" si="79"/>
        <v>non-franchise</v>
      </c>
      <c r="Q728" t="str">
        <f t="shared" si="80"/>
        <v>new</v>
      </c>
      <c r="R728" s="2">
        <f t="shared" si="81"/>
        <v>6.4452233701497538E-5</v>
      </c>
      <c r="S728">
        <f t="shared" si="82"/>
        <v>0.40815789473684216</v>
      </c>
      <c r="T728" t="str">
        <f t="shared" si="83"/>
        <v>Scenario 2: Weak Commitment/Convenience</v>
      </c>
    </row>
    <row r="729" spans="1:20" x14ac:dyDescent="0.35">
      <c r="A729" t="s">
        <v>926</v>
      </c>
      <c r="B729" s="1">
        <v>45891</v>
      </c>
      <c r="C729">
        <v>2025</v>
      </c>
      <c r="D729">
        <v>8</v>
      </c>
      <c r="E729" t="s">
        <v>78</v>
      </c>
      <c r="F729">
        <v>91</v>
      </c>
      <c r="G729" t="s">
        <v>34</v>
      </c>
      <c r="H729" t="s">
        <v>30</v>
      </c>
      <c r="I729">
        <v>0</v>
      </c>
      <c r="J729">
        <v>0</v>
      </c>
      <c r="K729">
        <v>5.8</v>
      </c>
      <c r="L729">
        <v>3833</v>
      </c>
      <c r="M729" t="s">
        <v>88</v>
      </c>
      <c r="N729" t="str">
        <f t="shared" si="77"/>
        <v>streaming</v>
      </c>
      <c r="O729" t="str">
        <f t="shared" si="78"/>
        <v>non-original</v>
      </c>
      <c r="P729" t="str">
        <f t="shared" si="79"/>
        <v>non-franchise</v>
      </c>
      <c r="Q729" t="str">
        <f t="shared" si="80"/>
        <v>new</v>
      </c>
      <c r="R729" s="2">
        <f t="shared" si="81"/>
        <v>1.3034051757759419E-3</v>
      </c>
      <c r="S729">
        <f t="shared" si="82"/>
        <v>0.57236842105263153</v>
      </c>
      <c r="T729" t="str">
        <f t="shared" si="83"/>
        <v>Scenario 3: Strong Convenience</v>
      </c>
    </row>
    <row r="730" spans="1:20" x14ac:dyDescent="0.35">
      <c r="A730" t="s">
        <v>927</v>
      </c>
      <c r="B730" s="1">
        <v>45896</v>
      </c>
      <c r="C730">
        <v>2025</v>
      </c>
      <c r="D730">
        <v>8</v>
      </c>
      <c r="E730" t="s">
        <v>78</v>
      </c>
      <c r="F730">
        <v>98</v>
      </c>
      <c r="G730" t="s">
        <v>21</v>
      </c>
      <c r="H730" t="s">
        <v>30</v>
      </c>
      <c r="I730">
        <v>0</v>
      </c>
      <c r="J730">
        <v>0</v>
      </c>
      <c r="K730">
        <v>4.9000000000000004</v>
      </c>
      <c r="L730">
        <v>795</v>
      </c>
      <c r="M730" t="s">
        <v>17</v>
      </c>
      <c r="N730" t="str">
        <f t="shared" si="77"/>
        <v>streaming</v>
      </c>
      <c r="O730" t="str">
        <f t="shared" si="78"/>
        <v>non-original</v>
      </c>
      <c r="P730" t="str">
        <f t="shared" si="79"/>
        <v>non-franchise</v>
      </c>
      <c r="Q730" t="str">
        <f t="shared" si="80"/>
        <v>new</v>
      </c>
      <c r="R730" s="2">
        <f t="shared" si="81"/>
        <v>2.9113366927665076E-4</v>
      </c>
      <c r="S730">
        <f t="shared" si="82"/>
        <v>0.46421052631578952</v>
      </c>
      <c r="T730" t="str">
        <f t="shared" si="83"/>
        <v>Scenario 2: Weak Commitment/Convenience</v>
      </c>
    </row>
    <row r="731" spans="1:20" x14ac:dyDescent="0.35">
      <c r="A731" t="s">
        <v>928</v>
      </c>
      <c r="B731" s="1">
        <v>45896</v>
      </c>
      <c r="C731">
        <v>2025</v>
      </c>
      <c r="D731">
        <v>8</v>
      </c>
      <c r="E731" t="s">
        <v>78</v>
      </c>
      <c r="F731">
        <v>100</v>
      </c>
      <c r="G731" t="s">
        <v>21</v>
      </c>
      <c r="H731" t="s">
        <v>30</v>
      </c>
      <c r="I731">
        <v>0</v>
      </c>
      <c r="J731">
        <v>0</v>
      </c>
      <c r="K731">
        <v>3.9</v>
      </c>
      <c r="L731">
        <v>485</v>
      </c>
      <c r="M731" t="s">
        <v>17</v>
      </c>
      <c r="N731" t="str">
        <f t="shared" si="77"/>
        <v>streaming</v>
      </c>
      <c r="O731" t="str">
        <f t="shared" si="78"/>
        <v>non-original</v>
      </c>
      <c r="P731" t="str">
        <f t="shared" si="79"/>
        <v>non-franchise</v>
      </c>
      <c r="Q731" t="str">
        <f t="shared" si="80"/>
        <v>new</v>
      </c>
      <c r="R731" s="2">
        <f t="shared" si="81"/>
        <v>1.812345393392063E-4</v>
      </c>
      <c r="S731">
        <f t="shared" si="82"/>
        <v>0.36507518796992477</v>
      </c>
      <c r="T731" t="str">
        <f t="shared" si="83"/>
        <v>Scenario 2: Weak Commitment/Convenience</v>
      </c>
    </row>
    <row r="732" spans="1:20" x14ac:dyDescent="0.35">
      <c r="A732" t="s">
        <v>929</v>
      </c>
      <c r="B732" s="1">
        <v>45897</v>
      </c>
      <c r="C732">
        <v>2025</v>
      </c>
      <c r="D732">
        <v>8</v>
      </c>
      <c r="E732" t="s">
        <v>78</v>
      </c>
      <c r="F732">
        <v>120</v>
      </c>
      <c r="G732" t="s">
        <v>479</v>
      </c>
      <c r="H732" t="s">
        <v>27</v>
      </c>
      <c r="I732">
        <v>0</v>
      </c>
      <c r="J732">
        <v>0</v>
      </c>
      <c r="K732">
        <v>6.5</v>
      </c>
      <c r="L732">
        <v>82620</v>
      </c>
      <c r="M732" t="s">
        <v>88</v>
      </c>
      <c r="N732" t="str">
        <f t="shared" si="77"/>
        <v>streaming</v>
      </c>
      <c r="O732" t="str">
        <f t="shared" si="78"/>
        <v>non-original</v>
      </c>
      <c r="P732" t="str">
        <f t="shared" si="79"/>
        <v>non-franchise</v>
      </c>
      <c r="Q732" t="str">
        <f t="shared" si="80"/>
        <v>new</v>
      </c>
      <c r="R732" s="2">
        <f t="shared" si="81"/>
        <v>3.7048076635559313E-2</v>
      </c>
      <c r="S732">
        <f t="shared" si="82"/>
        <v>0.53515037593984971</v>
      </c>
      <c r="T732" t="str">
        <f t="shared" si="83"/>
        <v>Scenario 4: Hybrid Logic</v>
      </c>
    </row>
    <row r="733" spans="1:20" x14ac:dyDescent="0.35">
      <c r="A733" t="s">
        <v>930</v>
      </c>
      <c r="B733" s="1">
        <v>45898</v>
      </c>
      <c r="C733">
        <v>2025</v>
      </c>
      <c r="D733">
        <v>8</v>
      </c>
      <c r="E733" t="s">
        <v>78</v>
      </c>
      <c r="F733">
        <v>121</v>
      </c>
      <c r="G733" t="s">
        <v>931</v>
      </c>
      <c r="H733" t="s">
        <v>56</v>
      </c>
      <c r="I733">
        <v>0</v>
      </c>
      <c r="J733">
        <v>0</v>
      </c>
      <c r="K733">
        <v>7.1</v>
      </c>
      <c r="L733">
        <v>4483</v>
      </c>
      <c r="M733" t="s">
        <v>88</v>
      </c>
      <c r="N733" t="str">
        <f t="shared" si="77"/>
        <v>streaming</v>
      </c>
      <c r="O733" t="str">
        <f t="shared" si="78"/>
        <v>non-original</v>
      </c>
      <c r="P733" t="str">
        <f t="shared" si="79"/>
        <v>non-franchise</v>
      </c>
      <c r="Q733" t="str">
        <f t="shared" si="80"/>
        <v>new</v>
      </c>
      <c r="R733" s="2">
        <f t="shared" si="81"/>
        <v>2.0269980870675688E-3</v>
      </c>
      <c r="S733">
        <f t="shared" si="82"/>
        <v>0.58054511278195486</v>
      </c>
      <c r="T733" t="str">
        <f t="shared" si="83"/>
        <v>Scenario 3: Strong Convenience</v>
      </c>
    </row>
    <row r="734" spans="1:20" x14ac:dyDescent="0.35">
      <c r="A734" t="s">
        <v>932</v>
      </c>
      <c r="B734" s="1">
        <v>45905</v>
      </c>
      <c r="C734">
        <v>2025</v>
      </c>
      <c r="D734">
        <v>9</v>
      </c>
      <c r="E734" t="s">
        <v>125</v>
      </c>
      <c r="F734">
        <v>112</v>
      </c>
      <c r="G734" t="s">
        <v>21</v>
      </c>
      <c r="H734" t="s">
        <v>24</v>
      </c>
      <c r="I734">
        <v>0</v>
      </c>
      <c r="J734">
        <v>0</v>
      </c>
      <c r="K734">
        <v>5.8</v>
      </c>
      <c r="L734">
        <v>3108</v>
      </c>
      <c r="M734" t="s">
        <v>17</v>
      </c>
      <c r="N734" t="str">
        <f t="shared" si="77"/>
        <v>streaming</v>
      </c>
      <c r="O734" t="str">
        <f t="shared" si="78"/>
        <v>non-original</v>
      </c>
      <c r="P734" t="str">
        <f t="shared" si="79"/>
        <v>non-franchise</v>
      </c>
      <c r="Q734" t="str">
        <f t="shared" si="80"/>
        <v>new</v>
      </c>
      <c r="R734" s="2">
        <f t="shared" si="81"/>
        <v>1.3007632619756774E-3</v>
      </c>
      <c r="S734">
        <f t="shared" si="82"/>
        <v>0.50368421052631573</v>
      </c>
      <c r="T734" t="str">
        <f t="shared" si="83"/>
        <v>Scenario 3: Strong Convenience</v>
      </c>
    </row>
    <row r="735" spans="1:20" x14ac:dyDescent="0.35">
      <c r="A735" t="s">
        <v>933</v>
      </c>
      <c r="B735" s="1">
        <v>45911</v>
      </c>
      <c r="C735">
        <v>2025</v>
      </c>
      <c r="D735">
        <v>9</v>
      </c>
      <c r="E735" t="s">
        <v>125</v>
      </c>
      <c r="F735">
        <v>108</v>
      </c>
      <c r="G735" t="s">
        <v>21</v>
      </c>
      <c r="H735" t="s">
        <v>27</v>
      </c>
      <c r="I735">
        <v>0</v>
      </c>
      <c r="J735">
        <v>0</v>
      </c>
      <c r="K735">
        <v>5.9</v>
      </c>
      <c r="L735">
        <v>430</v>
      </c>
      <c r="M735" t="s">
        <v>17</v>
      </c>
      <c r="N735" t="str">
        <f t="shared" si="77"/>
        <v>streaming</v>
      </c>
      <c r="O735" t="str">
        <f t="shared" si="78"/>
        <v>non-original</v>
      </c>
      <c r="P735" t="str">
        <f t="shared" si="79"/>
        <v>non-franchise</v>
      </c>
      <c r="Q735" t="str">
        <f t="shared" si="80"/>
        <v>new</v>
      </c>
      <c r="R735" s="2">
        <f t="shared" si="81"/>
        <v>1.7353674241057197E-4</v>
      </c>
      <c r="S735">
        <f t="shared" si="82"/>
        <v>0.52567669172932341</v>
      </c>
      <c r="T735" t="str">
        <f t="shared" si="83"/>
        <v>Scenario 3: Strong Convenience</v>
      </c>
    </row>
    <row r="736" spans="1:20" x14ac:dyDescent="0.35">
      <c r="A736" t="s">
        <v>934</v>
      </c>
      <c r="B736" s="1">
        <v>45912</v>
      </c>
      <c r="C736">
        <v>2025</v>
      </c>
      <c r="D736">
        <v>9</v>
      </c>
      <c r="E736" t="s">
        <v>125</v>
      </c>
      <c r="F736">
        <v>107</v>
      </c>
      <c r="G736" t="s">
        <v>29</v>
      </c>
      <c r="H736" t="s">
        <v>16</v>
      </c>
      <c r="I736">
        <v>0</v>
      </c>
      <c r="J736">
        <v>0</v>
      </c>
      <c r="K736">
        <v>6.1</v>
      </c>
      <c r="L736">
        <v>13563</v>
      </c>
      <c r="M736" t="s">
        <v>88</v>
      </c>
      <c r="N736" t="str">
        <f t="shared" si="77"/>
        <v>streaming</v>
      </c>
      <c r="O736" t="str">
        <f t="shared" si="78"/>
        <v>non-original</v>
      </c>
      <c r="P736" t="str">
        <f t="shared" si="79"/>
        <v>non-franchise</v>
      </c>
      <c r="Q736" t="str">
        <f t="shared" si="80"/>
        <v>new</v>
      </c>
      <c r="R736" s="2">
        <f t="shared" si="81"/>
        <v>5.4229895691787445E-3</v>
      </c>
      <c r="S736">
        <f t="shared" si="82"/>
        <v>0.546936090225564</v>
      </c>
      <c r="T736" t="str">
        <f t="shared" si="83"/>
        <v>Scenario 3: Strong Convenience</v>
      </c>
    </row>
    <row r="737" spans="1:20" x14ac:dyDescent="0.35">
      <c r="A737" t="s">
        <v>935</v>
      </c>
      <c r="B737" s="1">
        <v>45918</v>
      </c>
      <c r="C737">
        <v>2025</v>
      </c>
      <c r="D737">
        <v>9</v>
      </c>
      <c r="E737" t="s">
        <v>125</v>
      </c>
      <c r="F737">
        <v>119</v>
      </c>
      <c r="G737" t="s">
        <v>29</v>
      </c>
      <c r="H737" t="s">
        <v>27</v>
      </c>
      <c r="I737">
        <v>0</v>
      </c>
      <c r="J737">
        <v>0</v>
      </c>
      <c r="K737">
        <v>5.4</v>
      </c>
      <c r="L737">
        <v>236</v>
      </c>
      <c r="M737" t="s">
        <v>17</v>
      </c>
      <c r="N737" t="str">
        <f t="shared" si="77"/>
        <v>streaming</v>
      </c>
      <c r="O737" t="str">
        <f t="shared" si="78"/>
        <v>non-original</v>
      </c>
      <c r="P737" t="str">
        <f t="shared" si="79"/>
        <v>non-franchise</v>
      </c>
      <c r="Q737" t="str">
        <f t="shared" si="80"/>
        <v>new</v>
      </c>
      <c r="R737" s="2">
        <f t="shared" si="81"/>
        <v>1.0494414026396433E-4</v>
      </c>
      <c r="S737">
        <f t="shared" si="82"/>
        <v>0.44763157894736838</v>
      </c>
      <c r="T737" t="str">
        <f t="shared" si="83"/>
        <v>Scenario 2: Weak Commitment/Convenience</v>
      </c>
    </row>
    <row r="738" spans="1:20" x14ac:dyDescent="0.35">
      <c r="A738" t="s">
        <v>936</v>
      </c>
      <c r="B738" s="1">
        <v>45919</v>
      </c>
      <c r="C738">
        <v>2025</v>
      </c>
      <c r="D738">
        <v>9</v>
      </c>
      <c r="E738" t="s">
        <v>125</v>
      </c>
      <c r="F738">
        <v>107</v>
      </c>
      <c r="G738" t="s">
        <v>29</v>
      </c>
      <c r="H738" t="s">
        <v>27</v>
      </c>
      <c r="I738">
        <v>0</v>
      </c>
      <c r="J738">
        <v>0</v>
      </c>
      <c r="K738">
        <v>4.9000000000000004</v>
      </c>
      <c r="L738">
        <v>1839</v>
      </c>
      <c r="M738" t="s">
        <v>17</v>
      </c>
      <c r="N738" t="str">
        <f t="shared" si="77"/>
        <v>streaming</v>
      </c>
      <c r="O738" t="str">
        <f t="shared" si="78"/>
        <v>non-original</v>
      </c>
      <c r="P738" t="str">
        <f t="shared" si="79"/>
        <v>non-franchise</v>
      </c>
      <c r="Q738" t="str">
        <f t="shared" si="80"/>
        <v>new</v>
      </c>
      <c r="R738" s="2">
        <f t="shared" si="81"/>
        <v>7.353002888534772E-4</v>
      </c>
      <c r="S738">
        <f t="shared" si="82"/>
        <v>0.43934210526315798</v>
      </c>
      <c r="T738" t="str">
        <f t="shared" si="83"/>
        <v>Scenario 2: Weak Commitment/Convenience</v>
      </c>
    </row>
    <row r="739" spans="1:20" x14ac:dyDescent="0.35">
      <c r="A739" t="s">
        <v>937</v>
      </c>
      <c r="B739" s="1">
        <v>45926</v>
      </c>
      <c r="C739">
        <v>2025</v>
      </c>
      <c r="D739">
        <v>9</v>
      </c>
      <c r="E739" t="s">
        <v>125</v>
      </c>
      <c r="F739">
        <v>122</v>
      </c>
      <c r="G739" t="s">
        <v>29</v>
      </c>
      <c r="H739" t="s">
        <v>24</v>
      </c>
      <c r="I739">
        <v>0</v>
      </c>
      <c r="J739">
        <v>0</v>
      </c>
      <c r="K739">
        <v>6.2</v>
      </c>
      <c r="L739">
        <v>6165</v>
      </c>
      <c r="M739" t="s">
        <v>88</v>
      </c>
      <c r="N739" t="str">
        <f t="shared" si="77"/>
        <v>streaming</v>
      </c>
      <c r="O739" t="str">
        <f t="shared" si="78"/>
        <v>non-original</v>
      </c>
      <c r="P739" t="str">
        <f t="shared" si="79"/>
        <v>non-franchise</v>
      </c>
      <c r="Q739" t="str">
        <f t="shared" si="80"/>
        <v>new</v>
      </c>
      <c r="R739" s="2">
        <f t="shared" si="81"/>
        <v>2.810555341715407E-3</v>
      </c>
      <c r="S739">
        <f t="shared" si="82"/>
        <v>0.50345864661654127</v>
      </c>
      <c r="T739" t="str">
        <f t="shared" si="83"/>
        <v>Scenario 3: Strong Convenience</v>
      </c>
    </row>
    <row r="740" spans="1:20" x14ac:dyDescent="0.35">
      <c r="A740" t="s">
        <v>938</v>
      </c>
      <c r="B740" s="1">
        <v>45926</v>
      </c>
      <c r="C740">
        <v>2025</v>
      </c>
      <c r="D740">
        <v>9</v>
      </c>
      <c r="E740" t="s">
        <v>125</v>
      </c>
      <c r="F740">
        <v>113</v>
      </c>
      <c r="G740" t="s">
        <v>58</v>
      </c>
      <c r="H740" t="s">
        <v>24</v>
      </c>
      <c r="I740">
        <v>0</v>
      </c>
      <c r="J740">
        <v>0</v>
      </c>
      <c r="K740">
        <v>5.3</v>
      </c>
      <c r="L740">
        <v>3789</v>
      </c>
      <c r="M740" t="s">
        <v>17</v>
      </c>
      <c r="N740" t="str">
        <f t="shared" si="77"/>
        <v>streaming</v>
      </c>
      <c r="O740" t="str">
        <f t="shared" si="78"/>
        <v>non-original</v>
      </c>
      <c r="P740" t="str">
        <f t="shared" si="79"/>
        <v>non-franchise</v>
      </c>
      <c r="Q740" t="str">
        <f t="shared" si="80"/>
        <v>new</v>
      </c>
      <c r="R740" s="2">
        <f t="shared" si="81"/>
        <v>1.5999347764918878E-3</v>
      </c>
      <c r="S740">
        <f t="shared" si="82"/>
        <v>0.45727443609022561</v>
      </c>
      <c r="T740" t="str">
        <f t="shared" si="83"/>
        <v>Scenario 2: Weak Commitment/Convenience</v>
      </c>
    </row>
    <row r="741" spans="1:20" x14ac:dyDescent="0.35">
      <c r="A741" t="s">
        <v>939</v>
      </c>
      <c r="B741" s="1">
        <v>45926</v>
      </c>
      <c r="C741">
        <v>2025</v>
      </c>
      <c r="D741">
        <v>9</v>
      </c>
      <c r="E741" t="s">
        <v>125</v>
      </c>
      <c r="F741">
        <v>93</v>
      </c>
      <c r="G741" t="s">
        <v>269</v>
      </c>
      <c r="H741" t="s">
        <v>30</v>
      </c>
      <c r="I741">
        <v>0</v>
      </c>
      <c r="J741">
        <v>0</v>
      </c>
      <c r="K741">
        <v>6</v>
      </c>
      <c r="L741">
        <v>2400</v>
      </c>
      <c r="M741" t="s">
        <v>17</v>
      </c>
      <c r="N741" t="str">
        <f t="shared" si="77"/>
        <v>streaming</v>
      </c>
      <c r="O741" t="str">
        <f t="shared" si="78"/>
        <v>non-original</v>
      </c>
      <c r="P741" t="str">
        <f t="shared" si="79"/>
        <v>non-franchise</v>
      </c>
      <c r="Q741" t="str">
        <f t="shared" si="80"/>
        <v>new</v>
      </c>
      <c r="R741" s="2">
        <f t="shared" si="81"/>
        <v>8.340525604229041E-4</v>
      </c>
      <c r="S741">
        <f t="shared" si="82"/>
        <v>0.5853383458646616</v>
      </c>
      <c r="T741" t="str">
        <f t="shared" si="83"/>
        <v>Scenario 3: Strong Convenience</v>
      </c>
    </row>
    <row r="742" spans="1:20" x14ac:dyDescent="0.35">
      <c r="A742" t="s">
        <v>940</v>
      </c>
      <c r="B742" s="1">
        <v>45933</v>
      </c>
      <c r="C742">
        <v>2025</v>
      </c>
      <c r="D742">
        <v>10</v>
      </c>
      <c r="E742" t="s">
        <v>125</v>
      </c>
      <c r="F742">
        <v>93</v>
      </c>
      <c r="G742" t="s">
        <v>34</v>
      </c>
      <c r="H742" t="s">
        <v>24</v>
      </c>
      <c r="I742">
        <v>0</v>
      </c>
      <c r="J742">
        <v>0</v>
      </c>
      <c r="K742">
        <v>6.4</v>
      </c>
      <c r="L742">
        <v>17836</v>
      </c>
      <c r="M742" t="s">
        <v>17</v>
      </c>
      <c r="N742" t="str">
        <f t="shared" si="77"/>
        <v>streaming</v>
      </c>
      <c r="O742" t="str">
        <f t="shared" si="78"/>
        <v>non-original</v>
      </c>
      <c r="P742" t="str">
        <f t="shared" si="79"/>
        <v>non-franchise</v>
      </c>
      <c r="Q742" t="str">
        <f t="shared" si="80"/>
        <v>new</v>
      </c>
      <c r="R742" s="2">
        <f t="shared" si="81"/>
        <v>6.1984006115428829E-3</v>
      </c>
      <c r="S742">
        <f t="shared" si="82"/>
        <v>0.62436090225563912</v>
      </c>
      <c r="T742" t="str">
        <f t="shared" si="83"/>
        <v>Scenario 3: Strong Convenience</v>
      </c>
    </row>
    <row r="743" spans="1:20" x14ac:dyDescent="0.35">
      <c r="A743" t="s">
        <v>941</v>
      </c>
      <c r="B743" s="1">
        <v>45938</v>
      </c>
      <c r="C743">
        <v>2025</v>
      </c>
      <c r="D743">
        <v>10</v>
      </c>
      <c r="E743" t="s">
        <v>125</v>
      </c>
      <c r="F743">
        <v>101</v>
      </c>
      <c r="G743" t="s">
        <v>21</v>
      </c>
      <c r="H743" t="s">
        <v>27</v>
      </c>
      <c r="I743">
        <v>0</v>
      </c>
      <c r="J743">
        <v>0</v>
      </c>
      <c r="K743">
        <v>7.1</v>
      </c>
      <c r="L743">
        <v>8264</v>
      </c>
      <c r="M743" t="s">
        <v>88</v>
      </c>
      <c r="N743" t="str">
        <f t="shared" si="77"/>
        <v>streaming</v>
      </c>
      <c r="O743" t="str">
        <f t="shared" si="78"/>
        <v>non-original</v>
      </c>
      <c r="P743" t="str">
        <f t="shared" si="79"/>
        <v>non-franchise</v>
      </c>
      <c r="Q743" t="str">
        <f t="shared" si="80"/>
        <v>new</v>
      </c>
      <c r="R743" s="2">
        <f t="shared" si="81"/>
        <v>3.1189679493406042E-3</v>
      </c>
      <c r="S743">
        <f t="shared" si="82"/>
        <v>0.66062030075187961</v>
      </c>
      <c r="T743" t="str">
        <f t="shared" si="83"/>
        <v>Scenario 3: Strong Convenience</v>
      </c>
    </row>
    <row r="744" spans="1:20" x14ac:dyDescent="0.35">
      <c r="A744" t="s">
        <v>942</v>
      </c>
      <c r="B744" s="1">
        <v>45940</v>
      </c>
      <c r="C744">
        <v>2025</v>
      </c>
      <c r="D744">
        <v>10</v>
      </c>
      <c r="E744" t="s">
        <v>125</v>
      </c>
      <c r="F744">
        <v>103</v>
      </c>
      <c r="G744" t="s">
        <v>34</v>
      </c>
      <c r="H744" t="s">
        <v>30</v>
      </c>
      <c r="I744">
        <v>0</v>
      </c>
      <c r="J744">
        <v>0</v>
      </c>
      <c r="K744">
        <v>5.5</v>
      </c>
      <c r="L744">
        <v>423</v>
      </c>
      <c r="M744" t="s">
        <v>17</v>
      </c>
      <c r="N744" t="str">
        <f t="shared" si="77"/>
        <v>streaming</v>
      </c>
      <c r="O744" t="str">
        <f t="shared" si="78"/>
        <v>non-original</v>
      </c>
      <c r="P744" t="str">
        <f t="shared" si="79"/>
        <v>non-franchise</v>
      </c>
      <c r="Q744" t="str">
        <f t="shared" si="80"/>
        <v>new</v>
      </c>
      <c r="R744" s="2">
        <f t="shared" si="81"/>
        <v>1.6280840504061608E-4</v>
      </c>
      <c r="S744">
        <f t="shared" si="82"/>
        <v>0.50554511278195491</v>
      </c>
      <c r="T744" t="str">
        <f t="shared" si="83"/>
        <v>Scenario 3: Strong Convenience</v>
      </c>
    </row>
    <row r="745" spans="1:20" x14ac:dyDescent="0.35">
      <c r="A745" t="s">
        <v>943</v>
      </c>
      <c r="B745" s="1">
        <v>45940</v>
      </c>
      <c r="C745">
        <v>2025</v>
      </c>
      <c r="D745">
        <v>10</v>
      </c>
      <c r="E745" t="s">
        <v>125</v>
      </c>
      <c r="F745">
        <v>95</v>
      </c>
      <c r="G745" t="s">
        <v>103</v>
      </c>
      <c r="H745" t="s">
        <v>24</v>
      </c>
      <c r="I745">
        <v>0</v>
      </c>
      <c r="J745">
        <v>0</v>
      </c>
      <c r="K745">
        <v>5.8</v>
      </c>
      <c r="L745">
        <v>66182</v>
      </c>
      <c r="M745" t="s">
        <v>88</v>
      </c>
      <c r="N745" t="str">
        <f t="shared" si="77"/>
        <v>streaming</v>
      </c>
      <c r="O745" t="str">
        <f t="shared" si="78"/>
        <v>non-original</v>
      </c>
      <c r="P745" t="str">
        <f t="shared" si="79"/>
        <v>non-franchise</v>
      </c>
      <c r="Q745" t="str">
        <f t="shared" si="80"/>
        <v>new</v>
      </c>
      <c r="R745" s="2">
        <f t="shared" si="81"/>
        <v>2.349431148127832E-2</v>
      </c>
      <c r="S745">
        <f t="shared" si="82"/>
        <v>0.55928571428571416</v>
      </c>
      <c r="T745" t="str">
        <f t="shared" si="83"/>
        <v>Scenario 3: Strong Convenience</v>
      </c>
    </row>
    <row r="746" spans="1:20" x14ac:dyDescent="0.35">
      <c r="A746" t="s">
        <v>944</v>
      </c>
      <c r="B746" s="1">
        <v>45944</v>
      </c>
      <c r="C746">
        <v>2025</v>
      </c>
      <c r="D746">
        <v>10</v>
      </c>
      <c r="E746" t="s">
        <v>125</v>
      </c>
      <c r="F746">
        <v>128</v>
      </c>
      <c r="G746" t="s">
        <v>43</v>
      </c>
      <c r="H746" t="s">
        <v>24</v>
      </c>
      <c r="I746">
        <v>0</v>
      </c>
      <c r="J746">
        <v>0</v>
      </c>
      <c r="K746">
        <v>5.9</v>
      </c>
      <c r="L746">
        <v>506</v>
      </c>
      <c r="M746" t="s">
        <v>17</v>
      </c>
      <c r="N746" t="str">
        <f t="shared" si="77"/>
        <v>streaming</v>
      </c>
      <c r="O746" t="str">
        <f t="shared" si="78"/>
        <v>non-original</v>
      </c>
      <c r="P746" t="str">
        <f t="shared" si="79"/>
        <v>non-franchise</v>
      </c>
      <c r="Q746" t="str">
        <f t="shared" si="80"/>
        <v>new</v>
      </c>
      <c r="R746" s="2">
        <f t="shared" si="81"/>
        <v>2.4202471430766421E-4</v>
      </c>
      <c r="S746">
        <f t="shared" si="82"/>
        <v>0.45913533834586473</v>
      </c>
      <c r="T746" t="str">
        <f t="shared" si="83"/>
        <v>Scenario 2: Weak Commitment/Convenience</v>
      </c>
    </row>
    <row r="747" spans="1:20" x14ac:dyDescent="0.35">
      <c r="A747" t="s">
        <v>945</v>
      </c>
      <c r="B747" s="1">
        <v>45945</v>
      </c>
      <c r="C747">
        <v>2025</v>
      </c>
      <c r="D747">
        <v>10</v>
      </c>
      <c r="E747" t="s">
        <v>125</v>
      </c>
      <c r="F747">
        <v>167</v>
      </c>
      <c r="G747" t="s">
        <v>58</v>
      </c>
      <c r="H747" t="s">
        <v>24</v>
      </c>
      <c r="I747">
        <v>0</v>
      </c>
      <c r="J747">
        <v>0</v>
      </c>
      <c r="K747">
        <v>6.2</v>
      </c>
      <c r="L747">
        <v>1932</v>
      </c>
      <c r="M747" t="s">
        <v>17</v>
      </c>
      <c r="N747" t="str">
        <f t="shared" si="77"/>
        <v>streaming</v>
      </c>
      <c r="O747" t="str">
        <f t="shared" si="78"/>
        <v>non-original</v>
      </c>
      <c r="P747" t="str">
        <f t="shared" si="79"/>
        <v>non-franchise</v>
      </c>
      <c r="Q747" t="str">
        <f t="shared" si="80"/>
        <v>new</v>
      </c>
      <c r="R747" s="2">
        <f t="shared" si="81"/>
        <v>1.2056543651661627E-3</v>
      </c>
      <c r="S747">
        <f t="shared" si="82"/>
        <v>0.34612781954887212</v>
      </c>
      <c r="T747" t="str">
        <f t="shared" si="83"/>
        <v>Scenario 2: Weak Commitment/Convenience</v>
      </c>
    </row>
    <row r="748" spans="1:20" x14ac:dyDescent="0.35">
      <c r="A748" t="s">
        <v>946</v>
      </c>
      <c r="B748" s="1">
        <v>45946</v>
      </c>
      <c r="C748">
        <v>2025</v>
      </c>
      <c r="D748">
        <v>10</v>
      </c>
      <c r="E748" t="s">
        <v>125</v>
      </c>
      <c r="F748">
        <v>117</v>
      </c>
      <c r="G748" t="s">
        <v>90</v>
      </c>
      <c r="H748" t="s">
        <v>24</v>
      </c>
      <c r="I748">
        <v>0</v>
      </c>
      <c r="J748">
        <v>0</v>
      </c>
      <c r="K748">
        <v>4.8</v>
      </c>
      <c r="L748">
        <v>222</v>
      </c>
      <c r="M748" t="s">
        <v>17</v>
      </c>
      <c r="N748" t="str">
        <f t="shared" si="77"/>
        <v>streaming</v>
      </c>
      <c r="O748" t="str">
        <f t="shared" si="78"/>
        <v>non-original</v>
      </c>
      <c r="P748" t="str">
        <f t="shared" si="79"/>
        <v>non-franchise</v>
      </c>
      <c r="Q748" t="str">
        <f t="shared" si="80"/>
        <v>new</v>
      </c>
      <c r="R748" s="2">
        <f t="shared" si="81"/>
        <v>9.7059503604052469E-5</v>
      </c>
      <c r="S748">
        <f t="shared" si="82"/>
        <v>0.40330827067669173</v>
      </c>
      <c r="T748" t="str">
        <f t="shared" si="83"/>
        <v>Scenario 2: Weak Commitment/Convenience</v>
      </c>
    </row>
    <row r="749" spans="1:20" x14ac:dyDescent="0.35">
      <c r="A749" t="s">
        <v>947</v>
      </c>
      <c r="B749" s="1">
        <v>45947</v>
      </c>
      <c r="C749">
        <v>2025</v>
      </c>
      <c r="D749">
        <v>10</v>
      </c>
      <c r="E749" t="s">
        <v>125</v>
      </c>
      <c r="F749">
        <v>108</v>
      </c>
      <c r="G749" t="s">
        <v>34</v>
      </c>
      <c r="H749" t="s">
        <v>24</v>
      </c>
      <c r="I749">
        <v>0</v>
      </c>
      <c r="J749">
        <v>0</v>
      </c>
      <c r="K749">
        <v>6.4</v>
      </c>
      <c r="L749">
        <v>1525</v>
      </c>
      <c r="M749" t="s">
        <v>17</v>
      </c>
      <c r="N749" t="str">
        <f t="shared" si="77"/>
        <v>streaming</v>
      </c>
      <c r="O749" t="str">
        <f t="shared" si="78"/>
        <v>non-original</v>
      </c>
      <c r="P749" t="str">
        <f t="shared" si="79"/>
        <v>non-franchise</v>
      </c>
      <c r="Q749" t="str">
        <f t="shared" si="80"/>
        <v>new</v>
      </c>
      <c r="R749" s="2">
        <f t="shared" si="81"/>
        <v>6.154500748281913E-4</v>
      </c>
      <c r="S749">
        <f t="shared" si="82"/>
        <v>0.57022556390977441</v>
      </c>
      <c r="T749" t="str">
        <f t="shared" si="83"/>
        <v>Scenario 3: Strong Convenience</v>
      </c>
    </row>
    <row r="750" spans="1:20" x14ac:dyDescent="0.35">
      <c r="A750" t="s">
        <v>948</v>
      </c>
      <c r="B750" s="1">
        <v>45947</v>
      </c>
      <c r="C750">
        <v>2025</v>
      </c>
      <c r="D750">
        <v>10</v>
      </c>
      <c r="E750" t="s">
        <v>125</v>
      </c>
      <c r="F750">
        <v>138</v>
      </c>
      <c r="G750" t="s">
        <v>49</v>
      </c>
      <c r="H750" t="s">
        <v>24</v>
      </c>
      <c r="I750">
        <v>0</v>
      </c>
      <c r="J750">
        <v>0</v>
      </c>
      <c r="K750">
        <v>6.6</v>
      </c>
      <c r="L750">
        <v>3469</v>
      </c>
      <c r="M750" t="s">
        <v>17</v>
      </c>
      <c r="N750" t="str">
        <f t="shared" si="77"/>
        <v>streaming</v>
      </c>
      <c r="O750" t="str">
        <f t="shared" si="78"/>
        <v>non-original</v>
      </c>
      <c r="P750" t="str">
        <f t="shared" si="79"/>
        <v>non-franchise</v>
      </c>
      <c r="Q750" t="str">
        <f t="shared" si="80"/>
        <v>new</v>
      </c>
      <c r="R750" s="2">
        <f t="shared" si="81"/>
        <v>1.7888857967328564E-3</v>
      </c>
      <c r="S750">
        <f t="shared" si="82"/>
        <v>0.47639097744360892</v>
      </c>
      <c r="T750" t="str">
        <f t="shared" si="83"/>
        <v>Scenario 2: Weak Commitment/Convenience</v>
      </c>
    </row>
    <row r="751" spans="1:20" x14ac:dyDescent="0.35">
      <c r="A751" t="s">
        <v>949</v>
      </c>
      <c r="B751" s="1">
        <v>45947</v>
      </c>
      <c r="C751">
        <v>2025</v>
      </c>
      <c r="D751">
        <v>10</v>
      </c>
      <c r="E751" t="s">
        <v>125</v>
      </c>
      <c r="F751">
        <v>108</v>
      </c>
      <c r="G751" t="s">
        <v>32</v>
      </c>
      <c r="H751" t="s">
        <v>24</v>
      </c>
      <c r="I751">
        <v>0</v>
      </c>
      <c r="J751">
        <v>0</v>
      </c>
      <c r="K751">
        <v>6.6</v>
      </c>
      <c r="L751">
        <v>3449</v>
      </c>
      <c r="M751" t="s">
        <v>17</v>
      </c>
      <c r="N751" t="str">
        <f t="shared" si="77"/>
        <v>streaming</v>
      </c>
      <c r="O751" t="str">
        <f t="shared" si="78"/>
        <v>non-original</v>
      </c>
      <c r="P751" t="str">
        <f t="shared" si="79"/>
        <v>non-franchise</v>
      </c>
      <c r="Q751" t="str">
        <f t="shared" si="80"/>
        <v>new</v>
      </c>
      <c r="R751" s="2">
        <f t="shared" si="81"/>
        <v>1.3919261036606111E-3</v>
      </c>
      <c r="S751">
        <f t="shared" si="82"/>
        <v>0.58804511278195482</v>
      </c>
      <c r="T751" t="str">
        <f t="shared" si="83"/>
        <v>Scenario 3: Strong Convenience</v>
      </c>
    </row>
    <row r="752" spans="1:20" x14ac:dyDescent="0.35">
      <c r="A752" t="s">
        <v>950</v>
      </c>
      <c r="B752" s="1">
        <v>45947</v>
      </c>
      <c r="C752">
        <v>2025</v>
      </c>
      <c r="D752">
        <v>10</v>
      </c>
      <c r="E752" t="s">
        <v>125</v>
      </c>
      <c r="F752">
        <v>102</v>
      </c>
      <c r="G752" t="s">
        <v>348</v>
      </c>
      <c r="H752" t="s">
        <v>56</v>
      </c>
      <c r="I752">
        <v>0</v>
      </c>
      <c r="J752">
        <v>0</v>
      </c>
      <c r="K752">
        <v>4.7</v>
      </c>
      <c r="L752">
        <v>4031</v>
      </c>
      <c r="M752" t="s">
        <v>17</v>
      </c>
      <c r="N752" t="str">
        <f t="shared" si="77"/>
        <v>streaming</v>
      </c>
      <c r="O752" t="str">
        <f t="shared" si="78"/>
        <v>non-original</v>
      </c>
      <c r="P752" t="str">
        <f t="shared" si="79"/>
        <v>non-franchise</v>
      </c>
      <c r="Q752" t="str">
        <f t="shared" si="80"/>
        <v>new</v>
      </c>
      <c r="R752" s="2">
        <f t="shared" si="81"/>
        <v>1.5364279518306546E-3</v>
      </c>
      <c r="S752">
        <f t="shared" si="82"/>
        <v>0.43466165413533847</v>
      </c>
      <c r="T752" t="str">
        <f t="shared" si="83"/>
        <v>Scenario 2: Weak Commitment/Convenience</v>
      </c>
    </row>
    <row r="753" spans="1:20" x14ac:dyDescent="0.35">
      <c r="A753" t="s">
        <v>951</v>
      </c>
      <c r="B753" s="1">
        <v>45953</v>
      </c>
      <c r="C753">
        <v>2025</v>
      </c>
      <c r="D753">
        <v>10</v>
      </c>
      <c r="E753" t="s">
        <v>125</v>
      </c>
      <c r="F753">
        <v>117</v>
      </c>
      <c r="G753" t="s">
        <v>952</v>
      </c>
      <c r="H753" t="s">
        <v>24</v>
      </c>
      <c r="I753">
        <v>0</v>
      </c>
      <c r="J753">
        <v>0</v>
      </c>
      <c r="K753">
        <v>5.3</v>
      </c>
      <c r="L753">
        <v>6139</v>
      </c>
      <c r="M753" t="s">
        <v>17</v>
      </c>
      <c r="N753" t="str">
        <f t="shared" si="77"/>
        <v>streaming</v>
      </c>
      <c r="O753" t="str">
        <f t="shared" si="78"/>
        <v>non-original</v>
      </c>
      <c r="P753" t="str">
        <f t="shared" si="79"/>
        <v>non-franchise</v>
      </c>
      <c r="Q753" t="str">
        <f t="shared" si="80"/>
        <v>new</v>
      </c>
      <c r="R753" s="2">
        <f t="shared" si="81"/>
        <v>2.6840013181318833E-3</v>
      </c>
      <c r="S753">
        <f t="shared" si="82"/>
        <v>0.44531954887218045</v>
      </c>
      <c r="T753" t="str">
        <f t="shared" si="83"/>
        <v>Scenario 2: Weak Commitment/Convenience</v>
      </c>
    </row>
    <row r="754" spans="1:20" x14ac:dyDescent="0.35">
      <c r="A754" t="s">
        <v>953</v>
      </c>
      <c r="B754" s="1">
        <v>45954</v>
      </c>
      <c r="C754">
        <v>2025</v>
      </c>
      <c r="D754">
        <v>10</v>
      </c>
      <c r="E754" t="s">
        <v>125</v>
      </c>
      <c r="F754">
        <v>115</v>
      </c>
      <c r="G754" t="s">
        <v>32</v>
      </c>
      <c r="H754" t="s">
        <v>24</v>
      </c>
      <c r="I754">
        <v>0</v>
      </c>
      <c r="J754">
        <v>0</v>
      </c>
      <c r="K754">
        <v>6.4</v>
      </c>
      <c r="L754">
        <v>111717</v>
      </c>
      <c r="M754" t="s">
        <v>17</v>
      </c>
      <c r="N754" t="str">
        <f t="shared" si="77"/>
        <v>streaming</v>
      </c>
      <c r="O754" t="str">
        <f t="shared" si="78"/>
        <v>non-original</v>
      </c>
      <c r="P754" t="str">
        <f t="shared" si="79"/>
        <v>non-franchise</v>
      </c>
      <c r="Q754" t="str">
        <f t="shared" si="80"/>
        <v>new</v>
      </c>
      <c r="R754" s="2">
        <f t="shared" si="81"/>
        <v>4.8008300796003767E-2</v>
      </c>
      <c r="S754">
        <f t="shared" si="82"/>
        <v>0.54496240601503765</v>
      </c>
      <c r="T754" t="str">
        <f t="shared" si="83"/>
        <v>Scenario 4: Hybrid Logic</v>
      </c>
    </row>
    <row r="755" spans="1:20" x14ac:dyDescent="0.35">
      <c r="A755" t="s">
        <v>954</v>
      </c>
      <c r="B755" s="1">
        <v>45959</v>
      </c>
      <c r="C755">
        <v>2025</v>
      </c>
      <c r="D755">
        <v>10</v>
      </c>
      <c r="E755" t="s">
        <v>125</v>
      </c>
      <c r="F755">
        <v>102</v>
      </c>
      <c r="G755" t="s">
        <v>103</v>
      </c>
      <c r="H755" t="s">
        <v>24</v>
      </c>
      <c r="I755">
        <v>0</v>
      </c>
      <c r="J755">
        <v>0</v>
      </c>
      <c r="K755">
        <v>5.9</v>
      </c>
      <c r="L755">
        <v>23316</v>
      </c>
      <c r="M755" t="s">
        <v>17</v>
      </c>
      <c r="N755" t="str">
        <f t="shared" si="77"/>
        <v>streaming</v>
      </c>
      <c r="O755" t="str">
        <f t="shared" si="78"/>
        <v>non-original</v>
      </c>
      <c r="P755" t="str">
        <f t="shared" si="79"/>
        <v>non-franchise</v>
      </c>
      <c r="Q755" t="str">
        <f t="shared" si="80"/>
        <v>new</v>
      </c>
      <c r="R755" s="2">
        <f t="shared" si="81"/>
        <v>8.8869645559125632E-3</v>
      </c>
      <c r="S755">
        <f t="shared" si="82"/>
        <v>0.54563909774436103</v>
      </c>
      <c r="T755" t="str">
        <f t="shared" si="83"/>
        <v>Scenario 3: Strong Convenience</v>
      </c>
    </row>
    <row r="756" spans="1:20" x14ac:dyDescent="0.35">
      <c r="A756" t="s">
        <v>955</v>
      </c>
      <c r="B756" s="1">
        <v>45968</v>
      </c>
      <c r="C756">
        <v>2025</v>
      </c>
      <c r="D756">
        <v>11</v>
      </c>
      <c r="E756" t="s">
        <v>125</v>
      </c>
      <c r="F756">
        <v>152</v>
      </c>
      <c r="G756" t="s">
        <v>956</v>
      </c>
      <c r="H756" t="s">
        <v>24</v>
      </c>
      <c r="I756">
        <v>0</v>
      </c>
      <c r="J756">
        <v>0</v>
      </c>
      <c r="K756">
        <v>7.4</v>
      </c>
      <c r="L756">
        <v>280653</v>
      </c>
      <c r="M756" t="s">
        <v>88</v>
      </c>
      <c r="N756" t="str">
        <f t="shared" si="77"/>
        <v>streaming</v>
      </c>
      <c r="O756" t="str">
        <f t="shared" si="78"/>
        <v>non-original</v>
      </c>
      <c r="P756" t="str">
        <f t="shared" si="79"/>
        <v>non-franchise</v>
      </c>
      <c r="Q756" t="str">
        <f t="shared" si="80"/>
        <v>new</v>
      </c>
      <c r="R756" s="2">
        <f t="shared" si="81"/>
        <v>0.15940887855078911</v>
      </c>
      <c r="S756">
        <f t="shared" si="82"/>
        <v>0.4757142857142857</v>
      </c>
      <c r="T756" t="str">
        <f t="shared" si="83"/>
        <v>Scenario 1: Strong Commitment</v>
      </c>
    </row>
    <row r="757" spans="1:20" x14ac:dyDescent="0.35">
      <c r="A757" t="s">
        <v>957</v>
      </c>
      <c r="B757" s="1">
        <v>45968</v>
      </c>
      <c r="C757">
        <v>2025</v>
      </c>
      <c r="D757">
        <v>11</v>
      </c>
      <c r="E757" t="s">
        <v>125</v>
      </c>
      <c r="F757">
        <v>96</v>
      </c>
      <c r="G757" t="s">
        <v>269</v>
      </c>
      <c r="H757" t="s">
        <v>30</v>
      </c>
      <c r="I757">
        <v>0</v>
      </c>
      <c r="J757">
        <v>0</v>
      </c>
      <c r="K757">
        <v>5.7</v>
      </c>
      <c r="L757">
        <v>2117</v>
      </c>
      <c r="M757" t="s">
        <v>17</v>
      </c>
      <c r="N757" t="str">
        <f t="shared" si="77"/>
        <v>streaming</v>
      </c>
      <c r="O757" t="str">
        <f t="shared" si="78"/>
        <v>non-original</v>
      </c>
      <c r="P757" t="str">
        <f t="shared" si="79"/>
        <v>non-franchise</v>
      </c>
      <c r="Q757" t="str">
        <f t="shared" si="80"/>
        <v>new</v>
      </c>
      <c r="R757" s="2">
        <f t="shared" si="81"/>
        <v>7.5943624533990881E-4</v>
      </c>
      <c r="S757">
        <f t="shared" si="82"/>
        <v>0.54642857142857149</v>
      </c>
      <c r="T757" t="str">
        <f t="shared" si="83"/>
        <v>Scenario 3: Strong Convenience</v>
      </c>
    </row>
    <row r="758" spans="1:20" x14ac:dyDescent="0.35">
      <c r="A758" t="s">
        <v>958</v>
      </c>
      <c r="B758" s="1">
        <v>45973</v>
      </c>
      <c r="C758">
        <v>2025</v>
      </c>
      <c r="D758">
        <v>11</v>
      </c>
      <c r="E758" t="s">
        <v>125</v>
      </c>
      <c r="F758">
        <v>91</v>
      </c>
      <c r="G758" t="s">
        <v>156</v>
      </c>
      <c r="H758" t="s">
        <v>56</v>
      </c>
      <c r="I758">
        <v>0</v>
      </c>
      <c r="J758">
        <v>0</v>
      </c>
      <c r="K758">
        <v>5.3</v>
      </c>
      <c r="L758">
        <v>10652</v>
      </c>
      <c r="M758" t="s">
        <v>88</v>
      </c>
      <c r="N758" t="str">
        <f t="shared" si="77"/>
        <v>streaming</v>
      </c>
      <c r="O758" t="str">
        <f t="shared" si="78"/>
        <v>non-original</v>
      </c>
      <c r="P758" t="str">
        <f t="shared" si="79"/>
        <v>non-franchise</v>
      </c>
      <c r="Q758" t="str">
        <f t="shared" si="80"/>
        <v>new</v>
      </c>
      <c r="R758" s="2">
        <f t="shared" si="81"/>
        <v>3.6221946079742586E-3</v>
      </c>
      <c r="S758">
        <f t="shared" si="82"/>
        <v>0.52302631578947378</v>
      </c>
      <c r="T758" t="str">
        <f t="shared" si="83"/>
        <v>Scenario 3: Strong Convenience</v>
      </c>
    </row>
    <row r="759" spans="1:20" x14ac:dyDescent="0.35">
      <c r="A759" t="s">
        <v>959</v>
      </c>
      <c r="B759" s="1">
        <v>45974</v>
      </c>
      <c r="C759">
        <v>2025</v>
      </c>
      <c r="D759">
        <v>11</v>
      </c>
      <c r="E759" t="s">
        <v>125</v>
      </c>
      <c r="F759">
        <v>117</v>
      </c>
      <c r="G759" t="s">
        <v>43</v>
      </c>
      <c r="H759" t="s">
        <v>24</v>
      </c>
      <c r="I759">
        <v>0</v>
      </c>
      <c r="J759">
        <v>0</v>
      </c>
      <c r="K759">
        <v>5.2</v>
      </c>
      <c r="L759">
        <v>340</v>
      </c>
      <c r="M759" t="s">
        <v>17</v>
      </c>
      <c r="N759" t="str">
        <f t="shared" si="77"/>
        <v>streaming</v>
      </c>
      <c r="O759" t="str">
        <f t="shared" si="78"/>
        <v>non-original</v>
      </c>
      <c r="P759" t="str">
        <f t="shared" si="79"/>
        <v>non-franchise</v>
      </c>
      <c r="Q759" t="str">
        <f t="shared" si="80"/>
        <v>new</v>
      </c>
      <c r="R759" s="2">
        <f t="shared" si="81"/>
        <v>1.4864969020440469E-4</v>
      </c>
      <c r="S759">
        <f t="shared" si="82"/>
        <v>0.4369172932330827</v>
      </c>
      <c r="T759" t="str">
        <f t="shared" si="83"/>
        <v>Scenario 2: Weak Commitment/Convenience</v>
      </c>
    </row>
    <row r="760" spans="1:20" x14ac:dyDescent="0.35">
      <c r="A760" t="s">
        <v>960</v>
      </c>
      <c r="B760" s="1">
        <v>45975</v>
      </c>
      <c r="C760">
        <v>2025</v>
      </c>
      <c r="D760">
        <v>11</v>
      </c>
      <c r="E760" t="s">
        <v>125</v>
      </c>
      <c r="F760">
        <v>91</v>
      </c>
      <c r="G760" t="s">
        <v>961</v>
      </c>
      <c r="H760" t="s">
        <v>56</v>
      </c>
      <c r="I760">
        <v>0</v>
      </c>
      <c r="J760">
        <v>0</v>
      </c>
      <c r="K760">
        <v>6.5</v>
      </c>
      <c r="L760">
        <v>6774</v>
      </c>
      <c r="M760" t="s">
        <v>88</v>
      </c>
      <c r="N760" t="str">
        <f t="shared" si="77"/>
        <v>streaming</v>
      </c>
      <c r="O760" t="str">
        <f t="shared" si="78"/>
        <v>non-original</v>
      </c>
      <c r="P760" t="str">
        <f t="shared" si="79"/>
        <v>non-franchise</v>
      </c>
      <c r="Q760" t="str">
        <f t="shared" si="80"/>
        <v>new</v>
      </c>
      <c r="R760" s="2">
        <f t="shared" si="81"/>
        <v>2.3034872582066868E-3</v>
      </c>
      <c r="S760">
        <f t="shared" si="82"/>
        <v>0.64144736842105277</v>
      </c>
      <c r="T760" t="str">
        <f t="shared" si="83"/>
        <v>Scenario 3: Strong Convenience</v>
      </c>
    </row>
    <row r="761" spans="1:20" x14ac:dyDescent="0.35">
      <c r="A761" t="s">
        <v>962</v>
      </c>
      <c r="B761" s="1">
        <v>45975</v>
      </c>
      <c r="C761">
        <v>2025</v>
      </c>
      <c r="D761">
        <v>11</v>
      </c>
      <c r="E761" t="s">
        <v>125</v>
      </c>
      <c r="F761">
        <v>126</v>
      </c>
      <c r="G761" t="s">
        <v>34</v>
      </c>
      <c r="H761" t="s">
        <v>30</v>
      </c>
      <c r="I761">
        <v>0</v>
      </c>
      <c r="J761">
        <v>0</v>
      </c>
      <c r="K761">
        <v>6.5</v>
      </c>
      <c r="L761">
        <v>3353</v>
      </c>
      <c r="M761" t="s">
        <v>17</v>
      </c>
      <c r="N761" t="str">
        <f t="shared" si="77"/>
        <v>streaming</v>
      </c>
      <c r="O761" t="str">
        <f t="shared" si="78"/>
        <v>non-original</v>
      </c>
      <c r="P761" t="str">
        <f t="shared" si="79"/>
        <v>non-franchise</v>
      </c>
      <c r="Q761" t="str">
        <f t="shared" si="80"/>
        <v>new</v>
      </c>
      <c r="R761" s="2">
        <f t="shared" si="81"/>
        <v>1.5787135198133857E-3</v>
      </c>
      <c r="S761">
        <f t="shared" si="82"/>
        <v>0.51315789473684226</v>
      </c>
      <c r="T761" t="str">
        <f t="shared" si="83"/>
        <v>Scenario 3: Strong Convenience</v>
      </c>
    </row>
    <row r="762" spans="1:20" x14ac:dyDescent="0.35">
      <c r="A762" t="s">
        <v>963</v>
      </c>
      <c r="B762" s="1">
        <v>45980</v>
      </c>
      <c r="C762">
        <v>2025</v>
      </c>
      <c r="D762">
        <v>11</v>
      </c>
      <c r="E762" t="s">
        <v>125</v>
      </c>
      <c r="F762">
        <v>99</v>
      </c>
      <c r="G762" t="s">
        <v>156</v>
      </c>
      <c r="H762" t="s">
        <v>27</v>
      </c>
      <c r="I762">
        <v>0</v>
      </c>
      <c r="J762">
        <v>0</v>
      </c>
      <c r="K762">
        <v>6</v>
      </c>
      <c r="L762">
        <v>12778</v>
      </c>
      <c r="M762" t="s">
        <v>17</v>
      </c>
      <c r="N762" t="str">
        <f t="shared" si="77"/>
        <v>streaming</v>
      </c>
      <c r="O762" t="str">
        <f t="shared" si="78"/>
        <v>non-original</v>
      </c>
      <c r="P762" t="str">
        <f t="shared" si="79"/>
        <v>non-franchise</v>
      </c>
      <c r="Q762" t="str">
        <f t="shared" si="80"/>
        <v>new</v>
      </c>
      <c r="R762" s="2">
        <f t="shared" si="81"/>
        <v>4.7271274108033291E-3</v>
      </c>
      <c r="S762">
        <f t="shared" si="82"/>
        <v>0.56503759398496234</v>
      </c>
      <c r="T762" t="str">
        <f t="shared" si="83"/>
        <v>Scenario 3: Strong Convenience</v>
      </c>
    </row>
    <row r="763" spans="1:20" x14ac:dyDescent="0.35">
      <c r="A763" t="s">
        <v>964</v>
      </c>
      <c r="B763" s="1">
        <v>45980</v>
      </c>
      <c r="C763">
        <v>2025</v>
      </c>
      <c r="D763">
        <v>11</v>
      </c>
      <c r="E763" t="s">
        <v>125</v>
      </c>
      <c r="F763">
        <v>127</v>
      </c>
      <c r="G763" t="s">
        <v>34</v>
      </c>
      <c r="H763" t="s">
        <v>24</v>
      </c>
      <c r="I763">
        <v>0</v>
      </c>
      <c r="J763">
        <v>0</v>
      </c>
      <c r="K763">
        <v>7.4</v>
      </c>
      <c r="L763">
        <v>2170</v>
      </c>
      <c r="M763" t="s">
        <v>17</v>
      </c>
      <c r="N763" t="str">
        <f t="shared" si="77"/>
        <v>streaming</v>
      </c>
      <c r="O763" t="str">
        <f t="shared" si="78"/>
        <v>non-original</v>
      </c>
      <c r="P763" t="str">
        <f t="shared" si="79"/>
        <v>non-franchise</v>
      </c>
      <c r="Q763" t="str">
        <f t="shared" si="80"/>
        <v>new</v>
      </c>
      <c r="R763" s="2">
        <f t="shared" si="81"/>
        <v>1.0298232308555025E-3</v>
      </c>
      <c r="S763">
        <f t="shared" si="82"/>
        <v>0.58003759398496224</v>
      </c>
      <c r="T763" t="str">
        <f t="shared" si="83"/>
        <v>Scenario 3: Strong Convenience</v>
      </c>
    </row>
    <row r="764" spans="1:20" x14ac:dyDescent="0.35">
      <c r="A764" t="s">
        <v>965</v>
      </c>
      <c r="B764" s="1">
        <v>45981</v>
      </c>
      <c r="C764">
        <v>2025</v>
      </c>
      <c r="D764">
        <v>11</v>
      </c>
      <c r="E764" t="s">
        <v>125</v>
      </c>
      <c r="F764">
        <v>121</v>
      </c>
      <c r="G764" t="s">
        <v>966</v>
      </c>
      <c r="H764" t="s">
        <v>30</v>
      </c>
      <c r="I764">
        <v>0</v>
      </c>
      <c r="J764">
        <v>0</v>
      </c>
      <c r="K764">
        <v>6.4</v>
      </c>
      <c r="L764">
        <v>501</v>
      </c>
      <c r="M764" t="s">
        <v>17</v>
      </c>
      <c r="N764" t="str">
        <f t="shared" si="77"/>
        <v>streaming</v>
      </c>
      <c r="O764" t="str">
        <f t="shared" si="78"/>
        <v>non-original</v>
      </c>
      <c r="P764" t="str">
        <f t="shared" si="79"/>
        <v>non-franchise</v>
      </c>
      <c r="Q764" t="str">
        <f t="shared" si="80"/>
        <v>new</v>
      </c>
      <c r="R764" s="2">
        <f t="shared" si="81"/>
        <v>2.2652822699550571E-4</v>
      </c>
      <c r="S764">
        <f t="shared" si="82"/>
        <v>0.52330827067669172</v>
      </c>
      <c r="T764" t="str">
        <f t="shared" si="83"/>
        <v>Scenario 3: Strong Convenience</v>
      </c>
    </row>
    <row r="765" spans="1:20" x14ac:dyDescent="0.35">
      <c r="A765" t="s">
        <v>967</v>
      </c>
      <c r="B765" s="1">
        <v>45982</v>
      </c>
      <c r="C765">
        <v>2025</v>
      </c>
      <c r="D765">
        <v>11</v>
      </c>
      <c r="E765" t="s">
        <v>125</v>
      </c>
      <c r="F765">
        <v>103</v>
      </c>
      <c r="G765" t="s">
        <v>34</v>
      </c>
      <c r="H765" t="s">
        <v>27</v>
      </c>
      <c r="I765">
        <v>0</v>
      </c>
      <c r="J765">
        <v>0</v>
      </c>
      <c r="K765">
        <v>7.5</v>
      </c>
      <c r="L765">
        <v>83605</v>
      </c>
      <c r="M765" t="s">
        <v>17</v>
      </c>
      <c r="N765" t="str">
        <f t="shared" si="77"/>
        <v>streaming</v>
      </c>
      <c r="O765" t="str">
        <f t="shared" si="78"/>
        <v>non-original</v>
      </c>
      <c r="P765" t="str">
        <f t="shared" si="79"/>
        <v>non-franchise</v>
      </c>
      <c r="Q765" t="str">
        <f t="shared" si="80"/>
        <v>new</v>
      </c>
      <c r="R765" s="2">
        <f t="shared" si="81"/>
        <v>3.2178715610923656E-2</v>
      </c>
      <c r="S765">
        <f t="shared" si="82"/>
        <v>0.68937969924812026</v>
      </c>
      <c r="T765" t="str">
        <f t="shared" si="83"/>
        <v>Scenario 4: Hybrid Logic</v>
      </c>
    </row>
    <row r="766" spans="1:20" x14ac:dyDescent="0.35">
      <c r="A766" t="s">
        <v>968</v>
      </c>
      <c r="B766" s="1">
        <v>45987</v>
      </c>
      <c r="C766">
        <v>2025</v>
      </c>
      <c r="D766">
        <v>11</v>
      </c>
      <c r="E766" t="s">
        <v>125</v>
      </c>
      <c r="F766">
        <v>96</v>
      </c>
      <c r="G766" t="s">
        <v>156</v>
      </c>
      <c r="H766" t="s">
        <v>27</v>
      </c>
      <c r="I766">
        <v>0</v>
      </c>
      <c r="J766">
        <v>0</v>
      </c>
      <c r="K766">
        <v>5.8</v>
      </c>
      <c r="L766">
        <v>14153</v>
      </c>
      <c r="M766" t="s">
        <v>17</v>
      </c>
      <c r="N766" t="str">
        <f t="shared" si="77"/>
        <v>streaming</v>
      </c>
      <c r="O766" t="str">
        <f t="shared" si="78"/>
        <v>non-original</v>
      </c>
      <c r="P766" t="str">
        <f t="shared" si="79"/>
        <v>non-franchise</v>
      </c>
      <c r="Q766" t="str">
        <f t="shared" si="80"/>
        <v>new</v>
      </c>
      <c r="R766" s="2">
        <f t="shared" si="81"/>
        <v>5.0771380162001551E-3</v>
      </c>
      <c r="S766">
        <f t="shared" si="82"/>
        <v>0.55601503759398485</v>
      </c>
      <c r="T766" t="str">
        <f t="shared" si="83"/>
        <v>Scenario 3: Strong Convenience</v>
      </c>
    </row>
    <row r="767" spans="1:20" x14ac:dyDescent="0.35">
      <c r="A767" t="s">
        <v>969</v>
      </c>
      <c r="B767" s="1">
        <v>45992</v>
      </c>
      <c r="C767">
        <v>2025</v>
      </c>
      <c r="D767">
        <v>12</v>
      </c>
      <c r="E767" t="s">
        <v>14</v>
      </c>
      <c r="F767">
        <v>104</v>
      </c>
      <c r="G767" t="s">
        <v>522</v>
      </c>
      <c r="H767" t="s">
        <v>27</v>
      </c>
      <c r="I767">
        <v>0</v>
      </c>
      <c r="J767">
        <v>1</v>
      </c>
      <c r="K767">
        <v>5.3</v>
      </c>
      <c r="L767">
        <v>12401</v>
      </c>
      <c r="M767" t="s">
        <v>88</v>
      </c>
      <c r="N767" t="str">
        <f t="shared" si="77"/>
        <v>streaming</v>
      </c>
      <c r="O767" t="str">
        <f t="shared" si="78"/>
        <v>non-original</v>
      </c>
      <c r="P767" t="str">
        <f t="shared" si="79"/>
        <v>franchise</v>
      </c>
      <c r="Q767" t="str">
        <f t="shared" si="80"/>
        <v>old</v>
      </c>
      <c r="R767" s="2">
        <f t="shared" si="81"/>
        <v>7.2290384636267552E-3</v>
      </c>
      <c r="S767">
        <f t="shared" si="82"/>
        <v>0.32278195488721806</v>
      </c>
      <c r="T767" t="str">
        <f t="shared" si="83"/>
        <v>Scenario 2: Weak Commitment/Convenience</v>
      </c>
    </row>
    <row r="768" spans="1:20" x14ac:dyDescent="0.35">
      <c r="A768" t="s">
        <v>970</v>
      </c>
      <c r="B768" s="1">
        <v>45994</v>
      </c>
      <c r="C768">
        <v>2025</v>
      </c>
      <c r="D768">
        <v>12</v>
      </c>
      <c r="E768" t="s">
        <v>14</v>
      </c>
      <c r="F768">
        <v>92</v>
      </c>
      <c r="G768" t="s">
        <v>156</v>
      </c>
      <c r="H768" t="s">
        <v>56</v>
      </c>
      <c r="I768">
        <v>0</v>
      </c>
      <c r="J768">
        <v>0</v>
      </c>
      <c r="K768">
        <v>5.6</v>
      </c>
      <c r="L768">
        <v>9712</v>
      </c>
      <c r="M768" t="s">
        <v>88</v>
      </c>
      <c r="N768" t="str">
        <f t="shared" si="77"/>
        <v>streaming</v>
      </c>
      <c r="O768" t="str">
        <f t="shared" si="78"/>
        <v>non-original</v>
      </c>
      <c r="P768" t="str">
        <f t="shared" si="79"/>
        <v>non-franchise</v>
      </c>
      <c r="Q768" t="str">
        <f t="shared" si="80"/>
        <v>new</v>
      </c>
      <c r="R768" s="2">
        <f t="shared" si="81"/>
        <v>3.3388409451080036E-3</v>
      </c>
      <c r="S768">
        <f t="shared" si="82"/>
        <v>0.54947368421052623</v>
      </c>
      <c r="T768" t="str">
        <f t="shared" si="83"/>
        <v>Scenario 3: Strong Convenience</v>
      </c>
    </row>
    <row r="769" spans="1:20" x14ac:dyDescent="0.35">
      <c r="A769" t="s">
        <v>971</v>
      </c>
      <c r="B769" s="1">
        <v>45995</v>
      </c>
      <c r="C769">
        <v>2025</v>
      </c>
      <c r="D769">
        <v>12</v>
      </c>
      <c r="E769" t="s">
        <v>14</v>
      </c>
      <c r="F769">
        <v>103</v>
      </c>
      <c r="G769" t="s">
        <v>34</v>
      </c>
      <c r="H769" t="s">
        <v>30</v>
      </c>
      <c r="I769">
        <v>0</v>
      </c>
      <c r="J769">
        <v>0</v>
      </c>
      <c r="K769">
        <v>5.6</v>
      </c>
      <c r="L769">
        <v>169</v>
      </c>
      <c r="M769" t="s">
        <v>17</v>
      </c>
      <c r="N769" t="str">
        <f t="shared" si="77"/>
        <v>streaming</v>
      </c>
      <c r="O769" t="str">
        <f t="shared" si="78"/>
        <v>non-original</v>
      </c>
      <c r="P769" t="str">
        <f t="shared" si="79"/>
        <v>non-franchise</v>
      </c>
      <c r="Q769" t="str">
        <f t="shared" si="80"/>
        <v>new</v>
      </c>
      <c r="R769" s="2">
        <f t="shared" si="81"/>
        <v>6.50463840469601E-5</v>
      </c>
      <c r="S769">
        <f t="shared" si="82"/>
        <v>0.51473684210526305</v>
      </c>
      <c r="T769" t="str">
        <f t="shared" si="83"/>
        <v>Scenario 3: Strong Convenience</v>
      </c>
    </row>
    <row r="770" spans="1:20" x14ac:dyDescent="0.35">
      <c r="A770" t="s">
        <v>972</v>
      </c>
      <c r="B770" s="1">
        <v>45996</v>
      </c>
      <c r="C770">
        <v>2025</v>
      </c>
      <c r="D770">
        <v>12</v>
      </c>
      <c r="E770" t="s">
        <v>14</v>
      </c>
      <c r="F770">
        <v>133</v>
      </c>
      <c r="G770" t="s">
        <v>116</v>
      </c>
      <c r="H770" t="s">
        <v>24</v>
      </c>
      <c r="I770">
        <v>0</v>
      </c>
      <c r="J770">
        <v>0</v>
      </c>
      <c r="K770">
        <v>6.5</v>
      </c>
      <c r="L770">
        <v>36916</v>
      </c>
      <c r="M770" t="s">
        <v>17</v>
      </c>
      <c r="N770" t="str">
        <f t="shared" si="77"/>
        <v>streaming</v>
      </c>
      <c r="O770" t="str">
        <f t="shared" si="78"/>
        <v>non-original</v>
      </c>
      <c r="P770" t="str">
        <f t="shared" si="79"/>
        <v>non-franchise</v>
      </c>
      <c r="Q770" t="str">
        <f t="shared" si="80"/>
        <v>new</v>
      </c>
      <c r="R770" s="2">
        <f t="shared" si="81"/>
        <v>1.8347018882778076E-2</v>
      </c>
      <c r="S770">
        <f t="shared" si="82"/>
        <v>0.48750000000000004</v>
      </c>
      <c r="T770" t="str">
        <f t="shared" si="83"/>
        <v>Scenario 2: Weak Commitment/Convenience</v>
      </c>
    </row>
    <row r="771" spans="1:20" x14ac:dyDescent="0.35">
      <c r="A771" t="s">
        <v>973</v>
      </c>
      <c r="B771" s="1">
        <v>45996</v>
      </c>
      <c r="C771">
        <v>2025</v>
      </c>
      <c r="D771">
        <v>12</v>
      </c>
      <c r="E771" t="s">
        <v>14</v>
      </c>
      <c r="F771">
        <v>109</v>
      </c>
      <c r="G771" t="s">
        <v>29</v>
      </c>
      <c r="H771" t="s">
        <v>30</v>
      </c>
      <c r="I771">
        <v>0</v>
      </c>
      <c r="J771">
        <v>0</v>
      </c>
      <c r="K771">
        <v>5.4</v>
      </c>
      <c r="L771">
        <v>335</v>
      </c>
      <c r="M771" t="s">
        <v>17</v>
      </c>
      <c r="N771" t="str">
        <f t="shared" ref="N771:N834" si="84">IF(ISNUMBER(SEARCH("Streaming", M771)), "streaming", "cinema")</f>
        <v>streaming</v>
      </c>
      <c r="O771" t="str">
        <f t="shared" ref="O771:O834" si="85">IF(I771=1, "original", "non-original")</f>
        <v>non-original</v>
      </c>
      <c r="P771" t="str">
        <f t="shared" ref="P771:P834" si="86">IF(J771 = 1, "franchise", "non-franchise")</f>
        <v>non-franchise</v>
      </c>
      <c r="Q771" t="str">
        <f t="shared" ref="Q771:Q834" si="87">IF(OR(I771 = 1,J771 =1), "old", "new")</f>
        <v>new</v>
      </c>
      <c r="R771" s="2">
        <f t="shared" ref="R771:R834" si="88">IF(Q771="old", 1.5, 1) * (L771 / MAX($L$2:$L$1000)) * (F771 / MAX($F$2:$F$1000))</f>
        <v>1.3644905575198183E-4</v>
      </c>
      <c r="S771">
        <f t="shared" ref="S771:S834" si="89">IF(Q771="new", 1.5, 1) * (K771 / 10) * (1 - (F771 / MAX($F$2:$F$1000)))</f>
        <v>0.47808270676691733</v>
      </c>
      <c r="T771" t="str">
        <f t="shared" ref="T771:T834" si="90">IF(AND(R771&gt;=0.03, S771&gt;=0.5), "Scenario 4: Hybrid Logic",
 IF(AND(R771&gt;=0.03, S771&lt;0.5), "Scenario 1: Strong Commitment",
  IF(AND(R771&lt;0.03, S771&gt;=0.5), "Scenario 3: Strong Convenience",
   "Scenario 2: Weak Commitment/Convenience")))</f>
        <v>Scenario 2: Weak Commitment/Convenience</v>
      </c>
    </row>
    <row r="772" spans="1:20" x14ac:dyDescent="0.35">
      <c r="A772" t="s">
        <v>974</v>
      </c>
      <c r="B772" s="1">
        <v>45996</v>
      </c>
      <c r="C772">
        <v>2025</v>
      </c>
      <c r="D772">
        <v>12</v>
      </c>
      <c r="E772" t="s">
        <v>14</v>
      </c>
      <c r="F772">
        <v>123</v>
      </c>
      <c r="G772" t="s">
        <v>43</v>
      </c>
      <c r="H772" t="s">
        <v>24</v>
      </c>
      <c r="I772">
        <v>0</v>
      </c>
      <c r="J772">
        <v>0</v>
      </c>
      <c r="K772">
        <v>5.4</v>
      </c>
      <c r="L772">
        <v>1533</v>
      </c>
      <c r="M772" t="s">
        <v>17</v>
      </c>
      <c r="N772" t="str">
        <f t="shared" si="84"/>
        <v>streaming</v>
      </c>
      <c r="O772" t="str">
        <f t="shared" si="85"/>
        <v>non-original</v>
      </c>
      <c r="P772" t="str">
        <f t="shared" si="86"/>
        <v>non-franchise</v>
      </c>
      <c r="Q772" t="str">
        <f t="shared" si="87"/>
        <v>new</v>
      </c>
      <c r="R772" s="2">
        <f t="shared" si="88"/>
        <v>7.0460625779920417E-4</v>
      </c>
      <c r="S772">
        <f t="shared" si="89"/>
        <v>0.43545112781954892</v>
      </c>
      <c r="T772" t="str">
        <f t="shared" si="90"/>
        <v>Scenario 2: Weak Commitment/Convenience</v>
      </c>
    </row>
    <row r="773" spans="1:20" x14ac:dyDescent="0.35">
      <c r="A773" t="s">
        <v>975</v>
      </c>
      <c r="B773" s="1">
        <v>45996</v>
      </c>
      <c r="C773">
        <v>2025</v>
      </c>
      <c r="D773">
        <v>12</v>
      </c>
      <c r="E773" t="s">
        <v>14</v>
      </c>
      <c r="F773">
        <v>94</v>
      </c>
      <c r="G773" t="s">
        <v>21</v>
      </c>
      <c r="H773" t="s">
        <v>30</v>
      </c>
      <c r="I773">
        <v>0</v>
      </c>
      <c r="J773">
        <v>0</v>
      </c>
      <c r="K773">
        <v>4.5999999999999996</v>
      </c>
      <c r="L773">
        <v>348</v>
      </c>
      <c r="M773" t="s">
        <v>17</v>
      </c>
      <c r="N773" t="str">
        <f t="shared" si="84"/>
        <v>streaming</v>
      </c>
      <c r="O773" t="str">
        <f t="shared" si="85"/>
        <v>non-original</v>
      </c>
      <c r="P773" t="str">
        <f t="shared" si="86"/>
        <v>non-franchise</v>
      </c>
      <c r="Q773" t="str">
        <f t="shared" si="87"/>
        <v>new</v>
      </c>
      <c r="R773" s="2">
        <f t="shared" si="88"/>
        <v>1.2223802579101271E-4</v>
      </c>
      <c r="S773">
        <f t="shared" si="89"/>
        <v>0.4461654135338346</v>
      </c>
      <c r="T773" t="str">
        <f t="shared" si="90"/>
        <v>Scenario 2: Weak Commitment/Convenience</v>
      </c>
    </row>
    <row r="774" spans="1:20" x14ac:dyDescent="0.35">
      <c r="A774" t="s">
        <v>976</v>
      </c>
      <c r="B774" s="1">
        <v>46002</v>
      </c>
      <c r="C774">
        <v>2025</v>
      </c>
      <c r="D774">
        <v>12</v>
      </c>
      <c r="E774" t="s">
        <v>14</v>
      </c>
      <c r="F774">
        <v>115</v>
      </c>
      <c r="G774" t="s">
        <v>116</v>
      </c>
      <c r="H774" t="s">
        <v>30</v>
      </c>
      <c r="I774">
        <v>0</v>
      </c>
      <c r="J774">
        <v>0</v>
      </c>
      <c r="K774">
        <v>5.7</v>
      </c>
      <c r="L774">
        <v>253</v>
      </c>
      <c r="M774" t="s">
        <v>17</v>
      </c>
      <c r="N774" t="str">
        <f t="shared" si="84"/>
        <v>streaming</v>
      </c>
      <c r="O774" t="str">
        <f t="shared" si="85"/>
        <v>non-original</v>
      </c>
      <c r="P774" t="str">
        <f t="shared" si="86"/>
        <v>non-franchise</v>
      </c>
      <c r="Q774" t="str">
        <f t="shared" si="87"/>
        <v>new</v>
      </c>
      <c r="R774" s="2">
        <f t="shared" si="88"/>
        <v>1.0872203963039604E-4</v>
      </c>
      <c r="S774">
        <f t="shared" si="89"/>
        <v>0.48535714285714293</v>
      </c>
      <c r="T774" t="str">
        <f t="shared" si="90"/>
        <v>Scenario 2: Weak Commitment/Convenience</v>
      </c>
    </row>
    <row r="775" spans="1:20" x14ac:dyDescent="0.35">
      <c r="A775" t="s">
        <v>977</v>
      </c>
      <c r="B775" s="1">
        <v>46002</v>
      </c>
      <c r="C775">
        <v>2025</v>
      </c>
      <c r="D775">
        <v>12</v>
      </c>
      <c r="E775" t="s">
        <v>14</v>
      </c>
      <c r="F775">
        <v>86</v>
      </c>
      <c r="G775" t="s">
        <v>21</v>
      </c>
      <c r="H775" t="s">
        <v>27</v>
      </c>
      <c r="I775">
        <v>0</v>
      </c>
      <c r="J775">
        <v>0</v>
      </c>
      <c r="K775">
        <v>4.2</v>
      </c>
      <c r="L775">
        <v>377</v>
      </c>
      <c r="M775" t="s">
        <v>17</v>
      </c>
      <c r="N775" t="str">
        <f t="shared" si="84"/>
        <v>streaming</v>
      </c>
      <c r="O775" t="str">
        <f t="shared" si="85"/>
        <v>non-original</v>
      </c>
      <c r="P775" t="str">
        <f t="shared" si="86"/>
        <v>non-franchise</v>
      </c>
      <c r="Q775" t="str">
        <f t="shared" si="87"/>
        <v>new</v>
      </c>
      <c r="R775" s="2">
        <f t="shared" si="88"/>
        <v>1.2115435534960304E-4</v>
      </c>
      <c r="S775">
        <f t="shared" si="89"/>
        <v>0.42631578947368431</v>
      </c>
      <c r="T775" t="str">
        <f t="shared" si="90"/>
        <v>Scenario 2: Weak Commitment/Convenience</v>
      </c>
    </row>
    <row r="776" spans="1:20" x14ac:dyDescent="0.35">
      <c r="A776" t="s">
        <v>978</v>
      </c>
      <c r="B776" s="1">
        <v>46010</v>
      </c>
      <c r="C776">
        <v>2025</v>
      </c>
      <c r="D776">
        <v>12</v>
      </c>
      <c r="E776" t="s">
        <v>14</v>
      </c>
      <c r="F776">
        <v>107</v>
      </c>
      <c r="G776" t="s">
        <v>21</v>
      </c>
      <c r="H776" t="s">
        <v>24</v>
      </c>
      <c r="I776">
        <v>0</v>
      </c>
      <c r="J776">
        <v>0</v>
      </c>
      <c r="K776">
        <v>6.2</v>
      </c>
      <c r="L776">
        <v>1570</v>
      </c>
      <c r="M776" t="s">
        <v>17</v>
      </c>
      <c r="N776" t="str">
        <f t="shared" si="84"/>
        <v>streaming</v>
      </c>
      <c r="O776" t="str">
        <f t="shared" si="85"/>
        <v>non-original</v>
      </c>
      <c r="P776" t="str">
        <f t="shared" si="86"/>
        <v>non-franchise</v>
      </c>
      <c r="Q776" t="str">
        <f t="shared" si="87"/>
        <v>new</v>
      </c>
      <c r="R776" s="2">
        <f t="shared" si="88"/>
        <v>6.27744129146253E-4</v>
      </c>
      <c r="S776">
        <f t="shared" si="89"/>
        <v>0.55590225563909779</v>
      </c>
      <c r="T776" t="str">
        <f t="shared" si="90"/>
        <v>Scenario 3: Strong Convenience</v>
      </c>
    </row>
    <row r="777" spans="1:20" x14ac:dyDescent="0.35">
      <c r="A777" t="s">
        <v>979</v>
      </c>
      <c r="B777" s="1">
        <v>46010</v>
      </c>
      <c r="C777">
        <v>2025</v>
      </c>
      <c r="D777">
        <v>12</v>
      </c>
      <c r="E777" t="s">
        <v>14</v>
      </c>
      <c r="F777">
        <v>108</v>
      </c>
      <c r="G777" t="s">
        <v>702</v>
      </c>
      <c r="H777" t="s">
        <v>24</v>
      </c>
      <c r="I777">
        <v>0</v>
      </c>
      <c r="J777">
        <v>0</v>
      </c>
      <c r="K777">
        <v>5.4</v>
      </c>
      <c r="L777">
        <v>22129</v>
      </c>
      <c r="M777" t="s">
        <v>88</v>
      </c>
      <c r="N777" t="str">
        <f t="shared" si="84"/>
        <v>streaming</v>
      </c>
      <c r="O777" t="str">
        <f t="shared" si="85"/>
        <v>non-original</v>
      </c>
      <c r="P777" t="str">
        <f t="shared" si="86"/>
        <v>non-franchise</v>
      </c>
      <c r="Q777" t="str">
        <f t="shared" si="87"/>
        <v>new</v>
      </c>
      <c r="R777" s="2">
        <f t="shared" si="88"/>
        <v>8.9306850530315052E-3</v>
      </c>
      <c r="S777">
        <f t="shared" si="89"/>
        <v>0.48112781954887224</v>
      </c>
      <c r="T777" t="str">
        <f t="shared" si="90"/>
        <v>Scenario 2: Weak Commitment/Convenience</v>
      </c>
    </row>
    <row r="778" spans="1:20" x14ac:dyDescent="0.35">
      <c r="A778" t="s">
        <v>980</v>
      </c>
      <c r="B778" s="1">
        <v>46015</v>
      </c>
      <c r="C778">
        <v>2025</v>
      </c>
      <c r="D778">
        <v>12</v>
      </c>
      <c r="E778" t="s">
        <v>14</v>
      </c>
      <c r="F778">
        <v>116</v>
      </c>
      <c r="G778" t="s">
        <v>34</v>
      </c>
      <c r="H778" t="s">
        <v>24</v>
      </c>
      <c r="I778">
        <v>0</v>
      </c>
      <c r="J778">
        <v>0</v>
      </c>
      <c r="K778">
        <v>6.7</v>
      </c>
      <c r="L778">
        <v>9280</v>
      </c>
      <c r="M778" t="s">
        <v>17</v>
      </c>
      <c r="N778" t="str">
        <f t="shared" si="84"/>
        <v>streaming</v>
      </c>
      <c r="O778" t="str">
        <f t="shared" si="85"/>
        <v>non-original</v>
      </c>
      <c r="P778" t="str">
        <f t="shared" si="86"/>
        <v>non-franchise</v>
      </c>
      <c r="Q778" t="str">
        <f t="shared" si="87"/>
        <v>new</v>
      </c>
      <c r="R778" s="2">
        <f t="shared" si="88"/>
        <v>4.0225846785127582E-3</v>
      </c>
      <c r="S778">
        <f t="shared" si="89"/>
        <v>0.56672932330827075</v>
      </c>
      <c r="T778" t="str">
        <f t="shared" si="90"/>
        <v>Scenario 3: Strong Convenience</v>
      </c>
    </row>
    <row r="779" spans="1:20" x14ac:dyDescent="0.35">
      <c r="A779" t="s">
        <v>981</v>
      </c>
      <c r="B779" s="1">
        <v>44050</v>
      </c>
      <c r="C779">
        <v>2020</v>
      </c>
      <c r="D779">
        <v>8</v>
      </c>
      <c r="E779" t="s">
        <v>78</v>
      </c>
      <c r="F779">
        <v>95</v>
      </c>
      <c r="G779" t="s">
        <v>982</v>
      </c>
      <c r="H779" t="s">
        <v>24</v>
      </c>
      <c r="I779">
        <v>1</v>
      </c>
      <c r="J779">
        <v>0</v>
      </c>
      <c r="K779">
        <v>4.9000000000000004</v>
      </c>
      <c r="L779">
        <v>17115</v>
      </c>
      <c r="M779" t="s">
        <v>983</v>
      </c>
      <c r="N779" t="str">
        <f t="shared" si="84"/>
        <v>cinema</v>
      </c>
      <c r="O779" t="str">
        <f t="shared" si="85"/>
        <v>original</v>
      </c>
      <c r="P779" t="str">
        <f t="shared" si="86"/>
        <v>non-franchise</v>
      </c>
      <c r="Q779" t="str">
        <f t="shared" si="87"/>
        <v>old</v>
      </c>
      <c r="R779" s="2">
        <f t="shared" si="88"/>
        <v>9.1136217023226503E-3</v>
      </c>
      <c r="S779">
        <f t="shared" si="89"/>
        <v>0.315</v>
      </c>
      <c r="T779" t="str">
        <f t="shared" si="90"/>
        <v>Scenario 2: Weak Commitment/Convenience</v>
      </c>
    </row>
    <row r="780" spans="1:20" x14ac:dyDescent="0.35">
      <c r="A780" t="s">
        <v>984</v>
      </c>
      <c r="B780" s="1">
        <v>44092</v>
      </c>
      <c r="C780">
        <v>2020</v>
      </c>
      <c r="D780">
        <v>9</v>
      </c>
      <c r="E780" t="s">
        <v>125</v>
      </c>
      <c r="F780">
        <v>95</v>
      </c>
      <c r="G780" t="s">
        <v>985</v>
      </c>
      <c r="H780" t="s">
        <v>16</v>
      </c>
      <c r="I780">
        <v>1</v>
      </c>
      <c r="J780">
        <v>0</v>
      </c>
      <c r="K780">
        <v>6.4</v>
      </c>
      <c r="L780">
        <v>1222</v>
      </c>
      <c r="M780" t="s">
        <v>983</v>
      </c>
      <c r="N780" t="str">
        <f t="shared" si="84"/>
        <v>cinema</v>
      </c>
      <c r="O780" t="str">
        <f t="shared" si="85"/>
        <v>original</v>
      </c>
      <c r="P780" t="str">
        <f t="shared" si="86"/>
        <v>non-franchise</v>
      </c>
      <c r="Q780" t="str">
        <f t="shared" si="87"/>
        <v>old</v>
      </c>
      <c r="R780" s="2">
        <f t="shared" si="88"/>
        <v>6.5070673212026169E-4</v>
      </c>
      <c r="S780">
        <f t="shared" si="89"/>
        <v>0.41142857142857142</v>
      </c>
      <c r="T780" t="str">
        <f t="shared" si="90"/>
        <v>Scenario 2: Weak Commitment/Convenience</v>
      </c>
    </row>
    <row r="781" spans="1:20" x14ac:dyDescent="0.35">
      <c r="A781" t="s">
        <v>160</v>
      </c>
      <c r="B781" s="1">
        <v>44134</v>
      </c>
      <c r="C781">
        <v>2020</v>
      </c>
      <c r="D781">
        <v>10</v>
      </c>
      <c r="E781" t="s">
        <v>125</v>
      </c>
      <c r="F781">
        <v>116</v>
      </c>
      <c r="G781" t="s">
        <v>982</v>
      </c>
      <c r="H781" t="s">
        <v>986</v>
      </c>
      <c r="I781">
        <v>0</v>
      </c>
      <c r="J781">
        <v>0</v>
      </c>
      <c r="K781">
        <v>6.1</v>
      </c>
      <c r="L781">
        <v>10719</v>
      </c>
      <c r="M781" t="s">
        <v>983</v>
      </c>
      <c r="N781" t="str">
        <f t="shared" si="84"/>
        <v>cinema</v>
      </c>
      <c r="O781" t="str">
        <f t="shared" si="85"/>
        <v>non-original</v>
      </c>
      <c r="P781" t="str">
        <f t="shared" si="86"/>
        <v>non-franchise</v>
      </c>
      <c r="Q781" t="str">
        <f t="shared" si="87"/>
        <v>new</v>
      </c>
      <c r="R781" s="2">
        <f t="shared" si="88"/>
        <v>4.6463453845881752E-3</v>
      </c>
      <c r="S781">
        <f t="shared" si="89"/>
        <v>0.51597744360902265</v>
      </c>
      <c r="T781" t="str">
        <f t="shared" si="90"/>
        <v>Scenario 3: Strong Convenience</v>
      </c>
    </row>
    <row r="782" spans="1:20" x14ac:dyDescent="0.35">
      <c r="A782" t="s">
        <v>987</v>
      </c>
      <c r="B782" s="1">
        <v>44166</v>
      </c>
      <c r="C782">
        <v>2020</v>
      </c>
      <c r="D782">
        <v>12</v>
      </c>
      <c r="E782" t="s">
        <v>14</v>
      </c>
      <c r="F782">
        <v>57</v>
      </c>
      <c r="G782" t="s">
        <v>988</v>
      </c>
      <c r="H782" t="s">
        <v>16</v>
      </c>
      <c r="I782">
        <v>1</v>
      </c>
      <c r="J782">
        <v>0</v>
      </c>
      <c r="K782">
        <v>6.5</v>
      </c>
      <c r="L782">
        <v>49665</v>
      </c>
      <c r="M782" t="s">
        <v>989</v>
      </c>
      <c r="N782" t="str">
        <f t="shared" si="84"/>
        <v>cinema</v>
      </c>
      <c r="O782" t="str">
        <f t="shared" si="85"/>
        <v>original</v>
      </c>
      <c r="P782" t="str">
        <f t="shared" si="86"/>
        <v>non-franchise</v>
      </c>
      <c r="Q782" t="str">
        <f t="shared" si="87"/>
        <v>old</v>
      </c>
      <c r="R782" s="2">
        <f t="shared" si="88"/>
        <v>1.5867765884166676E-2</v>
      </c>
      <c r="S782">
        <f t="shared" si="89"/>
        <v>0.51071428571428568</v>
      </c>
      <c r="T782" t="str">
        <f t="shared" si="90"/>
        <v>Scenario 3: Strong Convenience</v>
      </c>
    </row>
    <row r="783" spans="1:20" x14ac:dyDescent="0.35">
      <c r="A783" t="s">
        <v>990</v>
      </c>
      <c r="B783" s="1">
        <v>44232</v>
      </c>
      <c r="C783">
        <v>2021</v>
      </c>
      <c r="D783">
        <v>2</v>
      </c>
      <c r="E783" t="s">
        <v>14</v>
      </c>
      <c r="F783">
        <v>88</v>
      </c>
      <c r="G783" t="s">
        <v>991</v>
      </c>
      <c r="H783" t="s">
        <v>16</v>
      </c>
      <c r="I783">
        <v>1</v>
      </c>
      <c r="J783">
        <v>0</v>
      </c>
      <c r="K783">
        <v>6.7</v>
      </c>
      <c r="L783">
        <v>1460</v>
      </c>
      <c r="M783" t="s">
        <v>983</v>
      </c>
      <c r="N783" t="str">
        <f t="shared" si="84"/>
        <v>cinema</v>
      </c>
      <c r="O783" t="str">
        <f t="shared" si="85"/>
        <v>original</v>
      </c>
      <c r="P783" t="str">
        <f t="shared" si="86"/>
        <v>non-franchise</v>
      </c>
      <c r="Q783" t="str">
        <f t="shared" si="87"/>
        <v>old</v>
      </c>
      <c r="R783" s="2">
        <f t="shared" si="88"/>
        <v>7.2015506023612034E-4</v>
      </c>
      <c r="S783">
        <f t="shared" si="89"/>
        <v>0.44834586466165416</v>
      </c>
      <c r="T783" t="str">
        <f t="shared" si="90"/>
        <v>Scenario 2: Weak Commitment/Convenience</v>
      </c>
    </row>
    <row r="784" spans="1:20" x14ac:dyDescent="0.35">
      <c r="A784" t="s">
        <v>992</v>
      </c>
      <c r="B784" s="1">
        <v>44358</v>
      </c>
      <c r="C784">
        <v>2021</v>
      </c>
      <c r="D784">
        <v>6</v>
      </c>
      <c r="E784" t="s">
        <v>78</v>
      </c>
      <c r="F784">
        <v>97</v>
      </c>
      <c r="G784" t="s">
        <v>993</v>
      </c>
      <c r="H784" t="s">
        <v>24</v>
      </c>
      <c r="I784">
        <v>1</v>
      </c>
      <c r="J784">
        <v>1</v>
      </c>
      <c r="K784">
        <v>4.0999999999999996</v>
      </c>
      <c r="L784">
        <v>2595</v>
      </c>
      <c r="M784" t="s">
        <v>983</v>
      </c>
      <c r="N784" t="str">
        <f t="shared" si="84"/>
        <v>cinema</v>
      </c>
      <c r="O784" t="str">
        <f t="shared" si="85"/>
        <v>original</v>
      </c>
      <c r="P784" t="str">
        <f t="shared" si="86"/>
        <v>franchise</v>
      </c>
      <c r="Q784" t="str">
        <f t="shared" si="87"/>
        <v>old</v>
      </c>
      <c r="R784" s="2">
        <f t="shared" si="88"/>
        <v>1.4109108887557212E-3</v>
      </c>
      <c r="S784">
        <f t="shared" si="89"/>
        <v>0.26048872180451127</v>
      </c>
      <c r="T784" t="str">
        <f t="shared" si="90"/>
        <v>Scenario 2: Weak Commitment/Convenience</v>
      </c>
    </row>
    <row r="785" spans="1:20" x14ac:dyDescent="0.35">
      <c r="A785" t="s">
        <v>994</v>
      </c>
      <c r="B785" s="1">
        <v>44504</v>
      </c>
      <c r="C785">
        <v>2021</v>
      </c>
      <c r="D785">
        <v>11</v>
      </c>
      <c r="E785" t="s">
        <v>125</v>
      </c>
      <c r="F785">
        <v>163</v>
      </c>
      <c r="G785" t="s">
        <v>995</v>
      </c>
      <c r="H785" t="s">
        <v>16</v>
      </c>
      <c r="I785">
        <v>0</v>
      </c>
      <c r="J785">
        <v>0</v>
      </c>
      <c r="K785">
        <v>4</v>
      </c>
      <c r="L785">
        <v>11436</v>
      </c>
      <c r="M785" t="s">
        <v>983</v>
      </c>
      <c r="N785" t="str">
        <f t="shared" si="84"/>
        <v>cinema</v>
      </c>
      <c r="O785" t="str">
        <f t="shared" si="85"/>
        <v>non-original</v>
      </c>
      <c r="P785" t="str">
        <f t="shared" si="86"/>
        <v>non-franchise</v>
      </c>
      <c r="Q785" t="str">
        <f t="shared" si="87"/>
        <v>new</v>
      </c>
      <c r="R785" s="2">
        <f t="shared" si="88"/>
        <v>6.9656392840609415E-3</v>
      </c>
      <c r="S785">
        <f t="shared" si="89"/>
        <v>0.23233082706766917</v>
      </c>
      <c r="T785" t="str">
        <f t="shared" si="90"/>
        <v>Scenario 2: Weak Commitment/Convenience</v>
      </c>
    </row>
    <row r="786" spans="1:20" x14ac:dyDescent="0.35">
      <c r="A786" t="s">
        <v>996</v>
      </c>
      <c r="B786" s="1">
        <v>44840</v>
      </c>
      <c r="C786">
        <v>2022</v>
      </c>
      <c r="D786">
        <v>10</v>
      </c>
      <c r="E786" t="s">
        <v>125</v>
      </c>
      <c r="F786">
        <v>138</v>
      </c>
      <c r="G786" t="s">
        <v>92</v>
      </c>
      <c r="H786" t="s">
        <v>16</v>
      </c>
      <c r="I786">
        <v>1</v>
      </c>
      <c r="J786">
        <v>1</v>
      </c>
      <c r="K786">
        <v>6</v>
      </c>
      <c r="L786">
        <v>81250</v>
      </c>
      <c r="M786" t="s">
        <v>989</v>
      </c>
      <c r="N786" t="str">
        <f t="shared" si="84"/>
        <v>cinema</v>
      </c>
      <c r="O786" t="str">
        <f t="shared" si="85"/>
        <v>original</v>
      </c>
      <c r="P786" t="str">
        <f t="shared" si="86"/>
        <v>franchise</v>
      </c>
      <c r="Q786" t="str">
        <f t="shared" si="87"/>
        <v>old</v>
      </c>
      <c r="R786" s="2">
        <f t="shared" si="88"/>
        <v>6.2848214608479919E-2</v>
      </c>
      <c r="S786">
        <f t="shared" si="89"/>
        <v>0.28872180451127816</v>
      </c>
      <c r="T786" t="str">
        <f t="shared" si="90"/>
        <v>Scenario 1: Strong Commitment</v>
      </c>
    </row>
    <row r="787" spans="1:20" x14ac:dyDescent="0.35">
      <c r="A787" t="s">
        <v>997</v>
      </c>
      <c r="B787" s="1">
        <v>44862</v>
      </c>
      <c r="C787">
        <v>2022</v>
      </c>
      <c r="D787">
        <v>10</v>
      </c>
      <c r="E787" t="s">
        <v>125</v>
      </c>
      <c r="F787">
        <v>97</v>
      </c>
      <c r="G787" t="s">
        <v>998</v>
      </c>
      <c r="H787" t="s">
        <v>16</v>
      </c>
      <c r="I787">
        <v>1</v>
      </c>
      <c r="J787">
        <v>0</v>
      </c>
      <c r="K787">
        <v>4.5999999999999996</v>
      </c>
      <c r="L787">
        <v>6762</v>
      </c>
      <c r="M787" t="s">
        <v>983</v>
      </c>
      <c r="N787" t="str">
        <f t="shared" si="84"/>
        <v>cinema</v>
      </c>
      <c r="O787" t="str">
        <f t="shared" si="85"/>
        <v>original</v>
      </c>
      <c r="P787" t="str">
        <f t="shared" si="86"/>
        <v>non-franchise</v>
      </c>
      <c r="Q787" t="str">
        <f t="shared" si="87"/>
        <v>old</v>
      </c>
      <c r="R787" s="2">
        <f t="shared" si="88"/>
        <v>3.6765238650351391E-3</v>
      </c>
      <c r="S787">
        <f t="shared" si="89"/>
        <v>0.29225563909774432</v>
      </c>
      <c r="T787" t="str">
        <f t="shared" si="90"/>
        <v>Scenario 2: Weak Commitment/Convenience</v>
      </c>
    </row>
    <row r="788" spans="1:20" x14ac:dyDescent="0.35">
      <c r="A788" t="s">
        <v>999</v>
      </c>
      <c r="B788" s="1">
        <v>45062</v>
      </c>
      <c r="C788">
        <v>2023</v>
      </c>
      <c r="D788">
        <v>5</v>
      </c>
      <c r="E788" t="s">
        <v>38</v>
      </c>
      <c r="F788">
        <v>117</v>
      </c>
      <c r="G788" t="s">
        <v>1000</v>
      </c>
      <c r="H788" t="s">
        <v>16</v>
      </c>
      <c r="I788">
        <v>0</v>
      </c>
      <c r="J788">
        <v>0</v>
      </c>
      <c r="K788">
        <v>6.7</v>
      </c>
      <c r="L788">
        <v>16228</v>
      </c>
      <c r="M788" t="s">
        <v>983</v>
      </c>
      <c r="N788" t="str">
        <f t="shared" si="84"/>
        <v>cinema</v>
      </c>
      <c r="O788" t="str">
        <f t="shared" si="85"/>
        <v>non-original</v>
      </c>
      <c r="P788" t="str">
        <f t="shared" si="86"/>
        <v>non-franchise</v>
      </c>
      <c r="Q788" t="str">
        <f t="shared" si="87"/>
        <v>new</v>
      </c>
      <c r="R788" s="2">
        <f t="shared" si="88"/>
        <v>7.0949622724619972E-3</v>
      </c>
      <c r="S788">
        <f t="shared" si="89"/>
        <v>0.56295112781954892</v>
      </c>
      <c r="T788" t="str">
        <f t="shared" si="90"/>
        <v>Scenario 3: Strong Convenience</v>
      </c>
    </row>
    <row r="789" spans="1:20" x14ac:dyDescent="0.35">
      <c r="A789" t="s">
        <v>1001</v>
      </c>
      <c r="B789" s="1">
        <v>45205</v>
      </c>
      <c r="C789">
        <v>2023</v>
      </c>
      <c r="D789">
        <v>10</v>
      </c>
      <c r="E789" t="s">
        <v>125</v>
      </c>
      <c r="F789">
        <v>86</v>
      </c>
      <c r="G789" t="s">
        <v>1002</v>
      </c>
      <c r="H789" t="s">
        <v>24</v>
      </c>
      <c r="I789">
        <v>1</v>
      </c>
      <c r="J789">
        <v>0</v>
      </c>
      <c r="K789">
        <v>5.3</v>
      </c>
      <c r="L789">
        <v>4034</v>
      </c>
      <c r="M789" t="s">
        <v>983</v>
      </c>
      <c r="N789" t="str">
        <f t="shared" si="84"/>
        <v>cinema</v>
      </c>
      <c r="O789" t="str">
        <f t="shared" si="85"/>
        <v>original</v>
      </c>
      <c r="P789" t="str">
        <f t="shared" si="86"/>
        <v>non-franchise</v>
      </c>
      <c r="Q789" t="str">
        <f t="shared" si="87"/>
        <v>old</v>
      </c>
      <c r="R789" s="2">
        <f t="shared" si="88"/>
        <v>1.9445756080117983E-3</v>
      </c>
      <c r="S789">
        <f t="shared" si="89"/>
        <v>0.35864661654135344</v>
      </c>
      <c r="T789" t="str">
        <f t="shared" si="90"/>
        <v>Scenario 2: Weak Commitment/Convenience</v>
      </c>
    </row>
    <row r="790" spans="1:20" x14ac:dyDescent="0.35">
      <c r="A790" t="s">
        <v>1003</v>
      </c>
      <c r="B790" s="1">
        <v>45302</v>
      </c>
      <c r="C790">
        <v>2024</v>
      </c>
      <c r="D790">
        <v>1</v>
      </c>
      <c r="E790" t="s">
        <v>14</v>
      </c>
      <c r="F790">
        <v>158</v>
      </c>
      <c r="G790" t="s">
        <v>1004</v>
      </c>
      <c r="H790" t="s">
        <v>27</v>
      </c>
      <c r="I790">
        <v>1</v>
      </c>
      <c r="J790">
        <v>0</v>
      </c>
      <c r="K790">
        <v>7.7</v>
      </c>
      <c r="L790">
        <v>30308</v>
      </c>
      <c r="M790" t="s">
        <v>989</v>
      </c>
      <c r="N790" t="str">
        <f t="shared" si="84"/>
        <v>cinema</v>
      </c>
      <c r="O790" t="str">
        <f t="shared" si="85"/>
        <v>original</v>
      </c>
      <c r="P790" t="str">
        <f t="shared" si="86"/>
        <v>non-franchise</v>
      </c>
      <c r="Q790" t="str">
        <f t="shared" si="87"/>
        <v>old</v>
      </c>
      <c r="R790" s="2">
        <f t="shared" si="88"/>
        <v>2.6841380848151783E-2</v>
      </c>
      <c r="S790">
        <f t="shared" si="89"/>
        <v>0.31263157894736843</v>
      </c>
      <c r="T790" t="str">
        <f t="shared" si="90"/>
        <v>Scenario 2: Weak Commitment/Convenience</v>
      </c>
    </row>
    <row r="791" spans="1:20" x14ac:dyDescent="0.35">
      <c r="A791" t="s">
        <v>1005</v>
      </c>
      <c r="B791" s="1">
        <v>45562</v>
      </c>
      <c r="C791">
        <v>2024</v>
      </c>
      <c r="D791">
        <v>9</v>
      </c>
      <c r="E791" t="s">
        <v>125</v>
      </c>
      <c r="F791">
        <v>176</v>
      </c>
      <c r="G791" t="s">
        <v>1006</v>
      </c>
      <c r="H791" t="s">
        <v>986</v>
      </c>
      <c r="I791">
        <v>1</v>
      </c>
      <c r="J791">
        <v>0</v>
      </c>
      <c r="K791">
        <v>6</v>
      </c>
      <c r="L791">
        <v>23325</v>
      </c>
      <c r="M791" t="s">
        <v>983</v>
      </c>
      <c r="N791" t="str">
        <f t="shared" si="84"/>
        <v>cinema</v>
      </c>
      <c r="O791" t="str">
        <f t="shared" si="85"/>
        <v>original</v>
      </c>
      <c r="P791" t="str">
        <f t="shared" si="86"/>
        <v>non-franchise</v>
      </c>
      <c r="Q791" t="str">
        <f t="shared" si="87"/>
        <v>old</v>
      </c>
      <c r="R791" s="2">
        <f t="shared" si="88"/>
        <v>2.3010433945215767E-2</v>
      </c>
      <c r="S791">
        <f t="shared" si="89"/>
        <v>0.2030075187969925</v>
      </c>
      <c r="T791" t="str">
        <f t="shared" si="90"/>
        <v>Scenario 2: Weak Commitment/Convenience</v>
      </c>
    </row>
    <row r="792" spans="1:20" x14ac:dyDescent="0.35">
      <c r="A792" t="s">
        <v>1007</v>
      </c>
      <c r="B792" s="1">
        <v>44419</v>
      </c>
      <c r="C792">
        <v>2021</v>
      </c>
      <c r="D792">
        <v>8</v>
      </c>
      <c r="E792" t="s">
        <v>78</v>
      </c>
      <c r="F792">
        <v>86</v>
      </c>
      <c r="G792" t="s">
        <v>1008</v>
      </c>
      <c r="H792" t="s">
        <v>86</v>
      </c>
      <c r="I792">
        <v>0</v>
      </c>
      <c r="J792">
        <v>1</v>
      </c>
      <c r="K792">
        <v>6.1</v>
      </c>
      <c r="L792">
        <v>9524</v>
      </c>
      <c r="M792" t="s">
        <v>989</v>
      </c>
      <c r="N792" t="str">
        <f t="shared" si="84"/>
        <v>cinema</v>
      </c>
      <c r="O792" t="str">
        <f t="shared" si="85"/>
        <v>non-original</v>
      </c>
      <c r="P792" t="str">
        <f t="shared" si="86"/>
        <v>franchise</v>
      </c>
      <c r="Q792" t="str">
        <f t="shared" si="87"/>
        <v>old</v>
      </c>
      <c r="R792" s="2">
        <f t="shared" si="88"/>
        <v>4.5910109297730211E-3</v>
      </c>
      <c r="S792">
        <f t="shared" si="89"/>
        <v>0.41278195488721808</v>
      </c>
      <c r="T792" t="str">
        <f t="shared" si="90"/>
        <v>Scenario 2: Weak Commitment/Convenience</v>
      </c>
    </row>
    <row r="793" spans="1:20" x14ac:dyDescent="0.35">
      <c r="A793" t="s">
        <v>1009</v>
      </c>
      <c r="B793" s="1">
        <v>43952</v>
      </c>
      <c r="C793">
        <v>2020</v>
      </c>
      <c r="D793">
        <v>5</v>
      </c>
      <c r="E793" t="s">
        <v>38</v>
      </c>
      <c r="F793">
        <v>95</v>
      </c>
      <c r="G793" t="s">
        <v>92</v>
      </c>
      <c r="H793" t="s">
        <v>16</v>
      </c>
      <c r="I793">
        <v>1</v>
      </c>
      <c r="J793">
        <v>0</v>
      </c>
      <c r="K793">
        <v>4.9000000000000004</v>
      </c>
      <c r="L793">
        <v>44</v>
      </c>
      <c r="M793" t="s">
        <v>989</v>
      </c>
      <c r="N793" t="str">
        <f t="shared" si="84"/>
        <v>cinema</v>
      </c>
      <c r="O793" t="str">
        <f t="shared" si="85"/>
        <v>original</v>
      </c>
      <c r="P793" t="str">
        <f t="shared" si="86"/>
        <v>non-franchise</v>
      </c>
      <c r="Q793" t="str">
        <f t="shared" si="87"/>
        <v>old</v>
      </c>
      <c r="R793" s="2">
        <f t="shared" si="88"/>
        <v>2.3429702302202551E-5</v>
      </c>
      <c r="S793">
        <f t="shared" si="89"/>
        <v>0.315</v>
      </c>
      <c r="T793" t="str">
        <f t="shared" si="90"/>
        <v>Scenario 2: Weak Commitment/Convenience</v>
      </c>
    </row>
    <row r="794" spans="1:20" x14ac:dyDescent="0.35">
      <c r="A794" t="s">
        <v>1010</v>
      </c>
      <c r="B794" s="1">
        <v>45574</v>
      </c>
      <c r="C794">
        <v>2024</v>
      </c>
      <c r="D794">
        <v>10</v>
      </c>
      <c r="E794" t="s">
        <v>125</v>
      </c>
      <c r="F794">
        <v>125</v>
      </c>
      <c r="G794" t="s">
        <v>92</v>
      </c>
      <c r="H794" t="s">
        <v>16</v>
      </c>
      <c r="I794">
        <v>1</v>
      </c>
      <c r="J794">
        <v>1</v>
      </c>
      <c r="K794">
        <v>6.2</v>
      </c>
      <c r="L794">
        <v>61504</v>
      </c>
      <c r="M794" t="s">
        <v>989</v>
      </c>
      <c r="N794" t="str">
        <f t="shared" si="84"/>
        <v>cinema</v>
      </c>
      <c r="O794" t="str">
        <f t="shared" si="85"/>
        <v>original</v>
      </c>
      <c r="P794" t="str">
        <f t="shared" si="86"/>
        <v>franchise</v>
      </c>
      <c r="Q794" t="str">
        <f t="shared" si="87"/>
        <v>old</v>
      </c>
      <c r="R794" s="2">
        <f t="shared" si="88"/>
        <v>4.3092715621850047E-2</v>
      </c>
      <c r="S794">
        <f t="shared" si="89"/>
        <v>0.32864661654135335</v>
      </c>
      <c r="T794" t="str">
        <f t="shared" si="90"/>
        <v>Scenario 1: Strong Commitment</v>
      </c>
    </row>
    <row r="795" spans="1:20" x14ac:dyDescent="0.35">
      <c r="A795" t="s">
        <v>1011</v>
      </c>
      <c r="B795" s="1">
        <v>43833</v>
      </c>
      <c r="C795">
        <v>2020</v>
      </c>
      <c r="D795">
        <v>1</v>
      </c>
      <c r="E795" t="s">
        <v>14</v>
      </c>
      <c r="F795">
        <v>100</v>
      </c>
      <c r="G795" t="s">
        <v>1012</v>
      </c>
      <c r="H795" t="s">
        <v>56</v>
      </c>
      <c r="I795">
        <v>0</v>
      </c>
      <c r="J795">
        <v>0</v>
      </c>
      <c r="K795">
        <v>6.7</v>
      </c>
      <c r="L795">
        <v>63789</v>
      </c>
      <c r="M795" t="s">
        <v>983</v>
      </c>
      <c r="N795" t="str">
        <f t="shared" si="84"/>
        <v>cinema</v>
      </c>
      <c r="O795" t="str">
        <f t="shared" si="85"/>
        <v>non-original</v>
      </c>
      <c r="P795" t="str">
        <f t="shared" si="86"/>
        <v>non-franchise</v>
      </c>
      <c r="Q795" t="str">
        <f t="shared" si="87"/>
        <v>new</v>
      </c>
      <c r="R795" s="2">
        <f t="shared" si="88"/>
        <v>2.3836639236925011E-2</v>
      </c>
      <c r="S795">
        <f t="shared" si="89"/>
        <v>0.62718045112781962</v>
      </c>
      <c r="T795" t="str">
        <f t="shared" si="90"/>
        <v>Scenario 3: Strong Convenience</v>
      </c>
    </row>
    <row r="796" spans="1:20" x14ac:dyDescent="0.35">
      <c r="A796" t="s">
        <v>1013</v>
      </c>
      <c r="B796" s="1">
        <v>43838</v>
      </c>
      <c r="C796">
        <v>2020</v>
      </c>
      <c r="D796">
        <v>1</v>
      </c>
      <c r="E796" t="s">
        <v>14</v>
      </c>
      <c r="F796">
        <v>101</v>
      </c>
      <c r="G796" t="s">
        <v>1014</v>
      </c>
      <c r="H796" t="s">
        <v>56</v>
      </c>
      <c r="I796">
        <v>0</v>
      </c>
      <c r="J796">
        <v>0</v>
      </c>
      <c r="K796">
        <v>5.6</v>
      </c>
      <c r="L796">
        <v>78492</v>
      </c>
      <c r="M796" t="s">
        <v>983</v>
      </c>
      <c r="N796" t="str">
        <f t="shared" si="84"/>
        <v>cinema</v>
      </c>
      <c r="O796" t="str">
        <f t="shared" si="85"/>
        <v>non-original</v>
      </c>
      <c r="P796" t="str">
        <f t="shared" si="86"/>
        <v>non-franchise</v>
      </c>
      <c r="Q796" t="str">
        <f t="shared" si="87"/>
        <v>new</v>
      </c>
      <c r="R796" s="2">
        <f t="shared" si="88"/>
        <v>2.962415685862085E-2</v>
      </c>
      <c r="S796">
        <f t="shared" si="89"/>
        <v>0.52105263157894732</v>
      </c>
      <c r="T796" t="str">
        <f t="shared" si="90"/>
        <v>Scenario 3: Strong Convenience</v>
      </c>
    </row>
    <row r="797" spans="1:20" x14ac:dyDescent="0.35">
      <c r="A797" t="s">
        <v>1015</v>
      </c>
      <c r="B797" s="1">
        <v>43874</v>
      </c>
      <c r="C797">
        <v>2020</v>
      </c>
      <c r="D797">
        <v>2</v>
      </c>
      <c r="E797" t="s">
        <v>14</v>
      </c>
      <c r="F797">
        <v>124</v>
      </c>
      <c r="G797" t="s">
        <v>1016</v>
      </c>
      <c r="H797" t="s">
        <v>56</v>
      </c>
      <c r="I797">
        <v>0</v>
      </c>
      <c r="J797">
        <v>0</v>
      </c>
      <c r="K797">
        <v>6.7</v>
      </c>
      <c r="L797">
        <v>70923</v>
      </c>
      <c r="M797" t="s">
        <v>989</v>
      </c>
      <c r="N797" t="str">
        <f t="shared" si="84"/>
        <v>cinema</v>
      </c>
      <c r="O797" t="str">
        <f t="shared" si="85"/>
        <v>non-original</v>
      </c>
      <c r="P797" t="str">
        <f t="shared" si="86"/>
        <v>non-franchise</v>
      </c>
      <c r="Q797" t="str">
        <f t="shared" si="87"/>
        <v>new</v>
      </c>
      <c r="R797" s="2">
        <f t="shared" si="88"/>
        <v>3.2863060968263122E-2</v>
      </c>
      <c r="S797">
        <f t="shared" si="89"/>
        <v>0.53650375939849637</v>
      </c>
      <c r="T797" t="str">
        <f t="shared" si="90"/>
        <v>Scenario 4: Hybrid Logic</v>
      </c>
    </row>
    <row r="798" spans="1:20" x14ac:dyDescent="0.35">
      <c r="A798" t="s">
        <v>1017</v>
      </c>
      <c r="B798" s="1">
        <v>43889</v>
      </c>
      <c r="C798">
        <v>2020</v>
      </c>
      <c r="D798">
        <v>2</v>
      </c>
      <c r="E798" t="s">
        <v>14</v>
      </c>
      <c r="F798">
        <v>102</v>
      </c>
      <c r="G798" t="s">
        <v>1018</v>
      </c>
      <c r="H798" t="s">
        <v>56</v>
      </c>
      <c r="I798">
        <v>1</v>
      </c>
      <c r="J798">
        <v>0</v>
      </c>
      <c r="K798">
        <v>7.4</v>
      </c>
      <c r="L798">
        <v>184929</v>
      </c>
      <c r="M798" t="s">
        <v>983</v>
      </c>
      <c r="N798" t="str">
        <f t="shared" si="84"/>
        <v>cinema</v>
      </c>
      <c r="O798" t="str">
        <f t="shared" si="85"/>
        <v>original</v>
      </c>
      <c r="P798" t="str">
        <f t="shared" si="86"/>
        <v>non-franchise</v>
      </c>
      <c r="Q798" t="str">
        <f t="shared" si="87"/>
        <v>old</v>
      </c>
      <c r="R798" s="2">
        <f t="shared" si="88"/>
        <v>0.10572937907619366</v>
      </c>
      <c r="S798">
        <f t="shared" si="89"/>
        <v>0.45624060150375945</v>
      </c>
      <c r="T798" t="str">
        <f t="shared" si="90"/>
        <v>Scenario 1: Strong Commitment</v>
      </c>
    </row>
    <row r="799" spans="1:20" x14ac:dyDescent="0.35">
      <c r="A799" t="s">
        <v>1019</v>
      </c>
      <c r="B799" s="1">
        <v>43901</v>
      </c>
      <c r="C799">
        <v>2020</v>
      </c>
      <c r="D799">
        <v>3</v>
      </c>
      <c r="E799" t="s">
        <v>38</v>
      </c>
      <c r="F799">
        <v>116</v>
      </c>
      <c r="G799" t="s">
        <v>1020</v>
      </c>
      <c r="H799" t="s">
        <v>56</v>
      </c>
      <c r="I799">
        <v>0</v>
      </c>
      <c r="J799">
        <v>1</v>
      </c>
      <c r="K799">
        <v>6.5</v>
      </c>
      <c r="L799">
        <v>15258</v>
      </c>
      <c r="M799" t="s">
        <v>983</v>
      </c>
      <c r="N799" t="str">
        <f t="shared" si="84"/>
        <v>cinema</v>
      </c>
      <c r="O799" t="str">
        <f t="shared" si="85"/>
        <v>non-original</v>
      </c>
      <c r="P799" t="str">
        <f t="shared" si="86"/>
        <v>franchise</v>
      </c>
      <c r="Q799" t="str">
        <f t="shared" si="87"/>
        <v>old</v>
      </c>
      <c r="R799" s="2">
        <f t="shared" si="88"/>
        <v>9.9207861570174034E-3</v>
      </c>
      <c r="S799">
        <f t="shared" si="89"/>
        <v>0.36654135338345867</v>
      </c>
      <c r="T799" t="str">
        <f t="shared" si="90"/>
        <v>Scenario 2: Weak Commitment/Convenience</v>
      </c>
    </row>
    <row r="800" spans="1:20" x14ac:dyDescent="0.35">
      <c r="A800" t="s">
        <v>1021</v>
      </c>
      <c r="B800" s="1">
        <v>44006</v>
      </c>
      <c r="C800">
        <v>2020</v>
      </c>
      <c r="D800">
        <v>6</v>
      </c>
      <c r="E800" t="s">
        <v>78</v>
      </c>
      <c r="F800">
        <v>80</v>
      </c>
      <c r="G800" t="s">
        <v>985</v>
      </c>
      <c r="H800" t="s">
        <v>56</v>
      </c>
      <c r="I800">
        <v>1</v>
      </c>
      <c r="J800">
        <v>0</v>
      </c>
      <c r="K800">
        <v>5.9</v>
      </c>
      <c r="L800">
        <v>122</v>
      </c>
      <c r="M800" t="s">
        <v>983</v>
      </c>
      <c r="N800" t="str">
        <f t="shared" si="84"/>
        <v>cinema</v>
      </c>
      <c r="O800" t="str">
        <f t="shared" si="85"/>
        <v>original</v>
      </c>
      <c r="P800" t="str">
        <f t="shared" si="86"/>
        <v>non-franchise</v>
      </c>
      <c r="Q800" t="str">
        <f t="shared" si="87"/>
        <v>old</v>
      </c>
      <c r="R800" s="2">
        <f t="shared" si="88"/>
        <v>5.470667331806145E-5</v>
      </c>
      <c r="S800">
        <f t="shared" si="89"/>
        <v>0.41255639097744368</v>
      </c>
      <c r="T800" t="str">
        <f t="shared" si="90"/>
        <v>Scenario 2: Weak Commitment/Convenience</v>
      </c>
    </row>
    <row r="801" spans="1:20" x14ac:dyDescent="0.35">
      <c r="A801" t="s">
        <v>1021</v>
      </c>
      <c r="B801" s="1">
        <v>44006</v>
      </c>
      <c r="C801">
        <v>2020</v>
      </c>
      <c r="D801">
        <v>6</v>
      </c>
      <c r="E801" t="s">
        <v>78</v>
      </c>
      <c r="F801">
        <v>99</v>
      </c>
      <c r="G801" t="s">
        <v>1022</v>
      </c>
      <c r="H801" t="s">
        <v>56</v>
      </c>
      <c r="I801">
        <v>1</v>
      </c>
      <c r="J801">
        <v>0</v>
      </c>
      <c r="K801">
        <v>7</v>
      </c>
      <c r="L801">
        <v>10626</v>
      </c>
      <c r="M801" t="s">
        <v>983</v>
      </c>
      <c r="N801" t="str">
        <f t="shared" si="84"/>
        <v>cinema</v>
      </c>
      <c r="O801" t="str">
        <f t="shared" si="85"/>
        <v>original</v>
      </c>
      <c r="P801" t="str">
        <f t="shared" si="86"/>
        <v>non-franchise</v>
      </c>
      <c r="Q801" t="str">
        <f t="shared" si="87"/>
        <v>old</v>
      </c>
      <c r="R801" s="2">
        <f t="shared" si="88"/>
        <v>5.8965161841285224E-3</v>
      </c>
      <c r="S801">
        <f t="shared" si="89"/>
        <v>0.43947368421052629</v>
      </c>
      <c r="T801" t="str">
        <f t="shared" si="90"/>
        <v>Scenario 2: Weak Commitment/Convenience</v>
      </c>
    </row>
    <row r="802" spans="1:20" x14ac:dyDescent="0.35">
      <c r="A802" t="s">
        <v>1023</v>
      </c>
      <c r="B802" s="1">
        <v>44042</v>
      </c>
      <c r="C802">
        <v>2020</v>
      </c>
      <c r="D802">
        <v>7</v>
      </c>
      <c r="E802" t="s">
        <v>78</v>
      </c>
      <c r="F802">
        <v>107</v>
      </c>
      <c r="G802" t="s">
        <v>1024</v>
      </c>
      <c r="H802" t="s">
        <v>56</v>
      </c>
      <c r="I802">
        <v>0</v>
      </c>
      <c r="J802">
        <v>0</v>
      </c>
      <c r="K802">
        <v>6.6</v>
      </c>
      <c r="L802">
        <v>19723</v>
      </c>
      <c r="M802" t="s">
        <v>983</v>
      </c>
      <c r="N802" t="str">
        <f t="shared" si="84"/>
        <v>cinema</v>
      </c>
      <c r="O802" t="str">
        <f t="shared" si="85"/>
        <v>non-original</v>
      </c>
      <c r="P802" t="str">
        <f t="shared" si="86"/>
        <v>non-franchise</v>
      </c>
      <c r="Q802" t="str">
        <f t="shared" si="87"/>
        <v>new</v>
      </c>
      <c r="R802" s="2">
        <f t="shared" si="88"/>
        <v>7.8859856427716864E-3</v>
      </c>
      <c r="S802">
        <f t="shared" si="89"/>
        <v>0.59176691729323305</v>
      </c>
      <c r="T802" t="str">
        <f t="shared" si="90"/>
        <v>Scenario 3: Strong Convenience</v>
      </c>
    </row>
    <row r="803" spans="1:20" x14ac:dyDescent="0.35">
      <c r="A803" t="s">
        <v>1025</v>
      </c>
      <c r="B803" s="1">
        <v>44043</v>
      </c>
      <c r="C803">
        <v>2020</v>
      </c>
      <c r="D803">
        <v>7</v>
      </c>
      <c r="E803" t="s">
        <v>78</v>
      </c>
      <c r="F803">
        <v>91</v>
      </c>
      <c r="G803" t="s">
        <v>1018</v>
      </c>
      <c r="H803" t="s">
        <v>56</v>
      </c>
      <c r="I803">
        <v>0</v>
      </c>
      <c r="J803">
        <v>1</v>
      </c>
      <c r="K803">
        <v>5.9</v>
      </c>
      <c r="L803">
        <v>25403</v>
      </c>
      <c r="M803" t="s">
        <v>983</v>
      </c>
      <c r="N803" t="str">
        <f t="shared" si="84"/>
        <v>cinema</v>
      </c>
      <c r="O803" t="str">
        <f t="shared" si="85"/>
        <v>non-original</v>
      </c>
      <c r="P803" t="str">
        <f t="shared" si="86"/>
        <v>franchise</v>
      </c>
      <c r="Q803" t="str">
        <f t="shared" si="87"/>
        <v>old</v>
      </c>
      <c r="R803" s="2">
        <f t="shared" si="88"/>
        <v>1.2957370863645807E-2</v>
      </c>
      <c r="S803">
        <f t="shared" si="89"/>
        <v>0.3881578947368422</v>
      </c>
      <c r="T803" t="str">
        <f t="shared" si="90"/>
        <v>Scenario 2: Weak Commitment/Convenience</v>
      </c>
    </row>
    <row r="804" spans="1:20" x14ac:dyDescent="0.35">
      <c r="A804" t="s">
        <v>1026</v>
      </c>
      <c r="B804" s="1">
        <v>44071</v>
      </c>
      <c r="C804">
        <v>2020</v>
      </c>
      <c r="D804">
        <v>8</v>
      </c>
      <c r="E804" t="s">
        <v>78</v>
      </c>
      <c r="F804">
        <v>94</v>
      </c>
      <c r="G804" t="s">
        <v>1027</v>
      </c>
      <c r="H804" t="s">
        <v>56</v>
      </c>
      <c r="I804">
        <v>0</v>
      </c>
      <c r="J804">
        <v>0</v>
      </c>
      <c r="K804">
        <v>5.7</v>
      </c>
      <c r="L804">
        <v>27816</v>
      </c>
      <c r="M804" t="s">
        <v>983</v>
      </c>
      <c r="N804" t="str">
        <f t="shared" si="84"/>
        <v>cinema</v>
      </c>
      <c r="O804" t="str">
        <f t="shared" si="85"/>
        <v>non-original</v>
      </c>
      <c r="P804" t="str">
        <f t="shared" si="86"/>
        <v>non-franchise</v>
      </c>
      <c r="Q804" t="str">
        <f t="shared" si="87"/>
        <v>new</v>
      </c>
      <c r="R804" s="2">
        <f t="shared" si="88"/>
        <v>9.7706118546057753E-3</v>
      </c>
      <c r="S804">
        <f t="shared" si="89"/>
        <v>0.55285714285714294</v>
      </c>
      <c r="T804" t="str">
        <f t="shared" si="90"/>
        <v>Scenario 3: Strong Convenience</v>
      </c>
    </row>
    <row r="805" spans="1:20" x14ac:dyDescent="0.35">
      <c r="A805" t="s">
        <v>1028</v>
      </c>
      <c r="B805" s="1">
        <v>44134</v>
      </c>
      <c r="C805">
        <v>2020</v>
      </c>
      <c r="D805">
        <v>10</v>
      </c>
      <c r="E805" t="s">
        <v>125</v>
      </c>
      <c r="F805">
        <v>103</v>
      </c>
      <c r="G805" t="s">
        <v>1008</v>
      </c>
      <c r="H805" t="s">
        <v>56</v>
      </c>
      <c r="I805">
        <v>0</v>
      </c>
      <c r="J805">
        <v>0</v>
      </c>
      <c r="K805">
        <v>8</v>
      </c>
      <c r="L805">
        <v>44427</v>
      </c>
      <c r="M805" t="s">
        <v>983</v>
      </c>
      <c r="N805" t="str">
        <f t="shared" si="84"/>
        <v>cinema</v>
      </c>
      <c r="O805" t="str">
        <f t="shared" si="85"/>
        <v>non-original</v>
      </c>
      <c r="P805" t="str">
        <f t="shared" si="86"/>
        <v>non-franchise</v>
      </c>
      <c r="Q805" t="str">
        <f t="shared" si="87"/>
        <v>new</v>
      </c>
      <c r="R805" s="2">
        <f t="shared" si="88"/>
        <v>1.7099501207421871E-2</v>
      </c>
      <c r="S805">
        <f t="shared" si="89"/>
        <v>0.73533834586466174</v>
      </c>
      <c r="T805" t="str">
        <f t="shared" si="90"/>
        <v>Scenario 3: Strong Convenience</v>
      </c>
    </row>
    <row r="806" spans="1:20" x14ac:dyDescent="0.35">
      <c r="A806" t="s">
        <v>1029</v>
      </c>
      <c r="B806" s="1">
        <v>44160</v>
      </c>
      <c r="C806">
        <v>2020</v>
      </c>
      <c r="D806">
        <v>11</v>
      </c>
      <c r="E806" t="s">
        <v>125</v>
      </c>
      <c r="F806">
        <v>95</v>
      </c>
      <c r="G806" t="s">
        <v>1018</v>
      </c>
      <c r="H806" t="s">
        <v>56</v>
      </c>
      <c r="I806">
        <v>1</v>
      </c>
      <c r="J806">
        <v>1</v>
      </c>
      <c r="K806">
        <v>6.9</v>
      </c>
      <c r="L806">
        <v>60639</v>
      </c>
      <c r="M806" t="s">
        <v>989</v>
      </c>
      <c r="N806" t="str">
        <f t="shared" si="84"/>
        <v>cinema</v>
      </c>
      <c r="O806" t="str">
        <f t="shared" si="85"/>
        <v>original</v>
      </c>
      <c r="P806" t="str">
        <f t="shared" si="86"/>
        <v>franchise</v>
      </c>
      <c r="Q806" t="str">
        <f t="shared" si="87"/>
        <v>old</v>
      </c>
      <c r="R806" s="2">
        <f t="shared" si="88"/>
        <v>3.2289857225074096E-2</v>
      </c>
      <c r="S806">
        <f t="shared" si="89"/>
        <v>0.44357142857142856</v>
      </c>
      <c r="T806" t="str">
        <f t="shared" si="90"/>
        <v>Scenario 1: Strong Commitment</v>
      </c>
    </row>
    <row r="807" spans="1:20" x14ac:dyDescent="0.35">
      <c r="A807" t="s">
        <v>1030</v>
      </c>
      <c r="B807" s="1">
        <v>44208</v>
      </c>
      <c r="C807">
        <v>2021</v>
      </c>
      <c r="D807">
        <v>1</v>
      </c>
      <c r="E807" t="s">
        <v>14</v>
      </c>
      <c r="F807">
        <v>90</v>
      </c>
      <c r="G807" t="s">
        <v>1014</v>
      </c>
      <c r="H807" t="s">
        <v>56</v>
      </c>
      <c r="I807">
        <v>1</v>
      </c>
      <c r="J807">
        <v>0</v>
      </c>
      <c r="K807">
        <v>5.4</v>
      </c>
      <c r="L807">
        <v>403</v>
      </c>
      <c r="M807" t="s">
        <v>983</v>
      </c>
      <c r="N807" t="str">
        <f t="shared" si="84"/>
        <v>cinema</v>
      </c>
      <c r="O807" t="str">
        <f t="shared" si="85"/>
        <v>original</v>
      </c>
      <c r="P807" t="str">
        <f t="shared" si="86"/>
        <v>non-franchise</v>
      </c>
      <c r="Q807" t="str">
        <f t="shared" si="87"/>
        <v>old</v>
      </c>
      <c r="R807" s="2">
        <f t="shared" si="88"/>
        <v>2.0330031160308286E-4</v>
      </c>
      <c r="S807">
        <f t="shared" si="89"/>
        <v>0.35729323308270677</v>
      </c>
      <c r="T807" t="str">
        <f t="shared" si="90"/>
        <v>Scenario 2: Weak Commitment/Convenience</v>
      </c>
    </row>
    <row r="808" spans="1:20" x14ac:dyDescent="0.35">
      <c r="A808" t="s">
        <v>1031</v>
      </c>
      <c r="B808" s="1">
        <v>44239</v>
      </c>
      <c r="C808">
        <v>2021</v>
      </c>
      <c r="D808">
        <v>2</v>
      </c>
      <c r="E808" t="s">
        <v>14</v>
      </c>
      <c r="F808">
        <v>101</v>
      </c>
      <c r="G808" t="s">
        <v>269</v>
      </c>
      <c r="H808" t="s">
        <v>56</v>
      </c>
      <c r="I808">
        <v>0</v>
      </c>
      <c r="J808">
        <v>1</v>
      </c>
      <c r="K808">
        <v>5.3</v>
      </c>
      <c r="L808">
        <v>43075</v>
      </c>
      <c r="M808" t="s">
        <v>989</v>
      </c>
      <c r="N808" t="str">
        <f t="shared" si="84"/>
        <v>cinema</v>
      </c>
      <c r="O808" t="str">
        <f t="shared" si="85"/>
        <v>non-original</v>
      </c>
      <c r="P808" t="str">
        <f t="shared" si="86"/>
        <v>franchise</v>
      </c>
      <c r="Q808" t="str">
        <f t="shared" si="87"/>
        <v>old</v>
      </c>
      <c r="R808" s="2">
        <f t="shared" si="88"/>
        <v>2.4385807917082503E-2</v>
      </c>
      <c r="S808">
        <f t="shared" si="89"/>
        <v>0.32875939849624064</v>
      </c>
      <c r="T808" t="str">
        <f t="shared" si="90"/>
        <v>Scenario 2: Weak Commitment/Convenience</v>
      </c>
    </row>
    <row r="809" spans="1:20" x14ac:dyDescent="0.35">
      <c r="A809" t="s">
        <v>1032</v>
      </c>
      <c r="B809" s="1">
        <v>44262</v>
      </c>
      <c r="C809">
        <v>2021</v>
      </c>
      <c r="D809">
        <v>3</v>
      </c>
      <c r="E809" t="s">
        <v>38</v>
      </c>
      <c r="F809">
        <v>88</v>
      </c>
      <c r="G809" t="s">
        <v>1018</v>
      </c>
      <c r="H809" t="s">
        <v>56</v>
      </c>
      <c r="I809">
        <v>0</v>
      </c>
      <c r="J809">
        <v>1</v>
      </c>
      <c r="K809">
        <v>5.5</v>
      </c>
      <c r="L809">
        <v>5394</v>
      </c>
      <c r="M809" t="s">
        <v>983</v>
      </c>
      <c r="N809" t="str">
        <f t="shared" si="84"/>
        <v>cinema</v>
      </c>
      <c r="O809" t="str">
        <f t="shared" si="85"/>
        <v>non-original</v>
      </c>
      <c r="P809" t="str">
        <f t="shared" si="86"/>
        <v>franchise</v>
      </c>
      <c r="Q809" t="str">
        <f t="shared" si="87"/>
        <v>old</v>
      </c>
      <c r="R809" s="2">
        <f t="shared" si="88"/>
        <v>2.6606276677490644E-3</v>
      </c>
      <c r="S809">
        <f t="shared" si="89"/>
        <v>0.36804511278195495</v>
      </c>
      <c r="T809" t="str">
        <f t="shared" si="90"/>
        <v>Scenario 2: Weak Commitment/Convenience</v>
      </c>
    </row>
    <row r="810" spans="1:20" x14ac:dyDescent="0.35">
      <c r="A810" t="s">
        <v>1033</v>
      </c>
      <c r="B810" s="1">
        <v>44281</v>
      </c>
      <c r="C810">
        <v>2021</v>
      </c>
      <c r="D810">
        <v>3</v>
      </c>
      <c r="E810" t="s">
        <v>38</v>
      </c>
      <c r="F810">
        <v>93</v>
      </c>
      <c r="G810" t="s">
        <v>1018</v>
      </c>
      <c r="H810" t="s">
        <v>56</v>
      </c>
      <c r="I810">
        <v>0</v>
      </c>
      <c r="J810">
        <v>1</v>
      </c>
      <c r="K810">
        <v>6.2</v>
      </c>
      <c r="L810">
        <v>16764</v>
      </c>
      <c r="M810" t="s">
        <v>989</v>
      </c>
      <c r="N810" t="str">
        <f t="shared" si="84"/>
        <v>cinema</v>
      </c>
      <c r="O810" t="str">
        <f t="shared" si="85"/>
        <v>non-original</v>
      </c>
      <c r="P810" t="str">
        <f t="shared" si="86"/>
        <v>franchise</v>
      </c>
      <c r="Q810" t="str">
        <f t="shared" si="87"/>
        <v>old</v>
      </c>
      <c r="R810" s="2">
        <f t="shared" si="88"/>
        <v>8.7387857018309759E-3</v>
      </c>
      <c r="S810">
        <f t="shared" si="89"/>
        <v>0.40323308270676689</v>
      </c>
      <c r="T810" t="str">
        <f t="shared" si="90"/>
        <v>Scenario 2: Weak Commitment/Convenience</v>
      </c>
    </row>
    <row r="811" spans="1:20" x14ac:dyDescent="0.35">
      <c r="A811" t="s">
        <v>1034</v>
      </c>
      <c r="B811" s="1">
        <v>44378</v>
      </c>
      <c r="C811">
        <v>2021</v>
      </c>
      <c r="D811">
        <v>7</v>
      </c>
      <c r="E811" t="s">
        <v>78</v>
      </c>
      <c r="F811">
        <v>107</v>
      </c>
      <c r="G811" t="s">
        <v>1018</v>
      </c>
      <c r="H811" t="s">
        <v>56</v>
      </c>
      <c r="I811">
        <v>0</v>
      </c>
      <c r="J811">
        <v>1</v>
      </c>
      <c r="K811">
        <v>5.9</v>
      </c>
      <c r="L811">
        <v>26121</v>
      </c>
      <c r="M811" t="s">
        <v>983</v>
      </c>
      <c r="N811" t="str">
        <f t="shared" si="84"/>
        <v>cinema</v>
      </c>
      <c r="O811" t="str">
        <f t="shared" si="85"/>
        <v>non-original</v>
      </c>
      <c r="P811" t="str">
        <f t="shared" si="86"/>
        <v>franchise</v>
      </c>
      <c r="Q811" t="str">
        <f t="shared" si="87"/>
        <v>old</v>
      </c>
      <c r="R811" s="2">
        <f t="shared" si="88"/>
        <v>1.5666214392448349E-2</v>
      </c>
      <c r="S811">
        <f t="shared" si="89"/>
        <v>0.35266917293233091</v>
      </c>
      <c r="T811" t="str">
        <f t="shared" si="90"/>
        <v>Scenario 2: Weak Commitment/Convenience</v>
      </c>
    </row>
    <row r="812" spans="1:20" x14ac:dyDescent="0.35">
      <c r="A812" t="s">
        <v>1035</v>
      </c>
      <c r="B812" s="1">
        <v>44391</v>
      </c>
      <c r="C812">
        <v>2021</v>
      </c>
      <c r="D812">
        <v>7</v>
      </c>
      <c r="E812" t="s">
        <v>78</v>
      </c>
      <c r="F812">
        <v>115</v>
      </c>
      <c r="G812" t="s">
        <v>1018</v>
      </c>
      <c r="H812" t="s">
        <v>56</v>
      </c>
      <c r="I812">
        <v>1</v>
      </c>
      <c r="J812">
        <v>1</v>
      </c>
      <c r="K812">
        <v>4.5</v>
      </c>
      <c r="L812">
        <v>86318</v>
      </c>
      <c r="M812" t="s">
        <v>983</v>
      </c>
      <c r="N812" t="str">
        <f t="shared" si="84"/>
        <v>cinema</v>
      </c>
      <c r="O812" t="str">
        <f t="shared" si="85"/>
        <v>original</v>
      </c>
      <c r="P812" t="str">
        <f t="shared" si="86"/>
        <v>franchise</v>
      </c>
      <c r="Q812" t="str">
        <f t="shared" si="87"/>
        <v>old</v>
      </c>
      <c r="R812" s="2">
        <f t="shared" si="88"/>
        <v>5.5640330139228415E-2</v>
      </c>
      <c r="S812">
        <f t="shared" si="89"/>
        <v>0.25545112781954893</v>
      </c>
      <c r="T812" t="str">
        <f t="shared" si="90"/>
        <v>Scenario 1: Strong Commitment</v>
      </c>
    </row>
    <row r="813" spans="1:20" x14ac:dyDescent="0.35">
      <c r="A813" t="s">
        <v>1036</v>
      </c>
      <c r="B813" s="1">
        <v>44510</v>
      </c>
      <c r="C813">
        <v>2021</v>
      </c>
      <c r="D813">
        <v>11</v>
      </c>
      <c r="E813" t="s">
        <v>125</v>
      </c>
      <c r="F813">
        <v>96</v>
      </c>
      <c r="G813" t="s">
        <v>1014</v>
      </c>
      <c r="H813" t="s">
        <v>56</v>
      </c>
      <c r="I813">
        <v>0</v>
      </c>
      <c r="J813">
        <v>0</v>
      </c>
      <c r="K813">
        <v>5.9</v>
      </c>
      <c r="L813">
        <v>18721</v>
      </c>
      <c r="M813" t="s">
        <v>983</v>
      </c>
      <c r="N813" t="str">
        <f t="shared" si="84"/>
        <v>cinema</v>
      </c>
      <c r="O813" t="str">
        <f t="shared" si="85"/>
        <v>non-original</v>
      </c>
      <c r="P813" t="str">
        <f t="shared" si="86"/>
        <v>non-franchise</v>
      </c>
      <c r="Q813" t="str">
        <f t="shared" si="87"/>
        <v>new</v>
      </c>
      <c r="R813" s="2">
        <f t="shared" si="88"/>
        <v>6.7158270897536287E-3</v>
      </c>
      <c r="S813">
        <f t="shared" si="89"/>
        <v>0.56560150375939855</v>
      </c>
      <c r="T813" t="str">
        <f t="shared" si="90"/>
        <v>Scenario 3: Strong Convenience</v>
      </c>
    </row>
    <row r="814" spans="1:20" x14ac:dyDescent="0.35">
      <c r="A814" t="s">
        <v>1037</v>
      </c>
      <c r="B814" s="1">
        <v>44524</v>
      </c>
      <c r="C814">
        <v>2021</v>
      </c>
      <c r="D814">
        <v>11</v>
      </c>
      <c r="E814" t="s">
        <v>125</v>
      </c>
      <c r="F814">
        <v>102</v>
      </c>
      <c r="G814" t="s">
        <v>1038</v>
      </c>
      <c r="H814" t="s">
        <v>56</v>
      </c>
      <c r="I814">
        <v>1</v>
      </c>
      <c r="J814">
        <v>0</v>
      </c>
      <c r="K814">
        <v>7.2</v>
      </c>
      <c r="L814">
        <v>294328</v>
      </c>
      <c r="M814" t="s">
        <v>983</v>
      </c>
      <c r="N814" t="str">
        <f t="shared" si="84"/>
        <v>cinema</v>
      </c>
      <c r="O814" t="str">
        <f t="shared" si="85"/>
        <v>original</v>
      </c>
      <c r="P814" t="str">
        <f t="shared" si="86"/>
        <v>non-franchise</v>
      </c>
      <c r="Q814" t="str">
        <f t="shared" si="87"/>
        <v>old</v>
      </c>
      <c r="R814" s="2">
        <f t="shared" si="88"/>
        <v>0.1682760231480078</v>
      </c>
      <c r="S814">
        <f t="shared" si="89"/>
        <v>0.44390977443609025</v>
      </c>
      <c r="T814" t="str">
        <f t="shared" si="90"/>
        <v>Scenario 1: Strong Commitment</v>
      </c>
    </row>
    <row r="815" spans="1:20" x14ac:dyDescent="0.35">
      <c r="A815" t="s">
        <v>1039</v>
      </c>
      <c r="B815" s="1">
        <v>44531</v>
      </c>
      <c r="C815">
        <v>2021</v>
      </c>
      <c r="D815">
        <v>12</v>
      </c>
      <c r="E815" t="s">
        <v>14</v>
      </c>
      <c r="F815">
        <v>110</v>
      </c>
      <c r="G815" t="s">
        <v>1018</v>
      </c>
      <c r="H815" t="s">
        <v>56</v>
      </c>
      <c r="I815">
        <v>1</v>
      </c>
      <c r="J815">
        <v>1</v>
      </c>
      <c r="K815">
        <v>7.3</v>
      </c>
      <c r="L815">
        <v>100104</v>
      </c>
      <c r="M815" t="s">
        <v>989</v>
      </c>
      <c r="N815" t="str">
        <f t="shared" si="84"/>
        <v>cinema</v>
      </c>
      <c r="O815" t="str">
        <f t="shared" si="85"/>
        <v>original</v>
      </c>
      <c r="P815" t="str">
        <f t="shared" si="86"/>
        <v>franchise</v>
      </c>
      <c r="Q815" t="str">
        <f t="shared" si="87"/>
        <v>old</v>
      </c>
      <c r="R815" s="2">
        <f t="shared" si="88"/>
        <v>6.1721234717360102E-2</v>
      </c>
      <c r="S815">
        <f t="shared" si="89"/>
        <v>0.42812030075187973</v>
      </c>
      <c r="T815" t="str">
        <f t="shared" si="90"/>
        <v>Scenario 1: Strong Commitment</v>
      </c>
    </row>
    <row r="816" spans="1:20" x14ac:dyDescent="0.35">
      <c r="A816" t="s">
        <v>1040</v>
      </c>
      <c r="B816" s="1">
        <v>44630</v>
      </c>
      <c r="C816">
        <v>2022</v>
      </c>
      <c r="D816">
        <v>3</v>
      </c>
      <c r="E816" t="s">
        <v>38</v>
      </c>
      <c r="F816">
        <v>100</v>
      </c>
      <c r="G816" t="s">
        <v>1018</v>
      </c>
      <c r="H816" t="s">
        <v>56</v>
      </c>
      <c r="I816">
        <v>1</v>
      </c>
      <c r="J816">
        <v>0</v>
      </c>
      <c r="K816">
        <v>6.9</v>
      </c>
      <c r="L816">
        <v>172050</v>
      </c>
      <c r="M816" t="s">
        <v>983</v>
      </c>
      <c r="N816" t="str">
        <f t="shared" si="84"/>
        <v>cinema</v>
      </c>
      <c r="O816" t="str">
        <f t="shared" si="85"/>
        <v>original</v>
      </c>
      <c r="P816" t="str">
        <f t="shared" si="86"/>
        <v>non-franchise</v>
      </c>
      <c r="Q816" t="str">
        <f t="shared" si="87"/>
        <v>old</v>
      </c>
      <c r="R816" s="2">
        <f t="shared" si="88"/>
        <v>9.6437327298898284E-2</v>
      </c>
      <c r="S816">
        <f t="shared" si="89"/>
        <v>0.43060150375939854</v>
      </c>
      <c r="T816" t="str">
        <f t="shared" si="90"/>
        <v>Scenario 1: Strong Commitment</v>
      </c>
    </row>
    <row r="817" spans="1:20" x14ac:dyDescent="0.35">
      <c r="A817" t="s">
        <v>1041</v>
      </c>
      <c r="B817" s="1">
        <v>44637</v>
      </c>
      <c r="C817">
        <v>2022</v>
      </c>
      <c r="D817">
        <v>3</v>
      </c>
      <c r="E817" t="s">
        <v>38</v>
      </c>
      <c r="F817">
        <v>100</v>
      </c>
      <c r="G817" t="s">
        <v>1018</v>
      </c>
      <c r="H817" t="s">
        <v>56</v>
      </c>
      <c r="I817">
        <v>0</v>
      </c>
      <c r="J817">
        <v>1</v>
      </c>
      <c r="K817">
        <v>6.9</v>
      </c>
      <c r="L817">
        <v>78492</v>
      </c>
      <c r="M817" t="s">
        <v>989</v>
      </c>
      <c r="N817" t="str">
        <f t="shared" si="84"/>
        <v>cinema</v>
      </c>
      <c r="O817" t="str">
        <f t="shared" si="85"/>
        <v>non-original</v>
      </c>
      <c r="P817" t="str">
        <f t="shared" si="86"/>
        <v>franchise</v>
      </c>
      <c r="Q817" t="str">
        <f t="shared" si="87"/>
        <v>old</v>
      </c>
      <c r="R817" s="2">
        <f t="shared" si="88"/>
        <v>4.3996272562308189E-2</v>
      </c>
      <c r="S817">
        <f t="shared" si="89"/>
        <v>0.43060150375939854</v>
      </c>
      <c r="T817" t="str">
        <f t="shared" si="90"/>
        <v>Scenario 1: Strong Commitment</v>
      </c>
    </row>
    <row r="818" spans="1:20" x14ac:dyDescent="0.35">
      <c r="A818" t="s">
        <v>1042</v>
      </c>
      <c r="B818" s="1">
        <v>44650</v>
      </c>
      <c r="C818">
        <v>2022</v>
      </c>
      <c r="D818">
        <v>3</v>
      </c>
      <c r="E818" t="s">
        <v>38</v>
      </c>
      <c r="F818">
        <v>122</v>
      </c>
      <c r="G818" t="s">
        <v>1043</v>
      </c>
      <c r="H818" t="s">
        <v>56</v>
      </c>
      <c r="I818">
        <v>0</v>
      </c>
      <c r="J818">
        <v>1</v>
      </c>
      <c r="K818">
        <v>6.5</v>
      </c>
      <c r="L818">
        <v>114591</v>
      </c>
      <c r="M818" t="s">
        <v>989</v>
      </c>
      <c r="N818" t="str">
        <f t="shared" si="84"/>
        <v>cinema</v>
      </c>
      <c r="O818" t="str">
        <f t="shared" si="85"/>
        <v>non-original</v>
      </c>
      <c r="P818" t="str">
        <f t="shared" si="86"/>
        <v>franchise</v>
      </c>
      <c r="Q818" t="str">
        <f t="shared" si="87"/>
        <v>old</v>
      </c>
      <c r="R818" s="2">
        <f t="shared" si="88"/>
        <v>7.8361155027374757E-2</v>
      </c>
      <c r="S818">
        <f t="shared" si="89"/>
        <v>0.35187969924812029</v>
      </c>
      <c r="T818" t="str">
        <f t="shared" si="90"/>
        <v>Scenario 1: Strong Commitment</v>
      </c>
    </row>
    <row r="819" spans="1:20" x14ac:dyDescent="0.35">
      <c r="A819" t="s">
        <v>1044</v>
      </c>
      <c r="B819" s="1">
        <v>44727</v>
      </c>
      <c r="C819">
        <v>2022</v>
      </c>
      <c r="D819">
        <v>6</v>
      </c>
      <c r="E819" t="s">
        <v>78</v>
      </c>
      <c r="F819">
        <v>105</v>
      </c>
      <c r="G819" t="s">
        <v>1008</v>
      </c>
      <c r="H819" t="s">
        <v>56</v>
      </c>
      <c r="I819">
        <v>0</v>
      </c>
      <c r="J819">
        <v>1</v>
      </c>
      <c r="K819">
        <v>6.1</v>
      </c>
      <c r="L819">
        <v>135119</v>
      </c>
      <c r="M819" t="s">
        <v>983</v>
      </c>
      <c r="N819" t="str">
        <f t="shared" si="84"/>
        <v>cinema</v>
      </c>
      <c r="O819" t="str">
        <f t="shared" si="85"/>
        <v>non-original</v>
      </c>
      <c r="P819" t="str">
        <f t="shared" si="86"/>
        <v>franchise</v>
      </c>
      <c r="Q819" t="str">
        <f t="shared" si="87"/>
        <v>old</v>
      </c>
      <c r="R819" s="2">
        <f t="shared" si="88"/>
        <v>7.9523632599039995E-2</v>
      </c>
      <c r="S819">
        <f t="shared" si="89"/>
        <v>0.36921052631578949</v>
      </c>
      <c r="T819" t="str">
        <f t="shared" si="90"/>
        <v>Scenario 1: Strong Commitment</v>
      </c>
    </row>
    <row r="820" spans="1:20" x14ac:dyDescent="0.35">
      <c r="A820" t="s">
        <v>1045</v>
      </c>
      <c r="B820" s="1">
        <v>44728</v>
      </c>
      <c r="C820">
        <v>2022</v>
      </c>
      <c r="D820">
        <v>6</v>
      </c>
      <c r="E820" t="s">
        <v>78</v>
      </c>
      <c r="F820">
        <v>87</v>
      </c>
      <c r="G820" t="s">
        <v>1018</v>
      </c>
      <c r="H820" t="s">
        <v>56</v>
      </c>
      <c r="I820">
        <v>0</v>
      </c>
      <c r="J820">
        <v>1</v>
      </c>
      <c r="K820">
        <v>6.5</v>
      </c>
      <c r="L820">
        <v>104124</v>
      </c>
      <c r="M820" t="s">
        <v>989</v>
      </c>
      <c r="N820" t="str">
        <f t="shared" si="84"/>
        <v>cinema</v>
      </c>
      <c r="O820" t="str">
        <f t="shared" si="85"/>
        <v>non-original</v>
      </c>
      <c r="P820" t="str">
        <f t="shared" si="86"/>
        <v>franchise</v>
      </c>
      <c r="Q820" t="str">
        <f t="shared" si="87"/>
        <v>old</v>
      </c>
      <c r="R820" s="2">
        <f t="shared" si="88"/>
        <v>5.0776245468604021E-2</v>
      </c>
      <c r="S820">
        <f t="shared" si="89"/>
        <v>0.43740601503759396</v>
      </c>
      <c r="T820" t="str">
        <f t="shared" si="90"/>
        <v>Scenario 1: Strong Commitment</v>
      </c>
    </row>
    <row r="821" spans="1:20" x14ac:dyDescent="0.35">
      <c r="A821" t="s">
        <v>1046</v>
      </c>
      <c r="B821" s="1">
        <v>44757</v>
      </c>
      <c r="C821">
        <v>2022</v>
      </c>
      <c r="D821">
        <v>7</v>
      </c>
      <c r="E821" t="s">
        <v>78</v>
      </c>
      <c r="F821">
        <v>98</v>
      </c>
      <c r="G821" t="s">
        <v>1008</v>
      </c>
      <c r="H821" t="s">
        <v>56</v>
      </c>
      <c r="I821">
        <v>0</v>
      </c>
      <c r="J821">
        <v>0</v>
      </c>
      <c r="K821">
        <v>5.8</v>
      </c>
      <c r="L821">
        <v>7481</v>
      </c>
      <c r="M821" t="s">
        <v>983</v>
      </c>
      <c r="N821" t="str">
        <f t="shared" si="84"/>
        <v>cinema</v>
      </c>
      <c r="O821" t="str">
        <f t="shared" si="85"/>
        <v>non-original</v>
      </c>
      <c r="P821" t="str">
        <f t="shared" si="86"/>
        <v>non-franchise</v>
      </c>
      <c r="Q821" t="str">
        <f t="shared" si="87"/>
        <v>new</v>
      </c>
      <c r="R821" s="2">
        <f t="shared" si="88"/>
        <v>2.7395861381869493E-3</v>
      </c>
      <c r="S821">
        <f t="shared" si="89"/>
        <v>0.54947368421052623</v>
      </c>
      <c r="T821" t="str">
        <f t="shared" si="90"/>
        <v>Scenario 3: Strong Convenience</v>
      </c>
    </row>
    <row r="822" spans="1:20" x14ac:dyDescent="0.35">
      <c r="A822" t="s">
        <v>1047</v>
      </c>
      <c r="B822" s="1">
        <v>44757</v>
      </c>
      <c r="C822">
        <v>2022</v>
      </c>
      <c r="D822">
        <v>7</v>
      </c>
      <c r="E822" t="s">
        <v>78</v>
      </c>
      <c r="F822">
        <v>115</v>
      </c>
      <c r="G822" t="s">
        <v>985</v>
      </c>
      <c r="H822" t="s">
        <v>56</v>
      </c>
      <c r="I822">
        <v>0</v>
      </c>
      <c r="J822">
        <v>0</v>
      </c>
      <c r="K822">
        <v>7.1</v>
      </c>
      <c r="L822">
        <v>36566</v>
      </c>
      <c r="M822" t="s">
        <v>983</v>
      </c>
      <c r="N822" t="str">
        <f t="shared" si="84"/>
        <v>cinema</v>
      </c>
      <c r="O822" t="str">
        <f t="shared" si="85"/>
        <v>non-original</v>
      </c>
      <c r="P822" t="str">
        <f t="shared" si="86"/>
        <v>non-franchise</v>
      </c>
      <c r="Q822" t="str">
        <f t="shared" si="87"/>
        <v>new</v>
      </c>
      <c r="R822" s="2">
        <f t="shared" si="88"/>
        <v>1.5713557711956764E-2</v>
      </c>
      <c r="S822">
        <f t="shared" si="89"/>
        <v>0.60456766917293236</v>
      </c>
      <c r="T822" t="str">
        <f t="shared" si="90"/>
        <v>Scenario 3: Strong Convenience</v>
      </c>
    </row>
    <row r="823" spans="1:20" x14ac:dyDescent="0.35">
      <c r="A823" t="s">
        <v>1048</v>
      </c>
      <c r="B823" s="1">
        <v>44840</v>
      </c>
      <c r="C823">
        <v>2022</v>
      </c>
      <c r="D823">
        <v>10</v>
      </c>
      <c r="E823" t="s">
        <v>125</v>
      </c>
      <c r="F823">
        <v>106</v>
      </c>
      <c r="G823" t="s">
        <v>1014</v>
      </c>
      <c r="H823" t="s">
        <v>56</v>
      </c>
      <c r="I823">
        <v>0</v>
      </c>
      <c r="J823">
        <v>0</v>
      </c>
      <c r="K823">
        <v>6.1</v>
      </c>
      <c r="L823">
        <v>17928</v>
      </c>
      <c r="M823" t="s">
        <v>983</v>
      </c>
      <c r="N823" t="str">
        <f t="shared" si="84"/>
        <v>cinema</v>
      </c>
      <c r="O823" t="str">
        <f t="shared" si="85"/>
        <v>non-original</v>
      </c>
      <c r="P823" t="str">
        <f t="shared" si="86"/>
        <v>non-franchise</v>
      </c>
      <c r="Q823" t="str">
        <f t="shared" si="87"/>
        <v>new</v>
      </c>
      <c r="R823" s="2">
        <f t="shared" si="88"/>
        <v>7.1012849289684285E-3</v>
      </c>
      <c r="S823">
        <f t="shared" si="89"/>
        <v>0.55037593984962407</v>
      </c>
      <c r="T823" t="str">
        <f t="shared" si="90"/>
        <v>Scenario 3: Strong Convenience</v>
      </c>
    </row>
    <row r="824" spans="1:20" x14ac:dyDescent="0.35">
      <c r="A824" t="s">
        <v>1049</v>
      </c>
      <c r="B824" s="1">
        <v>44887</v>
      </c>
      <c r="C824">
        <v>2022</v>
      </c>
      <c r="D824">
        <v>11</v>
      </c>
      <c r="E824" t="s">
        <v>125</v>
      </c>
      <c r="F824">
        <v>102</v>
      </c>
      <c r="G824" t="s">
        <v>1008</v>
      </c>
      <c r="H824" t="s">
        <v>56</v>
      </c>
      <c r="I824">
        <v>1</v>
      </c>
      <c r="J824">
        <v>0</v>
      </c>
      <c r="K824">
        <v>5.7</v>
      </c>
      <c r="L824">
        <v>50295</v>
      </c>
      <c r="M824" t="s">
        <v>983</v>
      </c>
      <c r="N824" t="str">
        <f t="shared" si="84"/>
        <v>cinema</v>
      </c>
      <c r="O824" t="str">
        <f t="shared" si="85"/>
        <v>original</v>
      </c>
      <c r="P824" t="str">
        <f t="shared" si="86"/>
        <v>non-franchise</v>
      </c>
      <c r="Q824" t="str">
        <f t="shared" si="87"/>
        <v>old</v>
      </c>
      <c r="R824" s="2">
        <f t="shared" si="88"/>
        <v>2.8755139110886663E-2</v>
      </c>
      <c r="S824">
        <f t="shared" si="89"/>
        <v>0.35142857142857153</v>
      </c>
      <c r="T824" t="str">
        <f t="shared" si="90"/>
        <v>Scenario 2: Weak Commitment/Convenience</v>
      </c>
    </row>
    <row r="825" spans="1:20" x14ac:dyDescent="0.35">
      <c r="A825" t="s">
        <v>1050</v>
      </c>
      <c r="B825" s="1">
        <v>44896</v>
      </c>
      <c r="C825">
        <v>2022</v>
      </c>
      <c r="D825">
        <v>12</v>
      </c>
      <c r="E825" t="s">
        <v>14</v>
      </c>
      <c r="F825">
        <v>110</v>
      </c>
      <c r="G825" t="s">
        <v>1051</v>
      </c>
      <c r="H825" t="s">
        <v>56</v>
      </c>
      <c r="I825">
        <v>0</v>
      </c>
      <c r="J825">
        <v>0</v>
      </c>
      <c r="K825">
        <v>6.6</v>
      </c>
      <c r="L825">
        <v>1363</v>
      </c>
      <c r="M825" t="s">
        <v>983</v>
      </c>
      <c r="N825" t="str">
        <f t="shared" si="84"/>
        <v>cinema</v>
      </c>
      <c r="O825" t="str">
        <f t="shared" si="85"/>
        <v>non-original</v>
      </c>
      <c r="P825" t="str">
        <f t="shared" si="86"/>
        <v>non-franchise</v>
      </c>
      <c r="Q825" t="str">
        <f t="shared" si="87"/>
        <v>new</v>
      </c>
      <c r="R825" s="2">
        <f t="shared" si="88"/>
        <v>5.6025761820880835E-4</v>
      </c>
      <c r="S825">
        <f t="shared" si="89"/>
        <v>0.58060150375939845</v>
      </c>
      <c r="T825" t="str">
        <f t="shared" si="90"/>
        <v>Scenario 3: Strong Convenience</v>
      </c>
    </row>
    <row r="826" spans="1:20" x14ac:dyDescent="0.35">
      <c r="A826" t="s">
        <v>1052</v>
      </c>
      <c r="B826" s="1">
        <v>44897</v>
      </c>
      <c r="C826">
        <v>2022</v>
      </c>
      <c r="D826">
        <v>12</v>
      </c>
      <c r="E826" t="s">
        <v>14</v>
      </c>
      <c r="F826">
        <v>102</v>
      </c>
      <c r="G826" t="s">
        <v>1008</v>
      </c>
      <c r="H826" t="s">
        <v>56</v>
      </c>
      <c r="I826">
        <v>0</v>
      </c>
      <c r="J826">
        <v>1</v>
      </c>
      <c r="K826">
        <v>7.8</v>
      </c>
      <c r="L826">
        <v>221583</v>
      </c>
      <c r="M826" t="s">
        <v>989</v>
      </c>
      <c r="N826" t="str">
        <f t="shared" si="84"/>
        <v>cinema</v>
      </c>
      <c r="O826" t="str">
        <f t="shared" si="85"/>
        <v>non-original</v>
      </c>
      <c r="P826" t="str">
        <f t="shared" si="86"/>
        <v>franchise</v>
      </c>
      <c r="Q826" t="str">
        <f t="shared" si="87"/>
        <v>old</v>
      </c>
      <c r="R826" s="2">
        <f t="shared" si="88"/>
        <v>0.12668555501754847</v>
      </c>
      <c r="S826">
        <f t="shared" si="89"/>
        <v>0.48090225563909783</v>
      </c>
      <c r="T826" t="str">
        <f t="shared" si="90"/>
        <v>Scenario 1: Strong Commitment</v>
      </c>
    </row>
    <row r="827" spans="1:20" x14ac:dyDescent="0.35">
      <c r="A827" t="s">
        <v>1053</v>
      </c>
      <c r="B827" s="1">
        <v>45020</v>
      </c>
      <c r="C827">
        <v>2023</v>
      </c>
      <c r="D827">
        <v>4</v>
      </c>
      <c r="E827" t="s">
        <v>38</v>
      </c>
      <c r="F827">
        <v>92</v>
      </c>
      <c r="G827" t="s">
        <v>1018</v>
      </c>
      <c r="H827" t="s">
        <v>56</v>
      </c>
      <c r="I827">
        <v>0</v>
      </c>
      <c r="J827">
        <v>1</v>
      </c>
      <c r="K827">
        <v>7</v>
      </c>
      <c r="L827">
        <v>284398</v>
      </c>
      <c r="M827" t="s">
        <v>989</v>
      </c>
      <c r="N827" t="str">
        <f t="shared" si="84"/>
        <v>cinema</v>
      </c>
      <c r="O827" t="str">
        <f t="shared" si="85"/>
        <v>non-original</v>
      </c>
      <c r="P827" t="str">
        <f t="shared" si="86"/>
        <v>franchise</v>
      </c>
      <c r="Q827" t="str">
        <f t="shared" si="87"/>
        <v>old</v>
      </c>
      <c r="R827" s="2">
        <f t="shared" si="88"/>
        <v>0.14665769467259465</v>
      </c>
      <c r="S827">
        <f t="shared" si="89"/>
        <v>0.45789473684210524</v>
      </c>
      <c r="T827" t="str">
        <f t="shared" si="90"/>
        <v>Scenario 1: Strong Commitment</v>
      </c>
    </row>
    <row r="828" spans="1:20" x14ac:dyDescent="0.35">
      <c r="A828" t="s">
        <v>1054</v>
      </c>
      <c r="B828" s="1">
        <v>45070</v>
      </c>
      <c r="C828">
        <v>2023</v>
      </c>
      <c r="D828">
        <v>5</v>
      </c>
      <c r="E828" t="s">
        <v>38</v>
      </c>
      <c r="F828">
        <v>135</v>
      </c>
      <c r="G828" t="s">
        <v>1055</v>
      </c>
      <c r="H828" t="s">
        <v>56</v>
      </c>
      <c r="I828">
        <v>0</v>
      </c>
      <c r="J828">
        <v>1</v>
      </c>
      <c r="K828">
        <v>7.2</v>
      </c>
      <c r="L828">
        <v>177582</v>
      </c>
      <c r="M828" t="s">
        <v>983</v>
      </c>
      <c r="N828" t="str">
        <f t="shared" si="84"/>
        <v>cinema</v>
      </c>
      <c r="O828" t="str">
        <f t="shared" si="85"/>
        <v>non-original</v>
      </c>
      <c r="P828" t="str">
        <f t="shared" si="86"/>
        <v>franchise</v>
      </c>
      <c r="Q828" t="str">
        <f t="shared" si="87"/>
        <v>old</v>
      </c>
      <c r="R828" s="2">
        <f t="shared" si="88"/>
        <v>0.13437646129689332</v>
      </c>
      <c r="S828">
        <f t="shared" si="89"/>
        <v>0.35458646616541351</v>
      </c>
      <c r="T828" t="str">
        <f t="shared" si="90"/>
        <v>Scenario 1: Strong Commitment</v>
      </c>
    </row>
    <row r="829" spans="1:20" x14ac:dyDescent="0.35">
      <c r="A829" t="s">
        <v>1054</v>
      </c>
      <c r="B829" s="1">
        <v>45070</v>
      </c>
      <c r="C829">
        <v>2023</v>
      </c>
      <c r="D829">
        <v>5</v>
      </c>
      <c r="E829" t="s">
        <v>38</v>
      </c>
      <c r="F829">
        <v>98</v>
      </c>
      <c r="G829" t="s">
        <v>1056</v>
      </c>
      <c r="H829" t="s">
        <v>56</v>
      </c>
      <c r="I829">
        <v>0</v>
      </c>
      <c r="J829">
        <v>1</v>
      </c>
      <c r="K829">
        <v>3.4</v>
      </c>
      <c r="L829">
        <v>222</v>
      </c>
      <c r="M829" t="s">
        <v>983</v>
      </c>
      <c r="N829" t="str">
        <f t="shared" si="84"/>
        <v>cinema</v>
      </c>
      <c r="O829" t="str">
        <f t="shared" si="85"/>
        <v>non-original</v>
      </c>
      <c r="P829" t="str">
        <f t="shared" si="86"/>
        <v>franchise</v>
      </c>
      <c r="Q829" t="str">
        <f t="shared" si="87"/>
        <v>old</v>
      </c>
      <c r="R829" s="2">
        <f t="shared" si="88"/>
        <v>1.2194655581021976E-4</v>
      </c>
      <c r="S829">
        <f t="shared" si="89"/>
        <v>0.21473684210526311</v>
      </c>
      <c r="T829" t="str">
        <f t="shared" si="90"/>
        <v>Scenario 2: Weak Commitment/Convenience</v>
      </c>
    </row>
    <row r="830" spans="1:20" x14ac:dyDescent="0.35">
      <c r="A830" t="s">
        <v>1057</v>
      </c>
      <c r="B830" s="1">
        <v>45077</v>
      </c>
      <c r="C830">
        <v>2023</v>
      </c>
      <c r="D830">
        <v>5</v>
      </c>
      <c r="E830" t="s">
        <v>38</v>
      </c>
      <c r="F830">
        <v>140</v>
      </c>
      <c r="G830" t="s">
        <v>1008</v>
      </c>
      <c r="H830" t="s">
        <v>56</v>
      </c>
      <c r="I830">
        <v>0</v>
      </c>
      <c r="J830">
        <v>1</v>
      </c>
      <c r="K830">
        <v>8.5</v>
      </c>
      <c r="L830">
        <v>511698</v>
      </c>
      <c r="M830" t="s">
        <v>989</v>
      </c>
      <c r="N830" t="str">
        <f t="shared" si="84"/>
        <v>cinema</v>
      </c>
      <c r="O830" t="str">
        <f t="shared" si="85"/>
        <v>non-original</v>
      </c>
      <c r="P830" t="str">
        <f t="shared" si="86"/>
        <v>franchise</v>
      </c>
      <c r="Q830" t="str">
        <f t="shared" si="87"/>
        <v>old</v>
      </c>
      <c r="R830" s="2">
        <f t="shared" si="88"/>
        <v>0.40154317062405298</v>
      </c>
      <c r="S830">
        <f t="shared" si="89"/>
        <v>0.40263157894736845</v>
      </c>
      <c r="T830" t="str">
        <f t="shared" si="90"/>
        <v>Scenario 1: Strong Commitment</v>
      </c>
    </row>
    <row r="831" spans="1:20" x14ac:dyDescent="0.35">
      <c r="A831" t="s">
        <v>1058</v>
      </c>
      <c r="B831" s="1">
        <v>45091</v>
      </c>
      <c r="C831">
        <v>2023</v>
      </c>
      <c r="D831">
        <v>6</v>
      </c>
      <c r="E831" t="s">
        <v>78</v>
      </c>
      <c r="F831">
        <v>101</v>
      </c>
      <c r="G831" t="s">
        <v>1018</v>
      </c>
      <c r="H831" t="s">
        <v>56</v>
      </c>
      <c r="I831">
        <v>1</v>
      </c>
      <c r="J831">
        <v>0</v>
      </c>
      <c r="K831">
        <v>7</v>
      </c>
      <c r="L831">
        <v>161948</v>
      </c>
      <c r="M831" t="s">
        <v>983</v>
      </c>
      <c r="N831" t="str">
        <f t="shared" si="84"/>
        <v>cinema</v>
      </c>
      <c r="O831" t="str">
        <f t="shared" si="85"/>
        <v>original</v>
      </c>
      <c r="P831" t="str">
        <f t="shared" si="86"/>
        <v>non-franchise</v>
      </c>
      <c r="Q831" t="str">
        <f t="shared" si="87"/>
        <v>old</v>
      </c>
      <c r="R831" s="2">
        <f t="shared" si="88"/>
        <v>9.1682712026829413E-2</v>
      </c>
      <c r="S831">
        <f t="shared" si="89"/>
        <v>0.43421052631578944</v>
      </c>
      <c r="T831" t="str">
        <f t="shared" si="90"/>
        <v>Scenario 1: Strong Commitment</v>
      </c>
    </row>
    <row r="832" spans="1:20" x14ac:dyDescent="0.35">
      <c r="A832" t="s">
        <v>1059</v>
      </c>
      <c r="B832" s="1">
        <v>45140</v>
      </c>
      <c r="C832">
        <v>2023</v>
      </c>
      <c r="D832">
        <v>8</v>
      </c>
      <c r="E832" t="s">
        <v>78</v>
      </c>
      <c r="F832">
        <v>99</v>
      </c>
      <c r="G832" t="s">
        <v>1008</v>
      </c>
      <c r="H832" t="s">
        <v>56</v>
      </c>
      <c r="I832">
        <v>0</v>
      </c>
      <c r="J832">
        <v>1</v>
      </c>
      <c r="K832">
        <v>7.2</v>
      </c>
      <c r="L832">
        <v>77420</v>
      </c>
      <c r="M832" t="s">
        <v>989</v>
      </c>
      <c r="N832" t="str">
        <f t="shared" si="84"/>
        <v>cinema</v>
      </c>
      <c r="O832" t="str">
        <f t="shared" si="85"/>
        <v>non-original</v>
      </c>
      <c r="P832" t="str">
        <f t="shared" si="86"/>
        <v>franchise</v>
      </c>
      <c r="Q832" t="str">
        <f t="shared" si="87"/>
        <v>old</v>
      </c>
      <c r="R832" s="2">
        <f t="shared" si="88"/>
        <v>4.2961442026654452E-2</v>
      </c>
      <c r="S832">
        <f t="shared" si="89"/>
        <v>0.45203007518796995</v>
      </c>
      <c r="T832" t="str">
        <f t="shared" si="90"/>
        <v>Scenario 1: Strong Commitment</v>
      </c>
    </row>
    <row r="833" spans="1:20" x14ac:dyDescent="0.35">
      <c r="A833" t="s">
        <v>1060</v>
      </c>
      <c r="B833" s="1">
        <v>45190</v>
      </c>
      <c r="C833">
        <v>2023</v>
      </c>
      <c r="D833">
        <v>9</v>
      </c>
      <c r="E833" t="s">
        <v>125</v>
      </c>
      <c r="F833">
        <v>88</v>
      </c>
      <c r="G833" t="s">
        <v>1008</v>
      </c>
      <c r="H833" t="s">
        <v>56</v>
      </c>
      <c r="I833">
        <v>0</v>
      </c>
      <c r="J833">
        <v>1</v>
      </c>
      <c r="K833">
        <v>5.9</v>
      </c>
      <c r="L833">
        <v>6458</v>
      </c>
      <c r="M833" t="s">
        <v>989</v>
      </c>
      <c r="N833" t="str">
        <f t="shared" si="84"/>
        <v>cinema</v>
      </c>
      <c r="O833" t="str">
        <f t="shared" si="85"/>
        <v>non-original</v>
      </c>
      <c r="P833" t="str">
        <f t="shared" si="86"/>
        <v>franchise</v>
      </c>
      <c r="Q833" t="str">
        <f t="shared" si="87"/>
        <v>old</v>
      </c>
      <c r="R833" s="2">
        <f t="shared" si="88"/>
        <v>3.1854529993184011E-3</v>
      </c>
      <c r="S833">
        <f t="shared" si="89"/>
        <v>0.39481203007518806</v>
      </c>
      <c r="T833" t="str">
        <f t="shared" si="90"/>
        <v>Scenario 2: Weak Commitment/Convenience</v>
      </c>
    </row>
    <row r="834" spans="1:20" x14ac:dyDescent="0.35">
      <c r="A834" t="s">
        <v>1061</v>
      </c>
      <c r="B834" s="1">
        <v>45211</v>
      </c>
      <c r="C834">
        <v>2023</v>
      </c>
      <c r="D834">
        <v>10</v>
      </c>
      <c r="E834" t="s">
        <v>125</v>
      </c>
      <c r="F834">
        <v>91</v>
      </c>
      <c r="G834" t="s">
        <v>1018</v>
      </c>
      <c r="H834" t="s">
        <v>56</v>
      </c>
      <c r="I834">
        <v>0</v>
      </c>
      <c r="J834">
        <v>1</v>
      </c>
      <c r="K834">
        <v>6</v>
      </c>
      <c r="L834">
        <v>19725</v>
      </c>
      <c r="M834" t="s">
        <v>983</v>
      </c>
      <c r="N834" t="str">
        <f t="shared" si="84"/>
        <v>cinema</v>
      </c>
      <c r="O834" t="str">
        <f t="shared" si="85"/>
        <v>non-original</v>
      </c>
      <c r="P834" t="str">
        <f t="shared" si="86"/>
        <v>franchise</v>
      </c>
      <c r="Q834" t="str">
        <f t="shared" si="87"/>
        <v>old</v>
      </c>
      <c r="R834" s="2">
        <f t="shared" si="88"/>
        <v>1.0061179399496654E-2</v>
      </c>
      <c r="S834">
        <f t="shared" si="89"/>
        <v>0.39473684210526316</v>
      </c>
      <c r="T834" t="str">
        <f t="shared" si="90"/>
        <v>Scenario 2: Weak Commitment/Convenience</v>
      </c>
    </row>
    <row r="835" spans="1:20" x14ac:dyDescent="0.35">
      <c r="A835" t="s">
        <v>1062</v>
      </c>
      <c r="B835" s="1">
        <v>45240</v>
      </c>
      <c r="C835">
        <v>2023</v>
      </c>
      <c r="D835">
        <v>11</v>
      </c>
      <c r="E835" t="s">
        <v>125</v>
      </c>
      <c r="F835">
        <v>99</v>
      </c>
      <c r="G835" t="s">
        <v>1063</v>
      </c>
      <c r="H835" t="s">
        <v>56</v>
      </c>
      <c r="I835">
        <v>0</v>
      </c>
      <c r="J835">
        <v>0</v>
      </c>
      <c r="K835">
        <v>6.5</v>
      </c>
      <c r="L835">
        <v>3862</v>
      </c>
      <c r="M835" t="s">
        <v>983</v>
      </c>
      <c r="N835" t="str">
        <f t="shared" ref="N835:N898" si="91">IF(ISNUMBER(SEARCH("Streaming", M835)), "streaming", "cinema")</f>
        <v>cinema</v>
      </c>
      <c r="O835" t="str">
        <f t="shared" ref="O835:O898" si="92">IF(I835=1, "original", "non-original")</f>
        <v>non-original</v>
      </c>
      <c r="P835" t="str">
        <f t="shared" ref="P835:P898" si="93">IF(J835 = 1, "franchise", "non-franchise")</f>
        <v>non-franchise</v>
      </c>
      <c r="Q835" t="str">
        <f t="shared" ref="Q835:Q898" si="94">IF(OR(I835 = 1,J835 =1), "old", "new")</f>
        <v>new</v>
      </c>
      <c r="R835" s="2">
        <f t="shared" ref="R835:R898" si="95">IF(Q835="old", 1.5, 1) * (L835 / MAX($L$2:$L$1000)) * (F835 / MAX($F$2:$F$1000))</f>
        <v>1.4287185835437828E-3</v>
      </c>
      <c r="S835">
        <f t="shared" ref="S835:S898" si="96">IF(Q835="new", 1.5, 1) * (K835 / 10) * (1 - (F835 / MAX($F$2:$F$1000)))</f>
        <v>0.61212406015037601</v>
      </c>
      <c r="T835" t="str">
        <f t="shared" ref="T835:T898" si="97">IF(AND(R835&gt;=0.03, S835&gt;=0.5), "Scenario 4: Hybrid Logic",
 IF(AND(R835&gt;=0.03, S835&lt;0.5), "Scenario 1: Strong Commitment",
  IF(AND(R835&lt;0.03, S835&gt;=0.5), "Scenario 3: Strong Convenience",
   "Scenario 2: Weak Commitment/Convenience")))</f>
        <v>Scenario 3: Strong Convenience</v>
      </c>
    </row>
    <row r="836" spans="1:20" x14ac:dyDescent="0.35">
      <c r="A836" t="s">
        <v>1064</v>
      </c>
      <c r="B836" s="1">
        <v>45252</v>
      </c>
      <c r="C836">
        <v>2023</v>
      </c>
      <c r="D836">
        <v>11</v>
      </c>
      <c r="E836" t="s">
        <v>125</v>
      </c>
      <c r="F836">
        <v>95</v>
      </c>
      <c r="G836" t="s">
        <v>1018</v>
      </c>
      <c r="H836" t="s">
        <v>56</v>
      </c>
      <c r="I836">
        <v>1</v>
      </c>
      <c r="J836">
        <v>0</v>
      </c>
      <c r="K836">
        <v>5.5</v>
      </c>
      <c r="L836">
        <v>49797</v>
      </c>
      <c r="M836" t="s">
        <v>983</v>
      </c>
      <c r="N836" t="str">
        <f t="shared" si="91"/>
        <v>cinema</v>
      </c>
      <c r="O836" t="str">
        <f t="shared" si="92"/>
        <v>original</v>
      </c>
      <c r="P836" t="str">
        <f t="shared" si="93"/>
        <v>non-franchise</v>
      </c>
      <c r="Q836" t="str">
        <f t="shared" si="94"/>
        <v>old</v>
      </c>
      <c r="R836" s="2">
        <f t="shared" si="95"/>
        <v>2.6516565580517733E-2</v>
      </c>
      <c r="S836">
        <f t="shared" si="96"/>
        <v>0.35357142857142859</v>
      </c>
      <c r="T836" t="str">
        <f t="shared" si="97"/>
        <v>Scenario 2: Weak Commitment/Convenience</v>
      </c>
    </row>
    <row r="837" spans="1:20" x14ac:dyDescent="0.35">
      <c r="A837" t="s">
        <v>1065</v>
      </c>
      <c r="B837" s="1">
        <v>45266</v>
      </c>
      <c r="C837">
        <v>2023</v>
      </c>
      <c r="D837">
        <v>12</v>
      </c>
      <c r="E837" t="s">
        <v>14</v>
      </c>
      <c r="F837">
        <v>83</v>
      </c>
      <c r="G837" t="s">
        <v>1018</v>
      </c>
      <c r="H837" t="s">
        <v>56</v>
      </c>
      <c r="I837">
        <v>1</v>
      </c>
      <c r="J837">
        <v>0</v>
      </c>
      <c r="K837">
        <v>6.6</v>
      </c>
      <c r="L837">
        <v>46018</v>
      </c>
      <c r="M837" t="s">
        <v>989</v>
      </c>
      <c r="N837" t="str">
        <f t="shared" si="91"/>
        <v>cinema</v>
      </c>
      <c r="O837" t="str">
        <f t="shared" si="92"/>
        <v>original</v>
      </c>
      <c r="P837" t="str">
        <f t="shared" si="93"/>
        <v>non-franchise</v>
      </c>
      <c r="Q837" t="str">
        <f t="shared" si="94"/>
        <v>old</v>
      </c>
      <c r="R837" s="2">
        <f t="shared" si="95"/>
        <v>2.1408996977284409E-2</v>
      </c>
      <c r="S837">
        <f t="shared" si="96"/>
        <v>0.45406015037593983</v>
      </c>
      <c r="T837" t="str">
        <f t="shared" si="97"/>
        <v>Scenario 2: Weak Commitment/Convenience</v>
      </c>
    </row>
    <row r="838" spans="1:20" x14ac:dyDescent="0.35">
      <c r="A838" t="s">
        <v>1066</v>
      </c>
      <c r="B838" s="1">
        <v>45266</v>
      </c>
      <c r="C838">
        <v>2023</v>
      </c>
      <c r="D838">
        <v>12</v>
      </c>
      <c r="E838" t="s">
        <v>14</v>
      </c>
      <c r="F838">
        <v>116</v>
      </c>
      <c r="G838" t="s">
        <v>1014</v>
      </c>
      <c r="H838" t="s">
        <v>56</v>
      </c>
      <c r="I838">
        <v>0</v>
      </c>
      <c r="J838">
        <v>1</v>
      </c>
      <c r="K838">
        <v>6.9</v>
      </c>
      <c r="L838">
        <v>191182</v>
      </c>
      <c r="M838" t="s">
        <v>989</v>
      </c>
      <c r="N838" t="str">
        <f t="shared" si="91"/>
        <v>cinema</v>
      </c>
      <c r="O838" t="str">
        <f t="shared" si="92"/>
        <v>non-original</v>
      </c>
      <c r="P838" t="str">
        <f t="shared" si="93"/>
        <v>franchise</v>
      </c>
      <c r="Q838" t="str">
        <f t="shared" si="94"/>
        <v>old</v>
      </c>
      <c r="R838" s="2">
        <f t="shared" si="95"/>
        <v>0.1243069693977521</v>
      </c>
      <c r="S838">
        <f t="shared" si="96"/>
        <v>0.38909774436090233</v>
      </c>
      <c r="T838" t="str">
        <f t="shared" si="97"/>
        <v>Scenario 1: Strong Commitment</v>
      </c>
    </row>
    <row r="839" spans="1:20" x14ac:dyDescent="0.35">
      <c r="A839" t="s">
        <v>1067</v>
      </c>
      <c r="B839" s="1">
        <v>45357</v>
      </c>
      <c r="C839">
        <v>2024</v>
      </c>
      <c r="D839">
        <v>3</v>
      </c>
      <c r="E839" t="s">
        <v>38</v>
      </c>
      <c r="F839">
        <v>94</v>
      </c>
      <c r="G839" t="s">
        <v>1008</v>
      </c>
      <c r="H839" t="s">
        <v>56</v>
      </c>
      <c r="I839">
        <v>1</v>
      </c>
      <c r="J839">
        <v>1</v>
      </c>
      <c r="K839">
        <v>6.3</v>
      </c>
      <c r="L839">
        <v>79640</v>
      </c>
      <c r="M839" t="s">
        <v>989</v>
      </c>
      <c r="N839" t="str">
        <f t="shared" si="91"/>
        <v>cinema</v>
      </c>
      <c r="O839" t="str">
        <f t="shared" si="92"/>
        <v>original</v>
      </c>
      <c r="P839" t="str">
        <f t="shared" si="93"/>
        <v>franchise</v>
      </c>
      <c r="Q839" t="str">
        <f t="shared" si="94"/>
        <v>old</v>
      </c>
      <c r="R839" s="2">
        <f t="shared" si="95"/>
        <v>4.1961363681018334E-2</v>
      </c>
      <c r="S839">
        <f t="shared" si="96"/>
        <v>0.4073684210526316</v>
      </c>
      <c r="T839" t="str">
        <f t="shared" si="97"/>
        <v>Scenario 1: Strong Commitment</v>
      </c>
    </row>
    <row r="840" spans="1:20" x14ac:dyDescent="0.35">
      <c r="A840" t="s">
        <v>1068</v>
      </c>
      <c r="B840" s="1">
        <v>45408</v>
      </c>
      <c r="C840">
        <v>2024</v>
      </c>
      <c r="D840">
        <v>4</v>
      </c>
      <c r="E840" t="s">
        <v>38</v>
      </c>
      <c r="F840">
        <v>113</v>
      </c>
      <c r="G840" t="s">
        <v>1051</v>
      </c>
      <c r="H840" t="s">
        <v>56</v>
      </c>
      <c r="I840">
        <v>0</v>
      </c>
      <c r="J840">
        <v>0</v>
      </c>
      <c r="K840">
        <v>7</v>
      </c>
      <c r="L840">
        <v>5743</v>
      </c>
      <c r="M840" t="s">
        <v>989</v>
      </c>
      <c r="N840" t="str">
        <f t="shared" si="91"/>
        <v>cinema</v>
      </c>
      <c r="O840" t="str">
        <f t="shared" si="92"/>
        <v>non-original</v>
      </c>
      <c r="P840" t="str">
        <f t="shared" si="93"/>
        <v>non-franchise</v>
      </c>
      <c r="Q840" t="str">
        <f t="shared" si="94"/>
        <v>new</v>
      </c>
      <c r="R840" s="2">
        <f t="shared" si="95"/>
        <v>2.4250265034027212E-3</v>
      </c>
      <c r="S840">
        <f t="shared" si="96"/>
        <v>0.60394736842105257</v>
      </c>
      <c r="T840" t="str">
        <f t="shared" si="97"/>
        <v>Scenario 3: Strong Convenience</v>
      </c>
    </row>
    <row r="841" spans="1:20" x14ac:dyDescent="0.35">
      <c r="A841" t="s">
        <v>1069</v>
      </c>
      <c r="B841" s="1">
        <v>45413</v>
      </c>
      <c r="C841">
        <v>2024</v>
      </c>
      <c r="D841">
        <v>5</v>
      </c>
      <c r="E841" t="s">
        <v>38</v>
      </c>
      <c r="F841">
        <v>101</v>
      </c>
      <c r="G841" t="s">
        <v>1018</v>
      </c>
      <c r="H841" t="s">
        <v>56</v>
      </c>
      <c r="I841">
        <v>0</v>
      </c>
      <c r="J841">
        <v>1</v>
      </c>
      <c r="K841">
        <v>5.7</v>
      </c>
      <c r="L841">
        <v>27300</v>
      </c>
      <c r="M841" t="s">
        <v>989</v>
      </c>
      <c r="N841" t="str">
        <f t="shared" si="91"/>
        <v>cinema</v>
      </c>
      <c r="O841" t="str">
        <f t="shared" si="92"/>
        <v>non-original</v>
      </c>
      <c r="P841" t="str">
        <f t="shared" si="93"/>
        <v>franchise</v>
      </c>
      <c r="Q841" t="str">
        <f t="shared" si="94"/>
        <v>old</v>
      </c>
      <c r="R841" s="2">
        <f t="shared" si="95"/>
        <v>1.5455195731546191E-2</v>
      </c>
      <c r="S841">
        <f t="shared" si="96"/>
        <v>0.35357142857142859</v>
      </c>
      <c r="T841" t="str">
        <f t="shared" si="97"/>
        <v>Scenario 2: Weak Commitment/Convenience</v>
      </c>
    </row>
    <row r="842" spans="1:20" x14ac:dyDescent="0.35">
      <c r="A842" t="s">
        <v>1070</v>
      </c>
      <c r="B842" s="1">
        <v>45420</v>
      </c>
      <c r="C842">
        <v>2024</v>
      </c>
      <c r="D842">
        <v>5</v>
      </c>
      <c r="E842" t="s">
        <v>38</v>
      </c>
      <c r="F842">
        <v>104</v>
      </c>
      <c r="G842" t="s">
        <v>1056</v>
      </c>
      <c r="H842" t="s">
        <v>56</v>
      </c>
      <c r="I842">
        <v>1</v>
      </c>
      <c r="J842">
        <v>0</v>
      </c>
      <c r="K842">
        <v>6.4</v>
      </c>
      <c r="L842">
        <v>65401</v>
      </c>
      <c r="M842" t="s">
        <v>983</v>
      </c>
      <c r="N842" t="str">
        <f t="shared" si="91"/>
        <v>cinema</v>
      </c>
      <c r="O842" t="str">
        <f t="shared" si="92"/>
        <v>original</v>
      </c>
      <c r="P842" t="str">
        <f t="shared" si="93"/>
        <v>non-franchise</v>
      </c>
      <c r="Q842" t="str">
        <f t="shared" si="94"/>
        <v>old</v>
      </c>
      <c r="R842" s="2">
        <f t="shared" si="95"/>
        <v>3.8124856427679495E-2</v>
      </c>
      <c r="S842">
        <f t="shared" si="96"/>
        <v>0.38977443609022561</v>
      </c>
      <c r="T842" t="str">
        <f t="shared" si="97"/>
        <v>Scenario 1: Strong Commitment</v>
      </c>
    </row>
    <row r="843" spans="1:20" x14ac:dyDescent="0.35">
      <c r="A843" t="s">
        <v>1071</v>
      </c>
      <c r="B843" s="1">
        <v>45455</v>
      </c>
      <c r="C843">
        <v>2024</v>
      </c>
      <c r="D843">
        <v>6</v>
      </c>
      <c r="E843" t="s">
        <v>78</v>
      </c>
      <c r="F843">
        <v>96</v>
      </c>
      <c r="G843" t="s">
        <v>1018</v>
      </c>
      <c r="H843" t="s">
        <v>56</v>
      </c>
      <c r="I843">
        <v>1</v>
      </c>
      <c r="J843">
        <v>1</v>
      </c>
      <c r="K843">
        <v>7.5</v>
      </c>
      <c r="L843">
        <v>245505</v>
      </c>
      <c r="M843" t="s">
        <v>989</v>
      </c>
      <c r="N843" t="str">
        <f t="shared" si="91"/>
        <v>cinema</v>
      </c>
      <c r="O843" t="str">
        <f t="shared" si="92"/>
        <v>original</v>
      </c>
      <c r="P843" t="str">
        <f t="shared" si="93"/>
        <v>franchise</v>
      </c>
      <c r="Q843" t="str">
        <f t="shared" si="94"/>
        <v>old</v>
      </c>
      <c r="R843" s="2">
        <f t="shared" si="95"/>
        <v>0.13210585409459683</v>
      </c>
      <c r="S843">
        <f t="shared" si="96"/>
        <v>0.47932330827067671</v>
      </c>
      <c r="T843" t="str">
        <f t="shared" si="97"/>
        <v>Scenario 1: Strong Commitment</v>
      </c>
    </row>
    <row r="844" spans="1:20" x14ac:dyDescent="0.35">
      <c r="A844" t="s">
        <v>1072</v>
      </c>
      <c r="B844" s="1">
        <v>45463</v>
      </c>
      <c r="C844">
        <v>2024</v>
      </c>
      <c r="D844">
        <v>6</v>
      </c>
      <c r="E844" t="s">
        <v>78</v>
      </c>
      <c r="F844">
        <v>94</v>
      </c>
      <c r="G844" t="s">
        <v>1018</v>
      </c>
      <c r="H844" t="s">
        <v>56</v>
      </c>
      <c r="I844">
        <v>1</v>
      </c>
      <c r="J844">
        <v>1</v>
      </c>
      <c r="K844">
        <v>6.2</v>
      </c>
      <c r="L844">
        <v>76821</v>
      </c>
      <c r="M844" t="s">
        <v>989</v>
      </c>
      <c r="N844" t="str">
        <f t="shared" si="91"/>
        <v>cinema</v>
      </c>
      <c r="O844" t="str">
        <f t="shared" si="92"/>
        <v>original</v>
      </c>
      <c r="P844" t="str">
        <f t="shared" si="93"/>
        <v>franchise</v>
      </c>
      <c r="Q844" t="str">
        <f t="shared" si="94"/>
        <v>old</v>
      </c>
      <c r="R844" s="2">
        <f t="shared" si="95"/>
        <v>4.0476066290049087E-2</v>
      </c>
      <c r="S844">
        <f t="shared" si="96"/>
        <v>0.40090225563909782</v>
      </c>
      <c r="T844" t="str">
        <f t="shared" si="97"/>
        <v>Scenario 1: Strong Commitment</v>
      </c>
    </row>
    <row r="845" spans="1:20" x14ac:dyDescent="0.35">
      <c r="A845" t="s">
        <v>1073</v>
      </c>
      <c r="B845" s="1">
        <v>45504</v>
      </c>
      <c r="C845">
        <v>2024</v>
      </c>
      <c r="D845">
        <v>7</v>
      </c>
      <c r="E845" t="s">
        <v>78</v>
      </c>
      <c r="F845">
        <v>90</v>
      </c>
      <c r="G845" t="s">
        <v>1018</v>
      </c>
      <c r="H845" t="s">
        <v>56</v>
      </c>
      <c r="I845">
        <v>0</v>
      </c>
      <c r="J845">
        <v>0</v>
      </c>
      <c r="K845">
        <v>5.7</v>
      </c>
      <c r="L845">
        <v>9960</v>
      </c>
      <c r="M845" t="s">
        <v>983</v>
      </c>
      <c r="N845" t="str">
        <f t="shared" si="91"/>
        <v>cinema</v>
      </c>
      <c r="O845" t="str">
        <f t="shared" si="92"/>
        <v>non-original</v>
      </c>
      <c r="P845" t="str">
        <f t="shared" si="93"/>
        <v>non-franchise</v>
      </c>
      <c r="Q845" t="str">
        <f t="shared" si="94"/>
        <v>new</v>
      </c>
      <c r="R845" s="2">
        <f t="shared" si="95"/>
        <v>3.3496627023435984E-3</v>
      </c>
      <c r="S845">
        <f t="shared" si="96"/>
        <v>0.56571428571428573</v>
      </c>
      <c r="T845" t="str">
        <f t="shared" si="97"/>
        <v>Scenario 3: Strong Convenience</v>
      </c>
    </row>
    <row r="846" spans="1:20" x14ac:dyDescent="0.35">
      <c r="A846" t="s">
        <v>1074</v>
      </c>
      <c r="B846" s="1">
        <v>45527</v>
      </c>
      <c r="C846">
        <v>2024</v>
      </c>
      <c r="D846">
        <v>8</v>
      </c>
      <c r="E846" t="s">
        <v>78</v>
      </c>
      <c r="F846">
        <v>124</v>
      </c>
      <c r="G846" t="s">
        <v>1075</v>
      </c>
      <c r="H846" t="s">
        <v>56</v>
      </c>
      <c r="I846">
        <v>1</v>
      </c>
      <c r="J846">
        <v>0</v>
      </c>
      <c r="K846">
        <v>6.8</v>
      </c>
      <c r="L846">
        <v>5875</v>
      </c>
      <c r="M846" t="s">
        <v>989</v>
      </c>
      <c r="N846" t="str">
        <f t="shared" si="91"/>
        <v>cinema</v>
      </c>
      <c r="O846" t="str">
        <f t="shared" si="92"/>
        <v>original</v>
      </c>
      <c r="P846" t="str">
        <f t="shared" si="93"/>
        <v>non-franchise</v>
      </c>
      <c r="Q846" t="str">
        <f t="shared" si="94"/>
        <v>old</v>
      </c>
      <c r="R846" s="2">
        <f t="shared" si="95"/>
        <v>4.0833823270704679E-3</v>
      </c>
      <c r="S846">
        <f t="shared" si="96"/>
        <v>0.36300751879699245</v>
      </c>
      <c r="T846" t="str">
        <f t="shared" si="97"/>
        <v>Scenario 2: Weak Commitment/Convenience</v>
      </c>
    </row>
    <row r="847" spans="1:20" x14ac:dyDescent="0.35">
      <c r="A847" t="s">
        <v>1076</v>
      </c>
      <c r="B847" s="1">
        <v>45546</v>
      </c>
      <c r="C847">
        <v>2024</v>
      </c>
      <c r="D847">
        <v>9</v>
      </c>
      <c r="E847" t="s">
        <v>125</v>
      </c>
      <c r="F847">
        <v>104</v>
      </c>
      <c r="G847" t="s">
        <v>1008</v>
      </c>
      <c r="H847" t="s">
        <v>56</v>
      </c>
      <c r="I847">
        <v>0</v>
      </c>
      <c r="J847">
        <v>1</v>
      </c>
      <c r="K847">
        <v>7.6</v>
      </c>
      <c r="L847">
        <v>62961</v>
      </c>
      <c r="M847" t="s">
        <v>983</v>
      </c>
      <c r="N847" t="str">
        <f t="shared" si="91"/>
        <v>cinema</v>
      </c>
      <c r="O847" t="str">
        <f t="shared" si="92"/>
        <v>non-original</v>
      </c>
      <c r="P847" t="str">
        <f t="shared" si="93"/>
        <v>franchise</v>
      </c>
      <c r="Q847" t="str">
        <f t="shared" si="94"/>
        <v>old</v>
      </c>
      <c r="R847" s="2">
        <f t="shared" si="95"/>
        <v>3.6702482921409894E-2</v>
      </c>
      <c r="S847">
        <f t="shared" si="96"/>
        <v>0.46285714285714286</v>
      </c>
      <c r="T847" t="str">
        <f t="shared" si="97"/>
        <v>Scenario 1: Strong Commitment</v>
      </c>
    </row>
    <row r="848" spans="1:20" x14ac:dyDescent="0.35">
      <c r="A848" t="s">
        <v>1077</v>
      </c>
      <c r="B848" s="1">
        <v>45548</v>
      </c>
      <c r="C848">
        <v>2024</v>
      </c>
      <c r="D848">
        <v>9</v>
      </c>
      <c r="E848" t="s">
        <v>125</v>
      </c>
      <c r="F848">
        <v>102</v>
      </c>
      <c r="G848" t="s">
        <v>1078</v>
      </c>
      <c r="H848" t="s">
        <v>56</v>
      </c>
      <c r="I848">
        <v>0</v>
      </c>
      <c r="J848">
        <v>0</v>
      </c>
      <c r="K848">
        <v>8.1999999999999993</v>
      </c>
      <c r="L848">
        <v>216140</v>
      </c>
      <c r="M848" t="s">
        <v>989</v>
      </c>
      <c r="N848" t="str">
        <f t="shared" si="91"/>
        <v>cinema</v>
      </c>
      <c r="O848" t="str">
        <f t="shared" si="92"/>
        <v>non-original</v>
      </c>
      <c r="P848" t="str">
        <f t="shared" si="93"/>
        <v>non-franchise</v>
      </c>
      <c r="Q848" t="str">
        <f t="shared" si="94"/>
        <v>new</v>
      </c>
      <c r="R848" s="2">
        <f t="shared" si="95"/>
        <v>8.2382420617384683E-2</v>
      </c>
      <c r="S848">
        <f t="shared" si="96"/>
        <v>0.75834586466165421</v>
      </c>
      <c r="T848" t="str">
        <f t="shared" si="97"/>
        <v>Scenario 4: Hybrid Logic</v>
      </c>
    </row>
    <row r="849" spans="1:20" x14ac:dyDescent="0.35">
      <c r="A849" t="s">
        <v>1079</v>
      </c>
      <c r="B849" s="1">
        <v>45616</v>
      </c>
      <c r="C849">
        <v>2024</v>
      </c>
      <c r="D849">
        <v>11</v>
      </c>
      <c r="E849" t="s">
        <v>125</v>
      </c>
      <c r="F849">
        <v>160</v>
      </c>
      <c r="G849" t="s">
        <v>1080</v>
      </c>
      <c r="H849" t="s">
        <v>56</v>
      </c>
      <c r="I849">
        <v>0</v>
      </c>
      <c r="J849">
        <v>1</v>
      </c>
      <c r="K849">
        <v>7.3</v>
      </c>
      <c r="L849">
        <v>225598</v>
      </c>
      <c r="M849" t="s">
        <v>989</v>
      </c>
      <c r="N849" t="str">
        <f t="shared" si="91"/>
        <v>cinema</v>
      </c>
      <c r="O849" t="str">
        <f t="shared" si="92"/>
        <v>non-original</v>
      </c>
      <c r="P849" t="str">
        <f t="shared" si="93"/>
        <v>franchise</v>
      </c>
      <c r="Q849" t="str">
        <f t="shared" si="94"/>
        <v>old</v>
      </c>
      <c r="R849" s="2">
        <f t="shared" si="95"/>
        <v>0.20232321454439386</v>
      </c>
      <c r="S849">
        <f t="shared" si="96"/>
        <v>0.29090225563909777</v>
      </c>
      <c r="T849" t="str">
        <f t="shared" si="97"/>
        <v>Scenario 1: Strong Commitment</v>
      </c>
    </row>
    <row r="850" spans="1:20" x14ac:dyDescent="0.35">
      <c r="A850" t="s">
        <v>1081</v>
      </c>
      <c r="B850" s="1">
        <v>45623</v>
      </c>
      <c r="C850">
        <v>2024</v>
      </c>
      <c r="D850">
        <v>11</v>
      </c>
      <c r="E850" t="s">
        <v>125</v>
      </c>
      <c r="F850">
        <v>100</v>
      </c>
      <c r="G850" t="s">
        <v>1018</v>
      </c>
      <c r="H850" t="s">
        <v>56</v>
      </c>
      <c r="I850">
        <v>1</v>
      </c>
      <c r="J850">
        <v>1</v>
      </c>
      <c r="K850">
        <v>6.3</v>
      </c>
      <c r="L850">
        <v>123176</v>
      </c>
      <c r="M850" t="s">
        <v>989</v>
      </c>
      <c r="N850" t="str">
        <f t="shared" si="91"/>
        <v>cinema</v>
      </c>
      <c r="O850" t="str">
        <f t="shared" si="92"/>
        <v>original</v>
      </c>
      <c r="P850" t="str">
        <f t="shared" si="93"/>
        <v>franchise</v>
      </c>
      <c r="Q850" t="str">
        <f t="shared" si="94"/>
        <v>old</v>
      </c>
      <c r="R850" s="2">
        <f t="shared" si="95"/>
        <v>6.9042512219523941E-2</v>
      </c>
      <c r="S850">
        <f t="shared" si="96"/>
        <v>0.3931578947368421</v>
      </c>
      <c r="T850" t="str">
        <f t="shared" si="97"/>
        <v>Scenario 1: Strong Commitment</v>
      </c>
    </row>
    <row r="851" spans="1:20" x14ac:dyDescent="0.35">
      <c r="A851" t="s">
        <v>1082</v>
      </c>
      <c r="B851" s="1">
        <v>45644</v>
      </c>
      <c r="C851">
        <v>2024</v>
      </c>
      <c r="D851">
        <v>12</v>
      </c>
      <c r="E851" t="s">
        <v>14</v>
      </c>
      <c r="F851">
        <v>118</v>
      </c>
      <c r="G851" t="s">
        <v>1083</v>
      </c>
      <c r="H851" t="s">
        <v>56</v>
      </c>
      <c r="I851">
        <v>1</v>
      </c>
      <c r="J851">
        <v>1</v>
      </c>
      <c r="K851">
        <v>6.6</v>
      </c>
      <c r="L851">
        <v>81125</v>
      </c>
      <c r="M851" t="s">
        <v>989</v>
      </c>
      <c r="N851" t="str">
        <f t="shared" si="91"/>
        <v>cinema</v>
      </c>
      <c r="O851" t="str">
        <f t="shared" si="92"/>
        <v>original</v>
      </c>
      <c r="P851" t="str">
        <f t="shared" si="93"/>
        <v>franchise</v>
      </c>
      <c r="Q851" t="str">
        <f t="shared" si="94"/>
        <v>old</v>
      </c>
      <c r="R851" s="2">
        <f t="shared" si="95"/>
        <v>5.3657101127609907E-2</v>
      </c>
      <c r="S851">
        <f t="shared" si="96"/>
        <v>0.36721804511278194</v>
      </c>
      <c r="T851" t="str">
        <f t="shared" si="97"/>
        <v>Scenario 1: Strong Commitment</v>
      </c>
    </row>
    <row r="852" spans="1:20" x14ac:dyDescent="0.35">
      <c r="A852" t="s">
        <v>1084</v>
      </c>
      <c r="B852" s="1">
        <v>45645</v>
      </c>
      <c r="C852">
        <v>2024</v>
      </c>
      <c r="D852">
        <v>12</v>
      </c>
      <c r="E852" t="s">
        <v>14</v>
      </c>
      <c r="F852">
        <v>110</v>
      </c>
      <c r="G852" t="s">
        <v>1043</v>
      </c>
      <c r="H852" t="s">
        <v>56</v>
      </c>
      <c r="I852">
        <v>0</v>
      </c>
      <c r="J852">
        <v>1</v>
      </c>
      <c r="K852">
        <v>6.9</v>
      </c>
      <c r="L852">
        <v>77829</v>
      </c>
      <c r="M852" t="s">
        <v>989</v>
      </c>
      <c r="N852" t="str">
        <f t="shared" si="91"/>
        <v>cinema</v>
      </c>
      <c r="O852" t="str">
        <f t="shared" si="92"/>
        <v>non-original</v>
      </c>
      <c r="P852" t="str">
        <f t="shared" si="93"/>
        <v>franchise</v>
      </c>
      <c r="Q852" t="str">
        <f t="shared" si="94"/>
        <v>old</v>
      </c>
      <c r="R852" s="2">
        <f t="shared" si="95"/>
        <v>4.7987113170476894E-2</v>
      </c>
      <c r="S852">
        <f t="shared" si="96"/>
        <v>0.40466165413533844</v>
      </c>
      <c r="T852" t="str">
        <f t="shared" si="97"/>
        <v>Scenario 1: Strong Commitment</v>
      </c>
    </row>
    <row r="853" spans="1:20" x14ac:dyDescent="0.35">
      <c r="A853" t="s">
        <v>1085</v>
      </c>
      <c r="B853" s="1">
        <v>43840</v>
      </c>
      <c r="C853">
        <v>2020</v>
      </c>
      <c r="D853">
        <v>1</v>
      </c>
      <c r="E853" t="s">
        <v>14</v>
      </c>
      <c r="F853">
        <v>99</v>
      </c>
      <c r="G853" t="s">
        <v>1086</v>
      </c>
      <c r="H853" t="s">
        <v>27</v>
      </c>
      <c r="I853">
        <v>1</v>
      </c>
      <c r="J853">
        <v>1</v>
      </c>
      <c r="K853">
        <v>6.4</v>
      </c>
      <c r="L853">
        <v>41298</v>
      </c>
      <c r="M853" t="s">
        <v>983</v>
      </c>
      <c r="N853" t="str">
        <f t="shared" si="91"/>
        <v>cinema</v>
      </c>
      <c r="O853" t="str">
        <f t="shared" si="92"/>
        <v>original</v>
      </c>
      <c r="P853" t="str">
        <f t="shared" si="93"/>
        <v>franchise</v>
      </c>
      <c r="Q853" t="str">
        <f t="shared" si="94"/>
        <v>old</v>
      </c>
      <c r="R853" s="2">
        <f t="shared" si="95"/>
        <v>2.2916838450229602E-2</v>
      </c>
      <c r="S853">
        <f t="shared" si="96"/>
        <v>0.40180451127819555</v>
      </c>
      <c r="T853" t="str">
        <f t="shared" si="97"/>
        <v>Scenario 2: Weak Commitment/Convenience</v>
      </c>
    </row>
    <row r="854" spans="1:20" x14ac:dyDescent="0.35">
      <c r="A854" t="s">
        <v>1087</v>
      </c>
      <c r="B854" s="1">
        <v>43853</v>
      </c>
      <c r="C854">
        <v>2020</v>
      </c>
      <c r="D854">
        <v>1</v>
      </c>
      <c r="E854" t="s">
        <v>14</v>
      </c>
      <c r="F854">
        <v>94</v>
      </c>
      <c r="G854" t="s">
        <v>1088</v>
      </c>
      <c r="H854" t="s">
        <v>27</v>
      </c>
      <c r="I854">
        <v>0</v>
      </c>
      <c r="J854">
        <v>0</v>
      </c>
      <c r="K854">
        <v>3.9</v>
      </c>
      <c r="L854">
        <v>17451</v>
      </c>
      <c r="M854" t="s">
        <v>983</v>
      </c>
      <c r="N854" t="str">
        <f t="shared" si="91"/>
        <v>cinema</v>
      </c>
      <c r="O854" t="str">
        <f t="shared" si="92"/>
        <v>non-original</v>
      </c>
      <c r="P854" t="str">
        <f t="shared" si="93"/>
        <v>non-franchise</v>
      </c>
      <c r="Q854" t="str">
        <f t="shared" si="94"/>
        <v>new</v>
      </c>
      <c r="R854" s="2">
        <f t="shared" si="95"/>
        <v>6.1298154829855251E-3</v>
      </c>
      <c r="S854">
        <f t="shared" si="96"/>
        <v>0.37827067669172937</v>
      </c>
      <c r="T854" t="str">
        <f t="shared" si="97"/>
        <v>Scenario 2: Weak Commitment/Convenience</v>
      </c>
    </row>
    <row r="855" spans="1:20" x14ac:dyDescent="0.35">
      <c r="A855" t="s">
        <v>1089</v>
      </c>
      <c r="B855" s="1">
        <v>43860</v>
      </c>
      <c r="C855">
        <v>2020</v>
      </c>
      <c r="D855">
        <v>1</v>
      </c>
      <c r="E855" t="s">
        <v>14</v>
      </c>
      <c r="F855">
        <v>87</v>
      </c>
      <c r="G855" t="s">
        <v>1090</v>
      </c>
      <c r="H855" t="s">
        <v>27</v>
      </c>
      <c r="I855">
        <v>0</v>
      </c>
      <c r="J855">
        <v>0</v>
      </c>
      <c r="K855">
        <v>5.5</v>
      </c>
      <c r="L855">
        <v>38858</v>
      </c>
      <c r="M855" t="s">
        <v>989</v>
      </c>
      <c r="N855" t="str">
        <f t="shared" si="91"/>
        <v>cinema</v>
      </c>
      <c r="O855" t="str">
        <f t="shared" si="92"/>
        <v>non-original</v>
      </c>
      <c r="P855" t="str">
        <f t="shared" si="93"/>
        <v>non-franchise</v>
      </c>
      <c r="Q855" t="str">
        <f t="shared" si="94"/>
        <v>new</v>
      </c>
      <c r="R855" s="2">
        <f t="shared" si="95"/>
        <v>1.2632779803689287E-2</v>
      </c>
      <c r="S855">
        <f t="shared" si="96"/>
        <v>0.55516917293233081</v>
      </c>
      <c r="T855" t="str">
        <f t="shared" si="97"/>
        <v>Scenario 3: Strong Convenience</v>
      </c>
    </row>
    <row r="856" spans="1:20" x14ac:dyDescent="0.35">
      <c r="A856" t="s">
        <v>1091</v>
      </c>
      <c r="B856" s="1">
        <v>43873</v>
      </c>
      <c r="C856">
        <v>2020</v>
      </c>
      <c r="D856">
        <v>2</v>
      </c>
      <c r="E856" t="s">
        <v>14</v>
      </c>
      <c r="F856">
        <v>109</v>
      </c>
      <c r="G856" t="s">
        <v>1090</v>
      </c>
      <c r="H856" t="s">
        <v>27</v>
      </c>
      <c r="I856">
        <v>0</v>
      </c>
      <c r="J856">
        <v>0</v>
      </c>
      <c r="K856">
        <v>4.9000000000000004</v>
      </c>
      <c r="L856">
        <v>63497</v>
      </c>
      <c r="M856" t="s">
        <v>989</v>
      </c>
      <c r="N856" t="str">
        <f t="shared" si="91"/>
        <v>cinema</v>
      </c>
      <c r="O856" t="str">
        <f t="shared" si="92"/>
        <v>non-original</v>
      </c>
      <c r="P856" t="str">
        <f t="shared" si="93"/>
        <v>non-franchise</v>
      </c>
      <c r="Q856" t="str">
        <f t="shared" si="94"/>
        <v>new</v>
      </c>
      <c r="R856" s="2">
        <f t="shared" si="95"/>
        <v>2.5863002068906238E-2</v>
      </c>
      <c r="S856">
        <f t="shared" si="96"/>
        <v>0.43381578947368427</v>
      </c>
      <c r="T856" t="str">
        <f t="shared" si="97"/>
        <v>Scenario 2: Weak Commitment/Convenience</v>
      </c>
    </row>
    <row r="857" spans="1:20" x14ac:dyDescent="0.35">
      <c r="A857" t="s">
        <v>1092</v>
      </c>
      <c r="B857" s="1">
        <v>43875</v>
      </c>
      <c r="C857">
        <v>2020</v>
      </c>
      <c r="D857">
        <v>2</v>
      </c>
      <c r="E857" t="s">
        <v>14</v>
      </c>
      <c r="F857">
        <v>106</v>
      </c>
      <c r="G857" t="s">
        <v>1024</v>
      </c>
      <c r="H857" t="s">
        <v>27</v>
      </c>
      <c r="I857">
        <v>1</v>
      </c>
      <c r="J857">
        <v>0</v>
      </c>
      <c r="K857">
        <v>6.1</v>
      </c>
      <c r="L857">
        <v>6629</v>
      </c>
      <c r="M857" t="s">
        <v>983</v>
      </c>
      <c r="N857" t="str">
        <f t="shared" si="91"/>
        <v>cinema</v>
      </c>
      <c r="O857" t="str">
        <f t="shared" si="92"/>
        <v>original</v>
      </c>
      <c r="P857" t="str">
        <f t="shared" si="93"/>
        <v>non-franchise</v>
      </c>
      <c r="Q857" t="str">
        <f t="shared" si="94"/>
        <v>old</v>
      </c>
      <c r="R857" s="2">
        <f t="shared" si="95"/>
        <v>3.9386226400712617E-3</v>
      </c>
      <c r="S857">
        <f t="shared" si="96"/>
        <v>0.3669172932330827</v>
      </c>
      <c r="T857" t="str">
        <f t="shared" si="97"/>
        <v>Scenario 2: Weak Commitment/Convenience</v>
      </c>
    </row>
    <row r="858" spans="1:20" x14ac:dyDescent="0.35">
      <c r="A858" t="s">
        <v>1093</v>
      </c>
      <c r="B858" s="1">
        <v>43879</v>
      </c>
      <c r="C858">
        <v>2020</v>
      </c>
      <c r="D858">
        <v>2</v>
      </c>
      <c r="E858" t="s">
        <v>14</v>
      </c>
      <c r="F858">
        <v>103</v>
      </c>
      <c r="G858" t="s">
        <v>1004</v>
      </c>
      <c r="H858" t="s">
        <v>27</v>
      </c>
      <c r="I858">
        <v>0</v>
      </c>
      <c r="J858">
        <v>0</v>
      </c>
      <c r="K858">
        <v>5.2</v>
      </c>
      <c r="L858">
        <v>74527</v>
      </c>
      <c r="M858" t="s">
        <v>983</v>
      </c>
      <c r="N858" t="str">
        <f t="shared" si="91"/>
        <v>cinema</v>
      </c>
      <c r="O858" t="str">
        <f t="shared" si="92"/>
        <v>non-original</v>
      </c>
      <c r="P858" t="str">
        <f t="shared" si="93"/>
        <v>non-franchise</v>
      </c>
      <c r="Q858" t="str">
        <f t="shared" si="94"/>
        <v>new</v>
      </c>
      <c r="R858" s="2">
        <f t="shared" si="95"/>
        <v>2.8684685585016537E-2</v>
      </c>
      <c r="S858">
        <f t="shared" si="96"/>
        <v>0.47796992481203004</v>
      </c>
      <c r="T858" t="str">
        <f t="shared" si="97"/>
        <v>Scenario 2: Weak Commitment/Convenience</v>
      </c>
    </row>
    <row r="859" spans="1:20" x14ac:dyDescent="0.35">
      <c r="A859" t="s">
        <v>1094</v>
      </c>
      <c r="B859" s="1">
        <v>43881</v>
      </c>
      <c r="C859">
        <v>2020</v>
      </c>
      <c r="D859">
        <v>2</v>
      </c>
      <c r="E859" t="s">
        <v>14</v>
      </c>
      <c r="F859">
        <v>86</v>
      </c>
      <c r="G859" t="s">
        <v>1088</v>
      </c>
      <c r="H859" t="s">
        <v>27</v>
      </c>
      <c r="I859">
        <v>1</v>
      </c>
      <c r="J859">
        <v>1</v>
      </c>
      <c r="K859">
        <v>4.7</v>
      </c>
      <c r="L859">
        <v>22407</v>
      </c>
      <c r="M859" t="s">
        <v>983</v>
      </c>
      <c r="N859" t="str">
        <f t="shared" si="91"/>
        <v>cinema</v>
      </c>
      <c r="O859" t="str">
        <f t="shared" si="92"/>
        <v>original</v>
      </c>
      <c r="P859" t="str">
        <f t="shared" si="93"/>
        <v>franchise</v>
      </c>
      <c r="Q859" t="str">
        <f t="shared" si="94"/>
        <v>old</v>
      </c>
      <c r="R859" s="2">
        <f t="shared" si="95"/>
        <v>1.0801216075538017E-2</v>
      </c>
      <c r="S859">
        <f t="shared" si="96"/>
        <v>0.31804511278195496</v>
      </c>
      <c r="T859" t="str">
        <f t="shared" si="97"/>
        <v>Scenario 2: Weak Commitment/Convenience</v>
      </c>
    </row>
    <row r="860" spans="1:20" x14ac:dyDescent="0.35">
      <c r="A860" t="s">
        <v>1095</v>
      </c>
      <c r="B860" s="1">
        <v>43882</v>
      </c>
      <c r="C860">
        <v>2020</v>
      </c>
      <c r="D860">
        <v>2</v>
      </c>
      <c r="E860" t="s">
        <v>14</v>
      </c>
      <c r="F860">
        <v>92</v>
      </c>
      <c r="G860" t="s">
        <v>21</v>
      </c>
      <c r="H860" t="s">
        <v>27</v>
      </c>
      <c r="I860">
        <v>0</v>
      </c>
      <c r="J860">
        <v>0</v>
      </c>
      <c r="K860">
        <v>5.7</v>
      </c>
      <c r="L860">
        <v>7717</v>
      </c>
      <c r="M860" t="s">
        <v>989</v>
      </c>
      <c r="N860" t="str">
        <f t="shared" si="91"/>
        <v>cinema</v>
      </c>
      <c r="O860" t="str">
        <f t="shared" si="92"/>
        <v>non-original</v>
      </c>
      <c r="P860" t="str">
        <f t="shared" si="93"/>
        <v>non-franchise</v>
      </c>
      <c r="Q860" t="str">
        <f t="shared" si="94"/>
        <v>new</v>
      </c>
      <c r="R860" s="2">
        <f t="shared" si="95"/>
        <v>2.6529896595344385E-3</v>
      </c>
      <c r="S860">
        <f t="shared" si="96"/>
        <v>0.55928571428571439</v>
      </c>
      <c r="T860" t="str">
        <f t="shared" si="97"/>
        <v>Scenario 3: Strong Convenience</v>
      </c>
    </row>
    <row r="861" spans="1:20" x14ac:dyDescent="0.35">
      <c r="A861" t="s">
        <v>1096</v>
      </c>
      <c r="B861" s="1">
        <v>43896</v>
      </c>
      <c r="C861">
        <v>2020</v>
      </c>
      <c r="D861">
        <v>3</v>
      </c>
      <c r="E861" t="s">
        <v>38</v>
      </c>
      <c r="F861">
        <v>120</v>
      </c>
      <c r="G861" t="s">
        <v>1097</v>
      </c>
      <c r="H861" t="s">
        <v>27</v>
      </c>
      <c r="I861">
        <v>0</v>
      </c>
      <c r="J861">
        <v>0</v>
      </c>
      <c r="K861">
        <v>7.3</v>
      </c>
      <c r="L861">
        <v>42364</v>
      </c>
      <c r="M861" t="s">
        <v>983</v>
      </c>
      <c r="N861" t="str">
        <f t="shared" si="91"/>
        <v>cinema</v>
      </c>
      <c r="O861" t="str">
        <f t="shared" si="92"/>
        <v>non-original</v>
      </c>
      <c r="P861" t="str">
        <f t="shared" si="93"/>
        <v>non-franchise</v>
      </c>
      <c r="Q861" t="str">
        <f t="shared" si="94"/>
        <v>new</v>
      </c>
      <c r="R861" s="2">
        <f t="shared" si="95"/>
        <v>1.8996668102019304E-2</v>
      </c>
      <c r="S861">
        <f t="shared" si="96"/>
        <v>0.601015037593985</v>
      </c>
      <c r="T861" t="str">
        <f t="shared" si="97"/>
        <v>Scenario 3: Strong Convenience</v>
      </c>
    </row>
    <row r="862" spans="1:20" x14ac:dyDescent="0.35">
      <c r="A862" t="s">
        <v>1098</v>
      </c>
      <c r="B862" s="1">
        <v>44043</v>
      </c>
      <c r="C862">
        <v>2020</v>
      </c>
      <c r="D862">
        <v>7</v>
      </c>
      <c r="E862" t="s">
        <v>78</v>
      </c>
      <c r="F862">
        <v>119</v>
      </c>
      <c r="G862" t="s">
        <v>1099</v>
      </c>
      <c r="H862" t="s">
        <v>27</v>
      </c>
      <c r="I862">
        <v>1</v>
      </c>
      <c r="J862">
        <v>0</v>
      </c>
      <c r="K862">
        <v>6.4</v>
      </c>
      <c r="L862">
        <v>164892</v>
      </c>
      <c r="M862" t="s">
        <v>983</v>
      </c>
      <c r="N862" t="str">
        <f t="shared" si="91"/>
        <v>cinema</v>
      </c>
      <c r="O862" t="str">
        <f t="shared" si="92"/>
        <v>original</v>
      </c>
      <c r="P862" t="str">
        <f t="shared" si="93"/>
        <v>non-franchise</v>
      </c>
      <c r="Q862" t="str">
        <f t="shared" si="94"/>
        <v>old</v>
      </c>
      <c r="R862" s="2">
        <f t="shared" si="95"/>
        <v>0.10998590578223902</v>
      </c>
      <c r="S862">
        <f t="shared" si="96"/>
        <v>0.35368421052631577</v>
      </c>
      <c r="T862" t="str">
        <f t="shared" si="97"/>
        <v>Scenario 1: Strong Commitment</v>
      </c>
    </row>
    <row r="863" spans="1:20" x14ac:dyDescent="0.35">
      <c r="A863" t="s">
        <v>1100</v>
      </c>
      <c r="B863" s="1">
        <v>44064</v>
      </c>
      <c r="C863">
        <v>2020</v>
      </c>
      <c r="D863">
        <v>8</v>
      </c>
      <c r="E863" t="s">
        <v>78</v>
      </c>
      <c r="F863">
        <v>110</v>
      </c>
      <c r="G863" t="s">
        <v>1024</v>
      </c>
      <c r="H863" t="s">
        <v>27</v>
      </c>
      <c r="I863">
        <v>0</v>
      </c>
      <c r="J863">
        <v>0</v>
      </c>
      <c r="K863">
        <v>7.2</v>
      </c>
      <c r="L863">
        <v>15530</v>
      </c>
      <c r="M863" t="s">
        <v>983</v>
      </c>
      <c r="N863" t="str">
        <f t="shared" si="91"/>
        <v>cinema</v>
      </c>
      <c r="O863" t="str">
        <f t="shared" si="92"/>
        <v>non-original</v>
      </c>
      <c r="P863" t="str">
        <f t="shared" si="93"/>
        <v>non-franchise</v>
      </c>
      <c r="Q863" t="str">
        <f t="shared" si="94"/>
        <v>new</v>
      </c>
      <c r="R863" s="2">
        <f t="shared" si="95"/>
        <v>6.3835662588281675E-3</v>
      </c>
      <c r="S863">
        <f t="shared" si="96"/>
        <v>0.63338345864661671</v>
      </c>
      <c r="T863" t="str">
        <f t="shared" si="97"/>
        <v>Scenario 3: Strong Convenience</v>
      </c>
    </row>
    <row r="864" spans="1:20" x14ac:dyDescent="0.35">
      <c r="A864" t="s">
        <v>1101</v>
      </c>
      <c r="B864" s="1">
        <v>44066</v>
      </c>
      <c r="C864">
        <v>2020</v>
      </c>
      <c r="D864">
        <v>8</v>
      </c>
      <c r="E864" t="s">
        <v>78</v>
      </c>
      <c r="F864">
        <v>91</v>
      </c>
      <c r="G864" t="s">
        <v>1102</v>
      </c>
      <c r="H864" t="s">
        <v>27</v>
      </c>
      <c r="I864">
        <v>1</v>
      </c>
      <c r="J864">
        <v>1</v>
      </c>
      <c r="K864">
        <v>5.9</v>
      </c>
      <c r="L864">
        <v>56409</v>
      </c>
      <c r="M864" t="s">
        <v>983</v>
      </c>
      <c r="N864" t="str">
        <f t="shared" si="91"/>
        <v>cinema</v>
      </c>
      <c r="O864" t="str">
        <f t="shared" si="92"/>
        <v>original</v>
      </c>
      <c r="P864" t="str">
        <f t="shared" si="93"/>
        <v>franchise</v>
      </c>
      <c r="Q864" t="str">
        <f t="shared" si="94"/>
        <v>old</v>
      </c>
      <c r="R864" s="2">
        <f t="shared" si="95"/>
        <v>2.8772677756461692E-2</v>
      </c>
      <c r="S864">
        <f t="shared" si="96"/>
        <v>0.3881578947368422</v>
      </c>
      <c r="T864" t="str">
        <f t="shared" si="97"/>
        <v>Scenario 2: Weak Commitment/Convenience</v>
      </c>
    </row>
    <row r="865" spans="1:20" x14ac:dyDescent="0.35">
      <c r="A865" t="s">
        <v>1103</v>
      </c>
      <c r="B865" s="1">
        <v>44069</v>
      </c>
      <c r="C865">
        <v>2020</v>
      </c>
      <c r="D865">
        <v>8</v>
      </c>
      <c r="E865" t="s">
        <v>78</v>
      </c>
      <c r="F865">
        <v>94</v>
      </c>
      <c r="G865" t="s">
        <v>1104</v>
      </c>
      <c r="H865" t="s">
        <v>27</v>
      </c>
      <c r="I865">
        <v>0</v>
      </c>
      <c r="J865">
        <v>1</v>
      </c>
      <c r="K865">
        <v>5.3</v>
      </c>
      <c r="L865">
        <v>100572</v>
      </c>
      <c r="M865" t="s">
        <v>983</v>
      </c>
      <c r="N865" t="str">
        <f t="shared" si="91"/>
        <v>cinema</v>
      </c>
      <c r="O865" t="str">
        <f t="shared" si="92"/>
        <v>non-original</v>
      </c>
      <c r="P865" t="str">
        <f t="shared" si="93"/>
        <v>franchise</v>
      </c>
      <c r="Q865" t="str">
        <f t="shared" si="94"/>
        <v>old</v>
      </c>
      <c r="R865" s="2">
        <f t="shared" si="95"/>
        <v>5.2990184180404014E-2</v>
      </c>
      <c r="S865">
        <f t="shared" si="96"/>
        <v>0.34270676691729329</v>
      </c>
      <c r="T865" t="str">
        <f t="shared" si="97"/>
        <v>Scenario 1: Strong Commitment</v>
      </c>
    </row>
    <row r="866" spans="1:20" x14ac:dyDescent="0.35">
      <c r="A866" t="s">
        <v>1105</v>
      </c>
      <c r="B866" s="1">
        <v>44069</v>
      </c>
      <c r="C866">
        <v>2020</v>
      </c>
      <c r="D866">
        <v>8</v>
      </c>
      <c r="E866" t="s">
        <v>78</v>
      </c>
      <c r="F866">
        <v>150</v>
      </c>
      <c r="G866" t="s">
        <v>1106</v>
      </c>
      <c r="H866" t="s">
        <v>27</v>
      </c>
      <c r="I866">
        <v>1</v>
      </c>
      <c r="J866">
        <v>0</v>
      </c>
      <c r="K866">
        <v>7.3</v>
      </c>
      <c r="L866">
        <v>678934</v>
      </c>
      <c r="M866" t="s">
        <v>983</v>
      </c>
      <c r="N866" t="str">
        <f t="shared" si="91"/>
        <v>cinema</v>
      </c>
      <c r="O866" t="str">
        <f t="shared" si="92"/>
        <v>original</v>
      </c>
      <c r="P866" t="str">
        <f t="shared" si="93"/>
        <v>non-franchise</v>
      </c>
      <c r="Q866" t="str">
        <f t="shared" si="94"/>
        <v>old</v>
      </c>
      <c r="R866" s="2">
        <f t="shared" si="95"/>
        <v>0.57083330751831041</v>
      </c>
      <c r="S866">
        <f t="shared" si="96"/>
        <v>0.3183458646616541</v>
      </c>
      <c r="T866" t="str">
        <f t="shared" si="97"/>
        <v>Scenario 1: Strong Commitment</v>
      </c>
    </row>
    <row r="867" spans="1:20" x14ac:dyDescent="0.35">
      <c r="A867" t="s">
        <v>1107</v>
      </c>
      <c r="B867" s="1">
        <v>44078</v>
      </c>
      <c r="C867">
        <v>2020</v>
      </c>
      <c r="D867">
        <v>9</v>
      </c>
      <c r="E867" t="s">
        <v>125</v>
      </c>
      <c r="F867">
        <v>115</v>
      </c>
      <c r="G867" t="s">
        <v>1006</v>
      </c>
      <c r="H867" t="s">
        <v>27</v>
      </c>
      <c r="I867">
        <v>0</v>
      </c>
      <c r="J867">
        <v>0</v>
      </c>
      <c r="K867">
        <v>5.8</v>
      </c>
      <c r="L867">
        <v>167359</v>
      </c>
      <c r="M867" t="s">
        <v>983</v>
      </c>
      <c r="N867" t="str">
        <f t="shared" si="91"/>
        <v>cinema</v>
      </c>
      <c r="O867" t="str">
        <f t="shared" si="92"/>
        <v>non-original</v>
      </c>
      <c r="P867" t="str">
        <f t="shared" si="93"/>
        <v>non-franchise</v>
      </c>
      <c r="Q867" t="str">
        <f t="shared" si="94"/>
        <v>new</v>
      </c>
      <c r="R867" s="2">
        <f t="shared" si="95"/>
        <v>7.191941434981601E-2</v>
      </c>
      <c r="S867">
        <f t="shared" si="96"/>
        <v>0.4938721804511278</v>
      </c>
      <c r="T867" t="str">
        <f t="shared" si="97"/>
        <v>Scenario 1: Strong Commitment</v>
      </c>
    </row>
    <row r="868" spans="1:20" x14ac:dyDescent="0.35">
      <c r="A868" t="s">
        <v>1108</v>
      </c>
      <c r="B868" s="1">
        <v>44112</v>
      </c>
      <c r="C868">
        <v>2020</v>
      </c>
      <c r="D868">
        <v>10</v>
      </c>
      <c r="E868" t="s">
        <v>125</v>
      </c>
      <c r="F868">
        <v>99</v>
      </c>
      <c r="G868" t="s">
        <v>982</v>
      </c>
      <c r="H868" t="s">
        <v>27</v>
      </c>
      <c r="I868">
        <v>1</v>
      </c>
      <c r="J868">
        <v>0</v>
      </c>
      <c r="K868">
        <v>6</v>
      </c>
      <c r="L868">
        <v>63174</v>
      </c>
      <c r="M868" t="s">
        <v>983</v>
      </c>
      <c r="N868" t="str">
        <f t="shared" si="91"/>
        <v>cinema</v>
      </c>
      <c r="O868" t="str">
        <f t="shared" si="92"/>
        <v>original</v>
      </c>
      <c r="P868" t="str">
        <f t="shared" si="93"/>
        <v>non-franchise</v>
      </c>
      <c r="Q868" t="str">
        <f t="shared" si="94"/>
        <v>old</v>
      </c>
      <c r="R868" s="2">
        <f t="shared" si="95"/>
        <v>3.5056137155668667E-2</v>
      </c>
      <c r="S868">
        <f t="shared" si="96"/>
        <v>0.3766917293233083</v>
      </c>
      <c r="T868" t="str">
        <f t="shared" si="97"/>
        <v>Scenario 1: Strong Commitment</v>
      </c>
    </row>
    <row r="869" spans="1:20" x14ac:dyDescent="0.35">
      <c r="A869" t="s">
        <v>1109</v>
      </c>
      <c r="B869" s="1">
        <v>44120</v>
      </c>
      <c r="C869">
        <v>2020</v>
      </c>
      <c r="D869">
        <v>10</v>
      </c>
      <c r="E869" t="s">
        <v>125</v>
      </c>
      <c r="F869">
        <v>109</v>
      </c>
      <c r="G869" t="s">
        <v>1043</v>
      </c>
      <c r="H869" t="s">
        <v>27</v>
      </c>
      <c r="I869">
        <v>1</v>
      </c>
      <c r="J869">
        <v>0</v>
      </c>
      <c r="K869">
        <v>6.9</v>
      </c>
      <c r="L869">
        <v>158382</v>
      </c>
      <c r="M869" t="s">
        <v>983</v>
      </c>
      <c r="N869" t="str">
        <f t="shared" si="91"/>
        <v>cinema</v>
      </c>
      <c r="O869" t="str">
        <f t="shared" si="92"/>
        <v>original</v>
      </c>
      <c r="P869" t="str">
        <f t="shared" si="93"/>
        <v>non-franchise</v>
      </c>
      <c r="Q869" t="str">
        <f t="shared" si="94"/>
        <v>old</v>
      </c>
      <c r="R869" s="2">
        <f t="shared" si="95"/>
        <v>9.6766004543777845E-2</v>
      </c>
      <c r="S869">
        <f t="shared" si="96"/>
        <v>0.40725563909774437</v>
      </c>
      <c r="T869" t="str">
        <f t="shared" si="97"/>
        <v>Scenario 1: Strong Commitment</v>
      </c>
    </row>
    <row r="870" spans="1:20" x14ac:dyDescent="0.35">
      <c r="A870" t="s">
        <v>1109</v>
      </c>
      <c r="B870" s="1">
        <v>44120</v>
      </c>
      <c r="C870">
        <v>2020</v>
      </c>
      <c r="D870">
        <v>10</v>
      </c>
      <c r="E870" t="s">
        <v>125</v>
      </c>
      <c r="F870">
        <v>86</v>
      </c>
      <c r="G870" t="s">
        <v>21</v>
      </c>
      <c r="H870" t="s">
        <v>27</v>
      </c>
      <c r="I870">
        <v>1</v>
      </c>
      <c r="J870">
        <v>0</v>
      </c>
      <c r="K870">
        <v>4</v>
      </c>
      <c r="L870">
        <v>138</v>
      </c>
      <c r="M870" t="s">
        <v>983</v>
      </c>
      <c r="N870" t="str">
        <f t="shared" si="91"/>
        <v>cinema</v>
      </c>
      <c r="O870" t="str">
        <f t="shared" si="92"/>
        <v>original</v>
      </c>
      <c r="P870" t="str">
        <f t="shared" si="93"/>
        <v>non-franchise</v>
      </c>
      <c r="Q870" t="str">
        <f t="shared" si="94"/>
        <v>old</v>
      </c>
      <c r="R870" s="2">
        <f t="shared" si="95"/>
        <v>6.6522417924052594E-5</v>
      </c>
      <c r="S870">
        <f t="shared" si="96"/>
        <v>0.27067669172932335</v>
      </c>
      <c r="T870" t="str">
        <f t="shared" si="97"/>
        <v>Scenario 2: Weak Commitment/Convenience</v>
      </c>
    </row>
    <row r="871" spans="1:20" x14ac:dyDescent="0.35">
      <c r="A871" t="s">
        <v>1110</v>
      </c>
      <c r="B871" s="1">
        <v>44127</v>
      </c>
      <c r="C871">
        <v>2020</v>
      </c>
      <c r="D871">
        <v>10</v>
      </c>
      <c r="E871" t="s">
        <v>125</v>
      </c>
      <c r="F871">
        <v>91</v>
      </c>
      <c r="G871" t="s">
        <v>1024</v>
      </c>
      <c r="H871" t="s">
        <v>27</v>
      </c>
      <c r="I871">
        <v>0</v>
      </c>
      <c r="J871">
        <v>0</v>
      </c>
      <c r="K871">
        <v>6.3</v>
      </c>
      <c r="L871">
        <v>6976</v>
      </c>
      <c r="M871" t="s">
        <v>983</v>
      </c>
      <c r="N871" t="str">
        <f t="shared" si="91"/>
        <v>cinema</v>
      </c>
      <c r="O871" t="str">
        <f t="shared" si="92"/>
        <v>non-original</v>
      </c>
      <c r="P871" t="str">
        <f t="shared" si="93"/>
        <v>non-franchise</v>
      </c>
      <c r="Q871" t="str">
        <f t="shared" si="94"/>
        <v>new</v>
      </c>
      <c r="R871" s="2">
        <f t="shared" si="95"/>
        <v>2.372177017013559E-3</v>
      </c>
      <c r="S871">
        <f t="shared" si="96"/>
        <v>0.6217105263157896</v>
      </c>
      <c r="T871" t="str">
        <f t="shared" si="97"/>
        <v>Scenario 3: Strong Convenience</v>
      </c>
    </row>
    <row r="872" spans="1:20" x14ac:dyDescent="0.35">
      <c r="A872" t="s">
        <v>1111</v>
      </c>
      <c r="B872" s="1">
        <v>44133</v>
      </c>
      <c r="C872">
        <v>2020</v>
      </c>
      <c r="D872">
        <v>10</v>
      </c>
      <c r="E872" t="s">
        <v>125</v>
      </c>
      <c r="F872">
        <v>96</v>
      </c>
      <c r="G872" t="s">
        <v>1088</v>
      </c>
      <c r="H872" t="s">
        <v>27</v>
      </c>
      <c r="I872">
        <v>0</v>
      </c>
      <c r="J872">
        <v>0</v>
      </c>
      <c r="K872">
        <v>5.8</v>
      </c>
      <c r="L872">
        <v>20022</v>
      </c>
      <c r="M872" t="s">
        <v>983</v>
      </c>
      <c r="N872" t="str">
        <f t="shared" si="91"/>
        <v>cinema</v>
      </c>
      <c r="O872" t="str">
        <f t="shared" si="92"/>
        <v>non-original</v>
      </c>
      <c r="P872" t="str">
        <f t="shared" si="93"/>
        <v>non-franchise</v>
      </c>
      <c r="Q872" t="str">
        <f t="shared" si="94"/>
        <v>new</v>
      </c>
      <c r="R872" s="2">
        <f t="shared" si="95"/>
        <v>7.1825377913064025E-3</v>
      </c>
      <c r="S872">
        <f t="shared" si="96"/>
        <v>0.55601503759398485</v>
      </c>
      <c r="T872" t="str">
        <f t="shared" si="97"/>
        <v>Scenario 3: Strong Convenience</v>
      </c>
    </row>
    <row r="873" spans="1:20" x14ac:dyDescent="0.35">
      <c r="A873" t="s">
        <v>191</v>
      </c>
      <c r="B873" s="1">
        <v>44174</v>
      </c>
      <c r="C873">
        <v>2020</v>
      </c>
      <c r="D873">
        <v>12</v>
      </c>
      <c r="E873" t="s">
        <v>14</v>
      </c>
      <c r="F873">
        <v>118</v>
      </c>
      <c r="G873" t="s">
        <v>1112</v>
      </c>
      <c r="H873" t="s">
        <v>27</v>
      </c>
      <c r="I873">
        <v>0</v>
      </c>
      <c r="J873">
        <v>0</v>
      </c>
      <c r="K873">
        <v>5.7</v>
      </c>
      <c r="L873">
        <v>93957</v>
      </c>
      <c r="M873" t="s">
        <v>983</v>
      </c>
      <c r="N873" t="str">
        <f t="shared" si="91"/>
        <v>cinema</v>
      </c>
      <c r="O873" t="str">
        <f t="shared" si="92"/>
        <v>non-original</v>
      </c>
      <c r="P873" t="str">
        <f t="shared" si="93"/>
        <v>non-franchise</v>
      </c>
      <c r="Q873" t="str">
        <f t="shared" si="94"/>
        <v>new</v>
      </c>
      <c r="R873" s="2">
        <f t="shared" si="95"/>
        <v>4.1429565490677715E-2</v>
      </c>
      <c r="S873">
        <f t="shared" si="96"/>
        <v>0.47571428571428581</v>
      </c>
      <c r="T873" t="str">
        <f t="shared" si="97"/>
        <v>Scenario 1: Strong Commitment</v>
      </c>
    </row>
    <row r="874" spans="1:20" x14ac:dyDescent="0.35">
      <c r="A874" t="s">
        <v>1113</v>
      </c>
      <c r="B874" s="1">
        <v>44176</v>
      </c>
      <c r="C874">
        <v>2020</v>
      </c>
      <c r="D874">
        <v>12</v>
      </c>
      <c r="E874" t="s">
        <v>14</v>
      </c>
      <c r="F874">
        <v>115</v>
      </c>
      <c r="G874" t="s">
        <v>34</v>
      </c>
      <c r="H874" t="s">
        <v>27</v>
      </c>
      <c r="I874">
        <v>1</v>
      </c>
      <c r="J874">
        <v>0</v>
      </c>
      <c r="K874">
        <v>7.4</v>
      </c>
      <c r="L874">
        <v>124316</v>
      </c>
      <c r="M874" t="s">
        <v>989</v>
      </c>
      <c r="N874" t="str">
        <f t="shared" si="91"/>
        <v>cinema</v>
      </c>
      <c r="O874" t="str">
        <f t="shared" si="92"/>
        <v>original</v>
      </c>
      <c r="P874" t="str">
        <f t="shared" si="93"/>
        <v>non-franchise</v>
      </c>
      <c r="Q874" t="str">
        <f t="shared" si="94"/>
        <v>old</v>
      </c>
      <c r="R874" s="2">
        <f t="shared" si="95"/>
        <v>8.0133729715567079E-2</v>
      </c>
      <c r="S874">
        <f t="shared" si="96"/>
        <v>0.42007518796992482</v>
      </c>
      <c r="T874" t="str">
        <f t="shared" si="97"/>
        <v>Scenario 1: Strong Commitment</v>
      </c>
    </row>
    <row r="875" spans="1:20" x14ac:dyDescent="0.35">
      <c r="A875" t="s">
        <v>1114</v>
      </c>
      <c r="B875" s="1">
        <v>44181</v>
      </c>
      <c r="C875">
        <v>2020</v>
      </c>
      <c r="D875">
        <v>12</v>
      </c>
      <c r="E875" t="s">
        <v>14</v>
      </c>
      <c r="F875">
        <v>151</v>
      </c>
      <c r="G875" t="s">
        <v>1004</v>
      </c>
      <c r="H875" t="s">
        <v>27</v>
      </c>
      <c r="I875">
        <v>0</v>
      </c>
      <c r="J875">
        <v>1</v>
      </c>
      <c r="K875">
        <v>5.3</v>
      </c>
      <c r="L875">
        <v>309585</v>
      </c>
      <c r="M875" t="s">
        <v>983</v>
      </c>
      <c r="N875" t="str">
        <f t="shared" si="91"/>
        <v>cinema</v>
      </c>
      <c r="O875" t="str">
        <f t="shared" si="92"/>
        <v>non-original</v>
      </c>
      <c r="P875" t="str">
        <f t="shared" si="93"/>
        <v>franchise</v>
      </c>
      <c r="Q875" t="str">
        <f t="shared" si="94"/>
        <v>old</v>
      </c>
      <c r="R875" s="2">
        <f t="shared" si="95"/>
        <v>0.26202778528022341</v>
      </c>
      <c r="S875">
        <f t="shared" si="96"/>
        <v>0.22913533834586464</v>
      </c>
      <c r="T875" t="str">
        <f t="shared" si="97"/>
        <v>Scenario 1: Strong Commitment</v>
      </c>
    </row>
    <row r="876" spans="1:20" x14ac:dyDescent="0.35">
      <c r="A876" t="s">
        <v>1115</v>
      </c>
      <c r="B876" s="1">
        <v>44190</v>
      </c>
      <c r="C876">
        <v>2020</v>
      </c>
      <c r="D876">
        <v>12</v>
      </c>
      <c r="E876" t="s">
        <v>14</v>
      </c>
      <c r="F876">
        <v>97</v>
      </c>
      <c r="G876" t="s">
        <v>1116</v>
      </c>
      <c r="H876" t="s">
        <v>27</v>
      </c>
      <c r="I876">
        <v>0</v>
      </c>
      <c r="J876">
        <v>0</v>
      </c>
      <c r="K876">
        <v>8.1999999999999993</v>
      </c>
      <c r="L876">
        <v>241840</v>
      </c>
      <c r="M876" t="s">
        <v>989</v>
      </c>
      <c r="N876" t="str">
        <f t="shared" si="91"/>
        <v>cinema</v>
      </c>
      <c r="O876" t="str">
        <f t="shared" si="92"/>
        <v>non-original</v>
      </c>
      <c r="P876" t="str">
        <f t="shared" si="93"/>
        <v>non-franchise</v>
      </c>
      <c r="Q876" t="str">
        <f t="shared" si="94"/>
        <v>new</v>
      </c>
      <c r="R876" s="2">
        <f t="shared" si="95"/>
        <v>8.7659521987587308E-2</v>
      </c>
      <c r="S876">
        <f t="shared" si="96"/>
        <v>0.78146616541353386</v>
      </c>
      <c r="T876" t="str">
        <f t="shared" si="97"/>
        <v>Scenario 4: Hybrid Logic</v>
      </c>
    </row>
    <row r="877" spans="1:20" x14ac:dyDescent="0.35">
      <c r="A877" t="s">
        <v>1117</v>
      </c>
      <c r="B877" s="1">
        <v>44190</v>
      </c>
      <c r="C877">
        <v>2020</v>
      </c>
      <c r="D877">
        <v>12</v>
      </c>
      <c r="E877" t="s">
        <v>14</v>
      </c>
      <c r="F877">
        <v>118</v>
      </c>
      <c r="G877" t="s">
        <v>1006</v>
      </c>
      <c r="H877" t="s">
        <v>27</v>
      </c>
      <c r="I877">
        <v>0</v>
      </c>
      <c r="J877">
        <v>0</v>
      </c>
      <c r="K877">
        <v>6.8</v>
      </c>
      <c r="L877">
        <v>100686</v>
      </c>
      <c r="M877" t="s">
        <v>983</v>
      </c>
      <c r="N877" t="str">
        <f t="shared" si="91"/>
        <v>cinema</v>
      </c>
      <c r="O877" t="str">
        <f t="shared" si="92"/>
        <v>non-original</v>
      </c>
      <c r="P877" t="str">
        <f t="shared" si="93"/>
        <v>non-franchise</v>
      </c>
      <c r="Q877" t="str">
        <f t="shared" si="94"/>
        <v>new</v>
      </c>
      <c r="R877" s="2">
        <f t="shared" si="95"/>
        <v>4.4396662632846688E-2</v>
      </c>
      <c r="S877">
        <f t="shared" si="96"/>
        <v>0.56751879699248131</v>
      </c>
      <c r="T877" t="str">
        <f t="shared" si="97"/>
        <v>Scenario 4: Hybrid Logic</v>
      </c>
    </row>
    <row r="878" spans="1:20" x14ac:dyDescent="0.35">
      <c r="A878" t="s">
        <v>1118</v>
      </c>
      <c r="B878" s="1">
        <v>44211</v>
      </c>
      <c r="C878">
        <v>2021</v>
      </c>
      <c r="D878">
        <v>1</v>
      </c>
      <c r="E878" t="s">
        <v>14</v>
      </c>
      <c r="F878">
        <v>108</v>
      </c>
      <c r="G878" t="s">
        <v>1119</v>
      </c>
      <c r="H878" t="s">
        <v>27</v>
      </c>
      <c r="I878">
        <v>1</v>
      </c>
      <c r="J878">
        <v>0</v>
      </c>
      <c r="K878">
        <v>5.7</v>
      </c>
      <c r="L878">
        <v>48716</v>
      </c>
      <c r="M878" t="s">
        <v>983</v>
      </c>
      <c r="N878" t="str">
        <f t="shared" si="91"/>
        <v>cinema</v>
      </c>
      <c r="O878" t="str">
        <f t="shared" si="92"/>
        <v>original</v>
      </c>
      <c r="P878" t="str">
        <f t="shared" si="93"/>
        <v>non-franchise</v>
      </c>
      <c r="Q878" t="str">
        <f t="shared" si="94"/>
        <v>old</v>
      </c>
      <c r="R878" s="2">
        <f t="shared" si="95"/>
        <v>2.949075329048869E-2</v>
      </c>
      <c r="S878">
        <f t="shared" si="96"/>
        <v>0.33857142857142863</v>
      </c>
      <c r="T878" t="str">
        <f t="shared" si="97"/>
        <v>Scenario 2: Weak Commitment/Convenience</v>
      </c>
    </row>
    <row r="879" spans="1:20" x14ac:dyDescent="0.35">
      <c r="A879" t="s">
        <v>1120</v>
      </c>
      <c r="B879" s="1">
        <v>44230</v>
      </c>
      <c r="C879">
        <v>2021</v>
      </c>
      <c r="D879">
        <v>2</v>
      </c>
      <c r="E879" t="s">
        <v>14</v>
      </c>
      <c r="F879">
        <v>109</v>
      </c>
      <c r="G879" t="s">
        <v>1006</v>
      </c>
      <c r="H879" t="s">
        <v>27</v>
      </c>
      <c r="I879">
        <v>0</v>
      </c>
      <c r="J879">
        <v>0</v>
      </c>
      <c r="K879">
        <v>5.7</v>
      </c>
      <c r="L879">
        <v>63090</v>
      </c>
      <c r="M879" t="s">
        <v>983</v>
      </c>
      <c r="N879" t="str">
        <f t="shared" si="91"/>
        <v>cinema</v>
      </c>
      <c r="O879" t="str">
        <f t="shared" si="92"/>
        <v>non-original</v>
      </c>
      <c r="P879" t="str">
        <f t="shared" si="93"/>
        <v>non-franchise</v>
      </c>
      <c r="Q879" t="str">
        <f t="shared" si="94"/>
        <v>new</v>
      </c>
      <c r="R879" s="2">
        <f t="shared" si="95"/>
        <v>2.5697226648932939E-2</v>
      </c>
      <c r="S879">
        <f t="shared" si="96"/>
        <v>0.50464285714285717</v>
      </c>
      <c r="T879" t="str">
        <f t="shared" si="97"/>
        <v>Scenario 3: Strong Convenience</v>
      </c>
    </row>
    <row r="880" spans="1:20" x14ac:dyDescent="0.35">
      <c r="A880" t="s">
        <v>1121</v>
      </c>
      <c r="B880" s="1">
        <v>44280</v>
      </c>
      <c r="C880">
        <v>2021</v>
      </c>
      <c r="D880">
        <v>3</v>
      </c>
      <c r="E880" t="s">
        <v>38</v>
      </c>
      <c r="F880">
        <v>113</v>
      </c>
      <c r="G880" t="s">
        <v>1106</v>
      </c>
      <c r="H880" t="s">
        <v>27</v>
      </c>
      <c r="I880">
        <v>1</v>
      </c>
      <c r="J880">
        <v>1</v>
      </c>
      <c r="K880">
        <v>6.3</v>
      </c>
      <c r="L880">
        <v>265242</v>
      </c>
      <c r="M880" t="s">
        <v>989</v>
      </c>
      <c r="N880" t="str">
        <f t="shared" si="91"/>
        <v>cinema</v>
      </c>
      <c r="O880" t="str">
        <f t="shared" si="92"/>
        <v>original</v>
      </c>
      <c r="P880" t="str">
        <f t="shared" si="93"/>
        <v>franchise</v>
      </c>
      <c r="Q880" t="str">
        <f t="shared" si="94"/>
        <v>old</v>
      </c>
      <c r="R880" s="2">
        <f t="shared" si="95"/>
        <v>0.1680007521719166</v>
      </c>
      <c r="S880">
        <f t="shared" si="96"/>
        <v>0.36236842105263156</v>
      </c>
      <c r="T880" t="str">
        <f t="shared" si="97"/>
        <v>Scenario 1: Strong Commitment</v>
      </c>
    </row>
    <row r="881" spans="1:20" x14ac:dyDescent="0.35">
      <c r="A881" t="s">
        <v>1122</v>
      </c>
      <c r="B881" s="1">
        <v>44288</v>
      </c>
      <c r="C881">
        <v>2021</v>
      </c>
      <c r="D881">
        <v>4</v>
      </c>
      <c r="E881" t="s">
        <v>38</v>
      </c>
      <c r="F881">
        <v>99</v>
      </c>
      <c r="G881" t="s">
        <v>1088</v>
      </c>
      <c r="H881" t="s">
        <v>27</v>
      </c>
      <c r="I881">
        <v>0</v>
      </c>
      <c r="J881">
        <v>0</v>
      </c>
      <c r="K881">
        <v>5.0999999999999996</v>
      </c>
      <c r="L881">
        <v>30833</v>
      </c>
      <c r="M881" t="s">
        <v>989</v>
      </c>
      <c r="N881" t="str">
        <f t="shared" si="91"/>
        <v>cinema</v>
      </c>
      <c r="O881" t="str">
        <f t="shared" si="92"/>
        <v>non-original</v>
      </c>
      <c r="P881" t="str">
        <f t="shared" si="93"/>
        <v>non-franchise</v>
      </c>
      <c r="Q881" t="str">
        <f t="shared" si="94"/>
        <v>new</v>
      </c>
      <c r="R881" s="2">
        <f t="shared" si="95"/>
        <v>1.1406442280270703E-2</v>
      </c>
      <c r="S881">
        <f t="shared" si="96"/>
        <v>0.48028195488721809</v>
      </c>
      <c r="T881" t="str">
        <f t="shared" si="97"/>
        <v>Scenario 2: Weak Commitment/Convenience</v>
      </c>
    </row>
    <row r="882" spans="1:20" x14ac:dyDescent="0.35">
      <c r="A882" t="s">
        <v>1123</v>
      </c>
      <c r="B882" s="1">
        <v>44294</v>
      </c>
      <c r="C882">
        <v>2021</v>
      </c>
      <c r="D882">
        <v>4</v>
      </c>
      <c r="E882" t="s">
        <v>38</v>
      </c>
      <c r="F882">
        <v>108</v>
      </c>
      <c r="G882" t="s">
        <v>1124</v>
      </c>
      <c r="H882" t="s">
        <v>27</v>
      </c>
      <c r="I882">
        <v>1</v>
      </c>
      <c r="J882">
        <v>0</v>
      </c>
      <c r="K882">
        <v>5.5</v>
      </c>
      <c r="L882">
        <v>29770</v>
      </c>
      <c r="M882" t="s">
        <v>983</v>
      </c>
      <c r="N882" t="str">
        <f t="shared" si="91"/>
        <v>cinema</v>
      </c>
      <c r="O882" t="str">
        <f t="shared" si="92"/>
        <v>original</v>
      </c>
      <c r="P882" t="str">
        <f t="shared" si="93"/>
        <v>non-franchise</v>
      </c>
      <c r="Q882" t="str">
        <f t="shared" si="94"/>
        <v>old</v>
      </c>
      <c r="R882" s="2">
        <f t="shared" si="95"/>
        <v>1.8021588912428121E-2</v>
      </c>
      <c r="S882">
        <f t="shared" si="96"/>
        <v>0.32669172932330831</v>
      </c>
      <c r="T882" t="str">
        <f t="shared" si="97"/>
        <v>Scenario 2: Weak Commitment/Convenience</v>
      </c>
    </row>
    <row r="883" spans="1:20" x14ac:dyDescent="0.35">
      <c r="A883" t="s">
        <v>1125</v>
      </c>
      <c r="B883" s="1">
        <v>44336</v>
      </c>
      <c r="C883">
        <v>2021</v>
      </c>
      <c r="D883">
        <v>5</v>
      </c>
      <c r="E883" t="s">
        <v>38</v>
      </c>
      <c r="F883">
        <v>143</v>
      </c>
      <c r="G883" t="s">
        <v>1126</v>
      </c>
      <c r="H883" t="s">
        <v>27</v>
      </c>
      <c r="I883">
        <v>1</v>
      </c>
      <c r="J883">
        <v>1</v>
      </c>
      <c r="K883">
        <v>5.2</v>
      </c>
      <c r="L883">
        <v>178590</v>
      </c>
      <c r="M883" t="s">
        <v>989</v>
      </c>
      <c r="N883" t="str">
        <f t="shared" si="91"/>
        <v>cinema</v>
      </c>
      <c r="O883" t="str">
        <f t="shared" si="92"/>
        <v>original</v>
      </c>
      <c r="P883" t="str">
        <f t="shared" si="93"/>
        <v>franchise</v>
      </c>
      <c r="Q883" t="str">
        <f t="shared" si="94"/>
        <v>old</v>
      </c>
      <c r="R883" s="2">
        <f t="shared" si="95"/>
        <v>0.14314746564198577</v>
      </c>
      <c r="S883">
        <f t="shared" si="96"/>
        <v>0.24045112781954886</v>
      </c>
      <c r="T883" t="str">
        <f t="shared" si="97"/>
        <v>Scenario 1: Strong Commitment</v>
      </c>
    </row>
    <row r="884" spans="1:20" x14ac:dyDescent="0.35">
      <c r="A884" t="s">
        <v>1127</v>
      </c>
      <c r="B884" s="1">
        <v>44357</v>
      </c>
      <c r="C884">
        <v>2021</v>
      </c>
      <c r="D884">
        <v>6</v>
      </c>
      <c r="E884" t="s">
        <v>78</v>
      </c>
      <c r="F884">
        <v>143</v>
      </c>
      <c r="G884" t="s">
        <v>1128</v>
      </c>
      <c r="H884" t="s">
        <v>27</v>
      </c>
      <c r="I884">
        <v>0</v>
      </c>
      <c r="J884">
        <v>0</v>
      </c>
      <c r="K884">
        <v>7.2</v>
      </c>
      <c r="L884">
        <v>55581</v>
      </c>
      <c r="M884" t="s">
        <v>983</v>
      </c>
      <c r="N884" t="str">
        <f t="shared" si="91"/>
        <v>cinema</v>
      </c>
      <c r="O884" t="str">
        <f t="shared" si="92"/>
        <v>non-original</v>
      </c>
      <c r="P884" t="str">
        <f t="shared" si="93"/>
        <v>non-franchise</v>
      </c>
      <c r="Q884" t="str">
        <f t="shared" si="94"/>
        <v>new</v>
      </c>
      <c r="R884" s="2">
        <f t="shared" si="95"/>
        <v>2.9700353837830457E-2</v>
      </c>
      <c r="S884">
        <f t="shared" si="96"/>
        <v>0.49939849624060145</v>
      </c>
      <c r="T884" t="str">
        <f t="shared" si="97"/>
        <v>Scenario 2: Weak Commitment/Convenience</v>
      </c>
    </row>
    <row r="885" spans="1:20" x14ac:dyDescent="0.35">
      <c r="A885" t="s">
        <v>1129</v>
      </c>
      <c r="B885" s="1">
        <v>44378</v>
      </c>
      <c r="C885">
        <v>2021</v>
      </c>
      <c r="D885">
        <v>7</v>
      </c>
      <c r="E885" t="s">
        <v>78</v>
      </c>
      <c r="F885">
        <v>88</v>
      </c>
      <c r="G885" t="s">
        <v>1130</v>
      </c>
      <c r="H885" t="s">
        <v>27</v>
      </c>
      <c r="I885">
        <v>1</v>
      </c>
      <c r="J885">
        <v>1</v>
      </c>
      <c r="K885">
        <v>5.8</v>
      </c>
      <c r="L885">
        <v>67879</v>
      </c>
      <c r="M885" t="s">
        <v>989</v>
      </c>
      <c r="N885" t="str">
        <f t="shared" si="91"/>
        <v>cinema</v>
      </c>
      <c r="O885" t="str">
        <f t="shared" si="92"/>
        <v>original</v>
      </c>
      <c r="P885" t="str">
        <f t="shared" si="93"/>
        <v>franchise</v>
      </c>
      <c r="Q885" t="str">
        <f t="shared" si="94"/>
        <v>old</v>
      </c>
      <c r="R885" s="2">
        <f t="shared" si="95"/>
        <v>3.3481784475183296E-2</v>
      </c>
      <c r="S885">
        <f t="shared" si="96"/>
        <v>0.3881203007518797</v>
      </c>
      <c r="T885" t="str">
        <f t="shared" si="97"/>
        <v>Scenario 1: Strong Commitment</v>
      </c>
    </row>
    <row r="886" spans="1:20" x14ac:dyDescent="0.35">
      <c r="A886" t="s">
        <v>1131</v>
      </c>
      <c r="B886" s="1">
        <v>44379</v>
      </c>
      <c r="C886">
        <v>2021</v>
      </c>
      <c r="D886">
        <v>7</v>
      </c>
      <c r="E886" t="s">
        <v>78</v>
      </c>
      <c r="F886">
        <v>138</v>
      </c>
      <c r="G886" t="s">
        <v>1006</v>
      </c>
      <c r="H886" t="s">
        <v>27</v>
      </c>
      <c r="I886">
        <v>1</v>
      </c>
      <c r="J886">
        <v>0</v>
      </c>
      <c r="K886">
        <v>6.6</v>
      </c>
      <c r="L886">
        <v>251653</v>
      </c>
      <c r="M886" t="s">
        <v>983</v>
      </c>
      <c r="N886" t="str">
        <f t="shared" si="91"/>
        <v>cinema</v>
      </c>
      <c r="O886" t="str">
        <f t="shared" si="92"/>
        <v>original</v>
      </c>
      <c r="P886" t="str">
        <f t="shared" si="93"/>
        <v>non-franchise</v>
      </c>
      <c r="Q886" t="str">
        <f t="shared" si="94"/>
        <v>old</v>
      </c>
      <c r="R886" s="2">
        <f t="shared" si="95"/>
        <v>0.19465774462606525</v>
      </c>
      <c r="S886">
        <f t="shared" si="96"/>
        <v>0.31759398496240598</v>
      </c>
      <c r="T886" t="str">
        <f t="shared" si="97"/>
        <v>Scenario 1: Strong Commitment</v>
      </c>
    </row>
    <row r="887" spans="1:20" x14ac:dyDescent="0.35">
      <c r="A887" t="s">
        <v>1132</v>
      </c>
      <c r="B887" s="1">
        <v>44384</v>
      </c>
      <c r="C887">
        <v>2021</v>
      </c>
      <c r="D887">
        <v>7</v>
      </c>
      <c r="E887" t="s">
        <v>78</v>
      </c>
      <c r="F887">
        <v>134</v>
      </c>
      <c r="G887" t="s">
        <v>1133</v>
      </c>
      <c r="H887" t="s">
        <v>27</v>
      </c>
      <c r="I887">
        <v>0</v>
      </c>
      <c r="J887">
        <v>1</v>
      </c>
      <c r="K887">
        <v>6.6</v>
      </c>
      <c r="L887">
        <v>473206</v>
      </c>
      <c r="M887" t="s">
        <v>983</v>
      </c>
      <c r="N887" t="str">
        <f t="shared" si="91"/>
        <v>cinema</v>
      </c>
      <c r="O887" t="str">
        <f t="shared" si="92"/>
        <v>non-original</v>
      </c>
      <c r="P887" t="str">
        <f t="shared" si="93"/>
        <v>franchise</v>
      </c>
      <c r="Q887" t="str">
        <f t="shared" si="94"/>
        <v>old</v>
      </c>
      <c r="R887" s="2">
        <f t="shared" si="95"/>
        <v>0.3554230011532421</v>
      </c>
      <c r="S887">
        <f t="shared" si="96"/>
        <v>0.32751879699248115</v>
      </c>
      <c r="T887" t="str">
        <f t="shared" si="97"/>
        <v>Scenario 1: Strong Commitment</v>
      </c>
    </row>
    <row r="888" spans="1:20" x14ac:dyDescent="0.35">
      <c r="A888" t="s">
        <v>1134</v>
      </c>
      <c r="B888" s="1">
        <v>44398</v>
      </c>
      <c r="C888">
        <v>2021</v>
      </c>
      <c r="D888">
        <v>7</v>
      </c>
      <c r="E888" t="s">
        <v>78</v>
      </c>
      <c r="F888">
        <v>108</v>
      </c>
      <c r="G888" t="s">
        <v>991</v>
      </c>
      <c r="H888" t="s">
        <v>27</v>
      </c>
      <c r="I888">
        <v>0</v>
      </c>
      <c r="J888">
        <v>0</v>
      </c>
      <c r="K888">
        <v>5.8</v>
      </c>
      <c r="L888">
        <v>182314</v>
      </c>
      <c r="M888" t="s">
        <v>989</v>
      </c>
      <c r="N888" t="str">
        <f t="shared" si="91"/>
        <v>cinema</v>
      </c>
      <c r="O888" t="str">
        <f t="shared" si="92"/>
        <v>non-original</v>
      </c>
      <c r="P888" t="str">
        <f t="shared" si="93"/>
        <v>non-franchise</v>
      </c>
      <c r="Q888" t="str">
        <f t="shared" si="94"/>
        <v>new</v>
      </c>
      <c r="R888" s="2">
        <f t="shared" si="95"/>
        <v>7.3577157339165158E-2</v>
      </c>
      <c r="S888">
        <f t="shared" si="96"/>
        <v>0.51676691729323299</v>
      </c>
      <c r="T888" t="str">
        <f t="shared" si="97"/>
        <v>Scenario 4: Hybrid Logic</v>
      </c>
    </row>
    <row r="889" spans="1:20" x14ac:dyDescent="0.35">
      <c r="A889" t="s">
        <v>1135</v>
      </c>
      <c r="B889" s="1">
        <v>44405</v>
      </c>
      <c r="C889">
        <v>2021</v>
      </c>
      <c r="D889">
        <v>7</v>
      </c>
      <c r="E889" t="s">
        <v>78</v>
      </c>
      <c r="F889">
        <v>127</v>
      </c>
      <c r="G889" t="s">
        <v>1043</v>
      </c>
      <c r="H889" t="s">
        <v>27</v>
      </c>
      <c r="I889">
        <v>0</v>
      </c>
      <c r="J889">
        <v>0</v>
      </c>
      <c r="K889">
        <v>6.5</v>
      </c>
      <c r="L889">
        <v>226088</v>
      </c>
      <c r="M889" t="s">
        <v>983</v>
      </c>
      <c r="N889" t="str">
        <f t="shared" si="91"/>
        <v>cinema</v>
      </c>
      <c r="O889" t="str">
        <f t="shared" si="92"/>
        <v>non-original</v>
      </c>
      <c r="P889" t="str">
        <f t="shared" si="93"/>
        <v>non-franchise</v>
      </c>
      <c r="Q889" t="str">
        <f t="shared" si="94"/>
        <v>new</v>
      </c>
      <c r="R889" s="2">
        <f t="shared" si="95"/>
        <v>0.10729524175928978</v>
      </c>
      <c r="S889">
        <f t="shared" si="96"/>
        <v>0.5094924812030075</v>
      </c>
      <c r="T889" t="str">
        <f t="shared" si="97"/>
        <v>Scenario 4: Hybrid Logic</v>
      </c>
    </row>
    <row r="890" spans="1:20" x14ac:dyDescent="0.35">
      <c r="A890" t="s">
        <v>1136</v>
      </c>
      <c r="B890" s="1">
        <v>44421</v>
      </c>
      <c r="C890">
        <v>2021</v>
      </c>
      <c r="D890">
        <v>8</v>
      </c>
      <c r="E890" t="s">
        <v>78</v>
      </c>
      <c r="F890">
        <v>111</v>
      </c>
      <c r="G890" t="s">
        <v>1137</v>
      </c>
      <c r="H890" t="s">
        <v>27</v>
      </c>
      <c r="I890">
        <v>0</v>
      </c>
      <c r="J890">
        <v>0</v>
      </c>
      <c r="K890">
        <v>8</v>
      </c>
      <c r="L890">
        <v>204707</v>
      </c>
      <c r="M890" t="s">
        <v>983</v>
      </c>
      <c r="N890" t="str">
        <f t="shared" si="91"/>
        <v>cinema</v>
      </c>
      <c r="O890" t="str">
        <f t="shared" si="92"/>
        <v>non-original</v>
      </c>
      <c r="P890" t="str">
        <f t="shared" si="93"/>
        <v>non-franchise</v>
      </c>
      <c r="Q890" t="str">
        <f t="shared" si="94"/>
        <v>new</v>
      </c>
      <c r="R890" s="2">
        <f t="shared" si="95"/>
        <v>8.4909229932798161E-2</v>
      </c>
      <c r="S890">
        <f t="shared" si="96"/>
        <v>0.6992481203007519</v>
      </c>
      <c r="T890" t="str">
        <f t="shared" si="97"/>
        <v>Scenario 4: Hybrid Logic</v>
      </c>
    </row>
    <row r="891" spans="1:20" x14ac:dyDescent="0.35">
      <c r="A891" t="s">
        <v>1138</v>
      </c>
      <c r="B891" s="1">
        <v>44426</v>
      </c>
      <c r="C891">
        <v>2021</v>
      </c>
      <c r="D891">
        <v>8</v>
      </c>
      <c r="E891" t="s">
        <v>78</v>
      </c>
      <c r="F891">
        <v>116</v>
      </c>
      <c r="G891" t="s">
        <v>1139</v>
      </c>
      <c r="H891" t="s">
        <v>27</v>
      </c>
      <c r="I891">
        <v>1</v>
      </c>
      <c r="J891">
        <v>0</v>
      </c>
      <c r="K891">
        <v>5.9</v>
      </c>
      <c r="L891">
        <v>70583</v>
      </c>
      <c r="M891" t="s">
        <v>983</v>
      </c>
      <c r="N891" t="str">
        <f t="shared" si="91"/>
        <v>cinema</v>
      </c>
      <c r="O891" t="str">
        <f t="shared" si="92"/>
        <v>original</v>
      </c>
      <c r="P891" t="str">
        <f t="shared" si="93"/>
        <v>non-franchise</v>
      </c>
      <c r="Q891" t="str">
        <f t="shared" si="94"/>
        <v>old</v>
      </c>
      <c r="R891" s="2">
        <f t="shared" si="95"/>
        <v>4.5893226459611969E-2</v>
      </c>
      <c r="S891">
        <f t="shared" si="96"/>
        <v>0.33270676691729328</v>
      </c>
      <c r="T891" t="str">
        <f t="shared" si="97"/>
        <v>Scenario 1: Strong Commitment</v>
      </c>
    </row>
    <row r="892" spans="1:20" x14ac:dyDescent="0.35">
      <c r="A892" t="s">
        <v>1140</v>
      </c>
      <c r="B892" s="1">
        <v>44440</v>
      </c>
      <c r="C892">
        <v>2021</v>
      </c>
      <c r="D892">
        <v>9</v>
      </c>
      <c r="E892" t="s">
        <v>125</v>
      </c>
      <c r="F892">
        <v>132</v>
      </c>
      <c r="G892" t="s">
        <v>1004</v>
      </c>
      <c r="H892" t="s">
        <v>27</v>
      </c>
      <c r="I892">
        <v>0</v>
      </c>
      <c r="J892">
        <v>1</v>
      </c>
      <c r="K892">
        <v>7.3</v>
      </c>
      <c r="L892">
        <v>484213</v>
      </c>
      <c r="M892" t="s">
        <v>989</v>
      </c>
      <c r="N892" t="str">
        <f t="shared" si="91"/>
        <v>cinema</v>
      </c>
      <c r="O892" t="str">
        <f t="shared" si="92"/>
        <v>non-original</v>
      </c>
      <c r="P892" t="str">
        <f t="shared" si="93"/>
        <v>franchise</v>
      </c>
      <c r="Q892" t="str">
        <f t="shared" si="94"/>
        <v>old</v>
      </c>
      <c r="R892" s="2">
        <f t="shared" si="95"/>
        <v>0.35826209813230742</v>
      </c>
      <c r="S892">
        <f t="shared" si="96"/>
        <v>0.36774436090225565</v>
      </c>
      <c r="T892" t="str">
        <f t="shared" si="97"/>
        <v>Scenario 1: Strong Commitment</v>
      </c>
    </row>
    <row r="893" spans="1:20" x14ac:dyDescent="0.35">
      <c r="A893" t="s">
        <v>1141</v>
      </c>
      <c r="B893" s="1">
        <v>44468</v>
      </c>
      <c r="C893">
        <v>2021</v>
      </c>
      <c r="D893">
        <v>9</v>
      </c>
      <c r="E893" t="s">
        <v>125</v>
      </c>
      <c r="F893">
        <v>163</v>
      </c>
      <c r="G893" t="s">
        <v>1099</v>
      </c>
      <c r="H893" t="s">
        <v>27</v>
      </c>
      <c r="I893">
        <v>0</v>
      </c>
      <c r="J893">
        <v>1</v>
      </c>
      <c r="K893">
        <v>7.3</v>
      </c>
      <c r="L893">
        <v>483802</v>
      </c>
      <c r="M893" t="s">
        <v>989</v>
      </c>
      <c r="N893" t="str">
        <f t="shared" si="91"/>
        <v>cinema</v>
      </c>
      <c r="O893" t="str">
        <f t="shared" si="92"/>
        <v>non-original</v>
      </c>
      <c r="P893" t="str">
        <f t="shared" si="93"/>
        <v>franchise</v>
      </c>
      <c r="Q893" t="str">
        <f t="shared" si="94"/>
        <v>old</v>
      </c>
      <c r="R893" s="2">
        <f t="shared" si="95"/>
        <v>0.4420239004337948</v>
      </c>
      <c r="S893">
        <f t="shared" si="96"/>
        <v>0.28266917293233079</v>
      </c>
      <c r="T893" t="str">
        <f t="shared" si="97"/>
        <v>Scenario 1: Strong Commitment</v>
      </c>
    </row>
    <row r="894" spans="1:20" x14ac:dyDescent="0.35">
      <c r="A894" t="s">
        <v>1142</v>
      </c>
      <c r="B894" s="1">
        <v>44503</v>
      </c>
      <c r="C894">
        <v>2021</v>
      </c>
      <c r="D894">
        <v>11</v>
      </c>
      <c r="E894" t="s">
        <v>125</v>
      </c>
      <c r="F894">
        <v>156</v>
      </c>
      <c r="G894" t="s">
        <v>1004</v>
      </c>
      <c r="H894" t="s">
        <v>27</v>
      </c>
      <c r="I894">
        <v>0</v>
      </c>
      <c r="J894">
        <v>1</v>
      </c>
      <c r="K894">
        <v>6.2</v>
      </c>
      <c r="L894">
        <v>423836</v>
      </c>
      <c r="M894" t="s">
        <v>983</v>
      </c>
      <c r="N894" t="str">
        <f t="shared" si="91"/>
        <v>cinema</v>
      </c>
      <c r="O894" t="str">
        <f t="shared" si="92"/>
        <v>non-original</v>
      </c>
      <c r="P894" t="str">
        <f t="shared" si="93"/>
        <v>franchise</v>
      </c>
      <c r="Q894" t="str">
        <f t="shared" si="94"/>
        <v>old</v>
      </c>
      <c r="R894" s="2">
        <f t="shared" si="95"/>
        <v>0.37060641233808272</v>
      </c>
      <c r="S894">
        <f t="shared" si="96"/>
        <v>0.25639097744360906</v>
      </c>
      <c r="T894" t="str">
        <f t="shared" si="97"/>
        <v>Scenario 1: Strong Commitment</v>
      </c>
    </row>
    <row r="895" spans="1:20" x14ac:dyDescent="0.35">
      <c r="A895" t="s">
        <v>330</v>
      </c>
      <c r="B895" s="1">
        <v>44504</v>
      </c>
      <c r="C895">
        <v>2021</v>
      </c>
      <c r="D895">
        <v>11</v>
      </c>
      <c r="E895" t="s">
        <v>125</v>
      </c>
      <c r="F895">
        <v>118</v>
      </c>
      <c r="G895" t="s">
        <v>1143</v>
      </c>
      <c r="H895" t="s">
        <v>27</v>
      </c>
      <c r="I895">
        <v>1</v>
      </c>
      <c r="J895">
        <v>0</v>
      </c>
      <c r="K895">
        <v>6.3</v>
      </c>
      <c r="L895">
        <v>351936</v>
      </c>
      <c r="M895" t="s">
        <v>983</v>
      </c>
      <c r="N895" t="str">
        <f t="shared" si="91"/>
        <v>cinema</v>
      </c>
      <c r="O895" t="str">
        <f t="shared" si="92"/>
        <v>original</v>
      </c>
      <c r="P895" t="str">
        <f t="shared" si="93"/>
        <v>non-franchise</v>
      </c>
      <c r="Q895" t="str">
        <f t="shared" si="94"/>
        <v>old</v>
      </c>
      <c r="R895" s="2">
        <f t="shared" si="95"/>
        <v>0.23277492194078919</v>
      </c>
      <c r="S895">
        <f t="shared" si="96"/>
        <v>0.35052631578947374</v>
      </c>
      <c r="T895" t="str">
        <f t="shared" si="97"/>
        <v>Scenario 1: Strong Commitment</v>
      </c>
    </row>
    <row r="896" spans="1:20" x14ac:dyDescent="0.35">
      <c r="A896" t="s">
        <v>1144</v>
      </c>
      <c r="B896" s="1">
        <v>44518</v>
      </c>
      <c r="C896">
        <v>2021</v>
      </c>
      <c r="D896">
        <v>11</v>
      </c>
      <c r="E896" t="s">
        <v>125</v>
      </c>
      <c r="F896">
        <v>144</v>
      </c>
      <c r="G896" t="s">
        <v>1145</v>
      </c>
      <c r="H896" t="s">
        <v>27</v>
      </c>
      <c r="I896">
        <v>0</v>
      </c>
      <c r="J896">
        <v>0</v>
      </c>
      <c r="K896">
        <v>7.5</v>
      </c>
      <c r="L896">
        <v>169224</v>
      </c>
      <c r="M896" t="s">
        <v>983</v>
      </c>
      <c r="N896" t="str">
        <f t="shared" si="91"/>
        <v>cinema</v>
      </c>
      <c r="O896" t="str">
        <f t="shared" si="92"/>
        <v>non-original</v>
      </c>
      <c r="P896" t="str">
        <f t="shared" si="93"/>
        <v>non-franchise</v>
      </c>
      <c r="Q896" t="str">
        <f t="shared" si="94"/>
        <v>new</v>
      </c>
      <c r="R896" s="2">
        <f t="shared" si="95"/>
        <v>9.1059168054842279E-2</v>
      </c>
      <c r="S896">
        <f t="shared" si="96"/>
        <v>0.51597744360902253</v>
      </c>
      <c r="T896" t="str">
        <f t="shared" si="97"/>
        <v>Scenario 4: Hybrid Logic</v>
      </c>
    </row>
    <row r="897" spans="1:20" x14ac:dyDescent="0.35">
      <c r="A897" t="s">
        <v>1146</v>
      </c>
      <c r="B897" s="1">
        <v>44518</v>
      </c>
      <c r="C897">
        <v>2021</v>
      </c>
      <c r="D897">
        <v>11</v>
      </c>
      <c r="E897" t="s">
        <v>125</v>
      </c>
      <c r="F897">
        <v>124</v>
      </c>
      <c r="G897" t="s">
        <v>1147</v>
      </c>
      <c r="H897" t="s">
        <v>27</v>
      </c>
      <c r="I897">
        <v>1</v>
      </c>
      <c r="J897">
        <v>1</v>
      </c>
      <c r="K897">
        <v>7</v>
      </c>
      <c r="L897">
        <v>239649</v>
      </c>
      <c r="M897" t="s">
        <v>989</v>
      </c>
      <c r="N897" t="str">
        <f t="shared" si="91"/>
        <v>cinema</v>
      </c>
      <c r="O897" t="str">
        <f t="shared" si="92"/>
        <v>original</v>
      </c>
      <c r="P897" t="str">
        <f t="shared" si="93"/>
        <v>franchise</v>
      </c>
      <c r="Q897" t="str">
        <f t="shared" si="94"/>
        <v>old</v>
      </c>
      <c r="R897" s="2">
        <f t="shared" si="95"/>
        <v>0.16656655171065712</v>
      </c>
      <c r="S897">
        <f t="shared" si="96"/>
        <v>0.37368421052631579</v>
      </c>
      <c r="T897" t="str">
        <f t="shared" si="97"/>
        <v>Scenario 1: Strong Commitment</v>
      </c>
    </row>
    <row r="898" spans="1:20" x14ac:dyDescent="0.35">
      <c r="A898" t="s">
        <v>1148</v>
      </c>
      <c r="B898" s="1">
        <v>44533</v>
      </c>
      <c r="C898">
        <v>2021</v>
      </c>
      <c r="D898">
        <v>12</v>
      </c>
      <c r="E898" t="s">
        <v>14</v>
      </c>
      <c r="F898">
        <v>89</v>
      </c>
      <c r="G898" t="s">
        <v>1149</v>
      </c>
      <c r="H898" t="s">
        <v>27</v>
      </c>
      <c r="I898">
        <v>0</v>
      </c>
      <c r="J898">
        <v>0</v>
      </c>
      <c r="K898">
        <v>7.9</v>
      </c>
      <c r="L898">
        <v>21057</v>
      </c>
      <c r="M898" t="s">
        <v>983</v>
      </c>
      <c r="N898" t="str">
        <f t="shared" si="91"/>
        <v>cinema</v>
      </c>
      <c r="O898" t="str">
        <f t="shared" si="92"/>
        <v>non-original</v>
      </c>
      <c r="P898" t="str">
        <f t="shared" si="93"/>
        <v>non-franchise</v>
      </c>
      <c r="Q898" t="str">
        <f t="shared" si="94"/>
        <v>new</v>
      </c>
      <c r="R898" s="2">
        <f t="shared" si="95"/>
        <v>7.0030259142895759E-3</v>
      </c>
      <c r="S898">
        <f t="shared" si="96"/>
        <v>0.788515037593985</v>
      </c>
      <c r="T898" t="str">
        <f t="shared" si="97"/>
        <v>Scenario 3: Strong Convenience</v>
      </c>
    </row>
    <row r="899" spans="1:20" x14ac:dyDescent="0.35">
      <c r="A899" t="s">
        <v>1150</v>
      </c>
      <c r="B899" s="1">
        <v>44538</v>
      </c>
      <c r="C899">
        <v>2021</v>
      </c>
      <c r="D899">
        <v>12</v>
      </c>
      <c r="E899" t="s">
        <v>14</v>
      </c>
      <c r="F899">
        <v>156</v>
      </c>
      <c r="G899" t="s">
        <v>1151</v>
      </c>
      <c r="H899" t="s">
        <v>27</v>
      </c>
      <c r="I899">
        <v>0</v>
      </c>
      <c r="J899">
        <v>0</v>
      </c>
      <c r="K899">
        <v>7.1</v>
      </c>
      <c r="L899">
        <v>121997</v>
      </c>
      <c r="M899" t="s">
        <v>983</v>
      </c>
      <c r="N899" t="str">
        <f t="shared" ref="N899:N962" si="98">IF(ISNUMBER(SEARCH("Streaming", M899)), "streaming", "cinema")</f>
        <v>cinema</v>
      </c>
      <c r="O899" t="str">
        <f t="shared" ref="O899:O962" si="99">IF(I899=1, "original", "non-original")</f>
        <v>non-original</v>
      </c>
      <c r="P899" t="str">
        <f t="shared" ref="P899:P962" si="100">IF(J899 = 1, "franchise", "non-franchise")</f>
        <v>non-franchise</v>
      </c>
      <c r="Q899" t="str">
        <f t="shared" ref="Q899:Q962" si="101">IF(OR(I899 = 1,J899 =1), "old", "new")</f>
        <v>new</v>
      </c>
      <c r="R899" s="2">
        <f t="shared" ref="R899:R962" si="102">IF(Q899="old", 1.5, 1) * (L899 / MAX($L$2:$L$1000)) * (F899 / MAX($F$2:$F$1000))</f>
        <v>7.1116926493595134E-2</v>
      </c>
      <c r="S899">
        <f t="shared" ref="S899:S962" si="103">IF(Q899="new", 1.5, 1) * (K899 / 10) * (1 - (F899 / MAX($F$2:$F$1000)))</f>
        <v>0.44041353383458648</v>
      </c>
      <c r="T899" t="str">
        <f t="shared" ref="T899:T962" si="104">IF(AND(R899&gt;=0.03, S899&gt;=0.5), "Scenario 4: Hybrid Logic",
 IF(AND(R899&gt;=0.03, S899&lt;0.5), "Scenario 1: Strong Commitment",
  IF(AND(R899&lt;0.03, S899&gt;=0.5), "Scenario 3: Strong Convenience",
   "Scenario 2: Weak Commitment/Convenience")))</f>
        <v>Scenario 1: Strong Commitment</v>
      </c>
    </row>
    <row r="900" spans="1:20" x14ac:dyDescent="0.35">
      <c r="A900" t="s">
        <v>1152</v>
      </c>
      <c r="B900" s="1">
        <v>44544</v>
      </c>
      <c r="C900">
        <v>2021</v>
      </c>
      <c r="D900">
        <v>12</v>
      </c>
      <c r="E900" t="s">
        <v>14</v>
      </c>
      <c r="F900">
        <v>148</v>
      </c>
      <c r="G900" t="s">
        <v>1004</v>
      </c>
      <c r="H900" t="s">
        <v>27</v>
      </c>
      <c r="I900">
        <v>0</v>
      </c>
      <c r="J900">
        <v>1</v>
      </c>
      <c r="K900">
        <v>8.1</v>
      </c>
      <c r="L900">
        <v>1006049</v>
      </c>
      <c r="M900" t="s">
        <v>989</v>
      </c>
      <c r="N900" t="str">
        <f t="shared" si="98"/>
        <v>cinema</v>
      </c>
      <c r="O900" t="str">
        <f t="shared" si="99"/>
        <v>non-original</v>
      </c>
      <c r="P900" t="str">
        <f t="shared" si="100"/>
        <v>franchise</v>
      </c>
      <c r="Q900" t="str">
        <f t="shared" si="101"/>
        <v>old</v>
      </c>
      <c r="R900" s="2">
        <f t="shared" si="102"/>
        <v>0.83458646616541343</v>
      </c>
      <c r="S900">
        <f t="shared" si="103"/>
        <v>0.35932330827067671</v>
      </c>
      <c r="T900" t="str">
        <f t="shared" si="104"/>
        <v>Scenario 1: Strong Commitment</v>
      </c>
    </row>
    <row r="901" spans="1:20" x14ac:dyDescent="0.35">
      <c r="A901" t="s">
        <v>1153</v>
      </c>
      <c r="B901" s="1">
        <v>44555</v>
      </c>
      <c r="C901">
        <v>2021</v>
      </c>
      <c r="D901">
        <v>12</v>
      </c>
      <c r="E901" t="s">
        <v>14</v>
      </c>
      <c r="F901">
        <v>131</v>
      </c>
      <c r="G901" t="s">
        <v>1022</v>
      </c>
      <c r="H901" t="s">
        <v>27</v>
      </c>
      <c r="I901">
        <v>0</v>
      </c>
      <c r="J901">
        <v>0</v>
      </c>
      <c r="K901">
        <v>6</v>
      </c>
      <c r="L901">
        <v>3341</v>
      </c>
      <c r="M901" t="s">
        <v>983</v>
      </c>
      <c r="N901" t="str">
        <f t="shared" si="98"/>
        <v>cinema</v>
      </c>
      <c r="O901" t="str">
        <f t="shared" si="99"/>
        <v>non-original</v>
      </c>
      <c r="P901" t="str">
        <f t="shared" si="100"/>
        <v>non-franchise</v>
      </c>
      <c r="Q901" t="str">
        <f t="shared" si="101"/>
        <v>new</v>
      </c>
      <c r="R901" s="2">
        <f t="shared" si="102"/>
        <v>1.6354866405593766E-3</v>
      </c>
      <c r="S901">
        <f t="shared" si="103"/>
        <v>0.4567669172932331</v>
      </c>
      <c r="T901" t="str">
        <f t="shared" si="104"/>
        <v>Scenario 2: Weak Commitment/Convenience</v>
      </c>
    </row>
    <row r="902" spans="1:20" x14ac:dyDescent="0.35">
      <c r="A902" t="s">
        <v>1154</v>
      </c>
      <c r="B902" s="1">
        <v>44567</v>
      </c>
      <c r="C902">
        <v>2022</v>
      </c>
      <c r="D902">
        <v>1</v>
      </c>
      <c r="E902" t="s">
        <v>14</v>
      </c>
      <c r="F902">
        <v>122</v>
      </c>
      <c r="G902" t="s">
        <v>1155</v>
      </c>
      <c r="H902" t="s">
        <v>27</v>
      </c>
      <c r="I902">
        <v>1</v>
      </c>
      <c r="J902">
        <v>0</v>
      </c>
      <c r="K902">
        <v>5.6</v>
      </c>
      <c r="L902">
        <v>43345</v>
      </c>
      <c r="M902" t="s">
        <v>983</v>
      </c>
      <c r="N902" t="str">
        <f t="shared" si="98"/>
        <v>cinema</v>
      </c>
      <c r="O902" t="str">
        <f t="shared" si="99"/>
        <v>original</v>
      </c>
      <c r="P902" t="str">
        <f t="shared" si="100"/>
        <v>non-franchise</v>
      </c>
      <c r="Q902" t="str">
        <f t="shared" si="101"/>
        <v>old</v>
      </c>
      <c r="R902" s="2">
        <f t="shared" si="102"/>
        <v>2.9640759437142165E-2</v>
      </c>
      <c r="S902">
        <f t="shared" si="103"/>
        <v>0.30315789473684207</v>
      </c>
      <c r="T902" t="str">
        <f t="shared" si="104"/>
        <v>Scenario 2: Weak Commitment/Convenience</v>
      </c>
    </row>
    <row r="903" spans="1:20" x14ac:dyDescent="0.35">
      <c r="A903" t="s">
        <v>1156</v>
      </c>
      <c r="B903" s="1">
        <v>44595</v>
      </c>
      <c r="C903">
        <v>2022</v>
      </c>
      <c r="D903">
        <v>2</v>
      </c>
      <c r="E903" t="s">
        <v>14</v>
      </c>
      <c r="F903">
        <v>130</v>
      </c>
      <c r="G903" t="s">
        <v>1133</v>
      </c>
      <c r="H903" t="s">
        <v>27</v>
      </c>
      <c r="I903">
        <v>1</v>
      </c>
      <c r="J903">
        <v>0</v>
      </c>
      <c r="K903">
        <v>5.2</v>
      </c>
      <c r="L903">
        <v>111743</v>
      </c>
      <c r="M903" t="s">
        <v>983</v>
      </c>
      <c r="N903" t="str">
        <f t="shared" si="98"/>
        <v>cinema</v>
      </c>
      <c r="O903" t="str">
        <f t="shared" si="99"/>
        <v>original</v>
      </c>
      <c r="P903" t="str">
        <f t="shared" si="100"/>
        <v>non-franchise</v>
      </c>
      <c r="Q903" t="str">
        <f t="shared" si="101"/>
        <v>old</v>
      </c>
      <c r="R903" s="2">
        <f t="shared" si="102"/>
        <v>8.1424325159366623E-2</v>
      </c>
      <c r="S903">
        <f t="shared" si="103"/>
        <v>0.26586466165413536</v>
      </c>
      <c r="T903" t="str">
        <f t="shared" si="104"/>
        <v>Scenario 1: Strong Commitment</v>
      </c>
    </row>
    <row r="904" spans="1:20" x14ac:dyDescent="0.35">
      <c r="A904" t="s">
        <v>1157</v>
      </c>
      <c r="B904" s="1">
        <v>44601</v>
      </c>
      <c r="C904">
        <v>2022</v>
      </c>
      <c r="D904">
        <v>2</v>
      </c>
      <c r="E904" t="s">
        <v>14</v>
      </c>
      <c r="F904">
        <v>127</v>
      </c>
      <c r="G904" t="s">
        <v>1158</v>
      </c>
      <c r="H904" t="s">
        <v>27</v>
      </c>
      <c r="I904">
        <v>0</v>
      </c>
      <c r="J904">
        <v>1</v>
      </c>
      <c r="K904">
        <v>6.3</v>
      </c>
      <c r="L904">
        <v>208723</v>
      </c>
      <c r="M904" t="s">
        <v>983</v>
      </c>
      <c r="N904" t="str">
        <f t="shared" si="98"/>
        <v>cinema</v>
      </c>
      <c r="O904" t="str">
        <f t="shared" si="99"/>
        <v>non-original</v>
      </c>
      <c r="P904" t="str">
        <f t="shared" si="100"/>
        <v>franchise</v>
      </c>
      <c r="Q904" t="str">
        <f t="shared" si="101"/>
        <v>old</v>
      </c>
      <c r="R904" s="2">
        <f t="shared" si="102"/>
        <v>0.1485814245717878</v>
      </c>
      <c r="S904">
        <f t="shared" si="103"/>
        <v>0.32921052631578945</v>
      </c>
      <c r="T904" t="str">
        <f t="shared" si="104"/>
        <v>Scenario 1: Strong Commitment</v>
      </c>
    </row>
    <row r="905" spans="1:20" x14ac:dyDescent="0.35">
      <c r="A905" t="s">
        <v>1159</v>
      </c>
      <c r="B905" s="1">
        <v>44601</v>
      </c>
      <c r="C905">
        <v>2022</v>
      </c>
      <c r="D905">
        <v>2</v>
      </c>
      <c r="E905" t="s">
        <v>14</v>
      </c>
      <c r="F905">
        <v>112</v>
      </c>
      <c r="G905" t="s">
        <v>1160</v>
      </c>
      <c r="H905" t="s">
        <v>27</v>
      </c>
      <c r="I905">
        <v>0</v>
      </c>
      <c r="J905">
        <v>0</v>
      </c>
      <c r="K905">
        <v>6.1</v>
      </c>
      <c r="L905">
        <v>47853</v>
      </c>
      <c r="M905" t="s">
        <v>983</v>
      </c>
      <c r="N905" t="str">
        <f t="shared" si="98"/>
        <v>cinema</v>
      </c>
      <c r="O905" t="str">
        <f t="shared" si="99"/>
        <v>non-original</v>
      </c>
      <c r="P905" t="str">
        <f t="shared" si="100"/>
        <v>non-franchise</v>
      </c>
      <c r="Q905" t="str">
        <f t="shared" si="101"/>
        <v>new</v>
      </c>
      <c r="R905" s="2">
        <f t="shared" si="102"/>
        <v>2.0027485320245203E-2</v>
      </c>
      <c r="S905">
        <f t="shared" si="103"/>
        <v>0.52973684210526317</v>
      </c>
      <c r="T905" t="str">
        <f t="shared" si="104"/>
        <v>Scenario 3: Strong Convenience</v>
      </c>
    </row>
    <row r="906" spans="1:20" x14ac:dyDescent="0.35">
      <c r="A906" t="s">
        <v>1161</v>
      </c>
      <c r="B906" s="1">
        <v>44602</v>
      </c>
      <c r="C906">
        <v>2022</v>
      </c>
      <c r="D906">
        <v>2</v>
      </c>
      <c r="E906" t="s">
        <v>14</v>
      </c>
      <c r="F906">
        <v>104</v>
      </c>
      <c r="G906" t="s">
        <v>1119</v>
      </c>
      <c r="H906" t="s">
        <v>27</v>
      </c>
      <c r="I906">
        <v>1</v>
      </c>
      <c r="J906">
        <v>0</v>
      </c>
      <c r="K906">
        <v>4.9000000000000004</v>
      </c>
      <c r="L906">
        <v>28278</v>
      </c>
      <c r="M906" t="s">
        <v>983</v>
      </c>
      <c r="N906" t="str">
        <f t="shared" si="98"/>
        <v>cinema</v>
      </c>
      <c r="O906" t="str">
        <f t="shared" si="99"/>
        <v>original</v>
      </c>
      <c r="P906" t="str">
        <f t="shared" si="100"/>
        <v>non-franchise</v>
      </c>
      <c r="Q906" t="str">
        <f t="shared" si="101"/>
        <v>old</v>
      </c>
      <c r="R906" s="2">
        <f t="shared" si="102"/>
        <v>1.6484376233726099E-2</v>
      </c>
      <c r="S906">
        <f t="shared" si="103"/>
        <v>0.29842105263157898</v>
      </c>
      <c r="T906" t="str">
        <f t="shared" si="104"/>
        <v>Scenario 2: Weak Commitment/Convenience</v>
      </c>
    </row>
    <row r="907" spans="1:20" x14ac:dyDescent="0.35">
      <c r="A907" t="s">
        <v>1162</v>
      </c>
      <c r="B907" s="1">
        <v>44602</v>
      </c>
      <c r="C907">
        <v>2022</v>
      </c>
      <c r="D907">
        <v>2</v>
      </c>
      <c r="E907" t="s">
        <v>14</v>
      </c>
      <c r="F907">
        <v>116</v>
      </c>
      <c r="G907" t="s">
        <v>1163</v>
      </c>
      <c r="H907" t="s">
        <v>27</v>
      </c>
      <c r="I907">
        <v>0</v>
      </c>
      <c r="J907">
        <v>0</v>
      </c>
      <c r="K907">
        <v>6.3</v>
      </c>
      <c r="L907">
        <v>296581</v>
      </c>
      <c r="M907" t="s">
        <v>989</v>
      </c>
      <c r="N907" t="str">
        <f t="shared" si="98"/>
        <v>cinema</v>
      </c>
      <c r="O907" t="str">
        <f t="shared" si="99"/>
        <v>non-original</v>
      </c>
      <c r="P907" t="str">
        <f t="shared" si="100"/>
        <v>non-franchise</v>
      </c>
      <c r="Q907" t="str">
        <f t="shared" si="101"/>
        <v>new</v>
      </c>
      <c r="R907" s="2">
        <f t="shared" si="102"/>
        <v>0.1285584252734906</v>
      </c>
      <c r="S907">
        <f t="shared" si="103"/>
        <v>0.53289473684210531</v>
      </c>
      <c r="T907" t="str">
        <f t="shared" si="104"/>
        <v>Scenario 4: Hybrid Logic</v>
      </c>
    </row>
    <row r="908" spans="1:20" x14ac:dyDescent="0.35">
      <c r="A908" t="s">
        <v>1164</v>
      </c>
      <c r="B908" s="1">
        <v>44610</v>
      </c>
      <c r="C908">
        <v>2022</v>
      </c>
      <c r="D908">
        <v>2</v>
      </c>
      <c r="E908" t="s">
        <v>14</v>
      </c>
      <c r="F908">
        <v>83</v>
      </c>
      <c r="G908" t="s">
        <v>1165</v>
      </c>
      <c r="H908" t="s">
        <v>27</v>
      </c>
      <c r="I908">
        <v>1</v>
      </c>
      <c r="J908">
        <v>0</v>
      </c>
      <c r="K908">
        <v>7.8</v>
      </c>
      <c r="L908">
        <v>11</v>
      </c>
      <c r="M908" t="s">
        <v>989</v>
      </c>
      <c r="N908" t="str">
        <f t="shared" si="98"/>
        <v>cinema</v>
      </c>
      <c r="O908" t="str">
        <f t="shared" si="99"/>
        <v>original</v>
      </c>
      <c r="P908" t="str">
        <f t="shared" si="100"/>
        <v>non-franchise</v>
      </c>
      <c r="Q908" t="str">
        <f t="shared" si="101"/>
        <v>old</v>
      </c>
      <c r="R908" s="2">
        <f t="shared" si="102"/>
        <v>5.1175402396916097E-6</v>
      </c>
      <c r="S908">
        <f t="shared" si="103"/>
        <v>0.53661654135338355</v>
      </c>
      <c r="T908" t="str">
        <f t="shared" si="104"/>
        <v>Scenario 3: Strong Convenience</v>
      </c>
    </row>
    <row r="909" spans="1:20" x14ac:dyDescent="0.35">
      <c r="A909" t="s">
        <v>1164</v>
      </c>
      <c r="B909" s="1">
        <v>44610</v>
      </c>
      <c r="C909">
        <v>2022</v>
      </c>
      <c r="D909">
        <v>2</v>
      </c>
      <c r="E909" t="s">
        <v>14</v>
      </c>
      <c r="F909">
        <v>101</v>
      </c>
      <c r="G909" t="s">
        <v>985</v>
      </c>
      <c r="H909" t="s">
        <v>27</v>
      </c>
      <c r="I909">
        <v>1</v>
      </c>
      <c r="J909">
        <v>0</v>
      </c>
      <c r="K909">
        <v>6.5</v>
      </c>
      <c r="L909">
        <v>52016</v>
      </c>
      <c r="M909" t="s">
        <v>989</v>
      </c>
      <c r="N909" t="str">
        <f t="shared" si="98"/>
        <v>cinema</v>
      </c>
      <c r="O909" t="str">
        <f t="shared" si="99"/>
        <v>original</v>
      </c>
      <c r="P909" t="str">
        <f t="shared" si="100"/>
        <v>non-franchise</v>
      </c>
      <c r="Q909" t="str">
        <f t="shared" si="101"/>
        <v>old</v>
      </c>
      <c r="R909" s="2">
        <f t="shared" si="102"/>
        <v>2.9447526050260322E-2</v>
      </c>
      <c r="S909">
        <f t="shared" si="103"/>
        <v>0.4031954887218045</v>
      </c>
      <c r="T909" t="str">
        <f t="shared" si="104"/>
        <v>Scenario 2: Weak Commitment/Convenience</v>
      </c>
    </row>
    <row r="910" spans="1:20" x14ac:dyDescent="0.35">
      <c r="A910" t="s">
        <v>1166</v>
      </c>
      <c r="B910" s="1">
        <v>44621</v>
      </c>
      <c r="C910">
        <v>2022</v>
      </c>
      <c r="D910">
        <v>3</v>
      </c>
      <c r="E910" t="s">
        <v>38</v>
      </c>
      <c r="F910">
        <v>176</v>
      </c>
      <c r="G910" t="s">
        <v>982</v>
      </c>
      <c r="H910" t="s">
        <v>27</v>
      </c>
      <c r="I910">
        <v>0</v>
      </c>
      <c r="J910">
        <v>1</v>
      </c>
      <c r="K910">
        <v>7.8</v>
      </c>
      <c r="L910">
        <v>917367</v>
      </c>
      <c r="M910" t="s">
        <v>989</v>
      </c>
      <c r="N910" t="str">
        <f t="shared" si="98"/>
        <v>cinema</v>
      </c>
      <c r="O910" t="str">
        <f t="shared" si="99"/>
        <v>non-original</v>
      </c>
      <c r="P910" t="str">
        <f t="shared" si="100"/>
        <v>franchise</v>
      </c>
      <c r="Q910" t="str">
        <f t="shared" si="101"/>
        <v>old</v>
      </c>
      <c r="R910" s="2">
        <f t="shared" si="102"/>
        <v>0.90499518786798494</v>
      </c>
      <c r="S910">
        <f t="shared" si="103"/>
        <v>0.26390977443609026</v>
      </c>
      <c r="T910" t="str">
        <f t="shared" si="104"/>
        <v>Scenario 1: Strong Commitment</v>
      </c>
    </row>
    <row r="911" spans="1:20" x14ac:dyDescent="0.35">
      <c r="A911" t="s">
        <v>1167</v>
      </c>
      <c r="B911" s="1">
        <v>44644</v>
      </c>
      <c r="C911">
        <v>2022</v>
      </c>
      <c r="D911">
        <v>3</v>
      </c>
      <c r="E911" t="s">
        <v>38</v>
      </c>
      <c r="F911">
        <v>112</v>
      </c>
      <c r="G911" t="s">
        <v>1043</v>
      </c>
      <c r="H911" t="s">
        <v>27</v>
      </c>
      <c r="I911">
        <v>1</v>
      </c>
      <c r="J911">
        <v>0</v>
      </c>
      <c r="K911">
        <v>6.1</v>
      </c>
      <c r="L911">
        <v>175439</v>
      </c>
      <c r="M911" t="s">
        <v>989</v>
      </c>
      <c r="N911" t="str">
        <f t="shared" si="98"/>
        <v>cinema</v>
      </c>
      <c r="O911" t="str">
        <f t="shared" si="99"/>
        <v>original</v>
      </c>
      <c r="P911" t="str">
        <f t="shared" si="100"/>
        <v>non-franchise</v>
      </c>
      <c r="Q911" t="str">
        <f t="shared" si="101"/>
        <v>old</v>
      </c>
      <c r="R911" s="2">
        <f t="shared" si="102"/>
        <v>0.1101373580684126</v>
      </c>
      <c r="S911">
        <f t="shared" si="103"/>
        <v>0.35315789473684212</v>
      </c>
      <c r="T911" t="str">
        <f t="shared" si="104"/>
        <v>Scenario 1: Strong Commitment</v>
      </c>
    </row>
    <row r="912" spans="1:20" x14ac:dyDescent="0.35">
      <c r="A912" t="s">
        <v>1168</v>
      </c>
      <c r="B912" s="1">
        <v>44650</v>
      </c>
      <c r="C912">
        <v>2022</v>
      </c>
      <c r="D912">
        <v>3</v>
      </c>
      <c r="E912" t="s">
        <v>38</v>
      </c>
      <c r="F912">
        <v>104</v>
      </c>
      <c r="G912" t="s">
        <v>1130</v>
      </c>
      <c r="H912" t="s">
        <v>27</v>
      </c>
      <c r="I912">
        <v>0</v>
      </c>
      <c r="J912">
        <v>1</v>
      </c>
      <c r="K912">
        <v>5.0999999999999996</v>
      </c>
      <c r="L912">
        <v>170419</v>
      </c>
      <c r="M912" t="s">
        <v>983</v>
      </c>
      <c r="N912" t="str">
        <f t="shared" si="98"/>
        <v>cinema</v>
      </c>
      <c r="O912" t="str">
        <f t="shared" si="99"/>
        <v>non-original</v>
      </c>
      <c r="P912" t="str">
        <f t="shared" si="100"/>
        <v>franchise</v>
      </c>
      <c r="Q912" t="str">
        <f t="shared" si="101"/>
        <v>old</v>
      </c>
      <c r="R912" s="2">
        <f t="shared" si="102"/>
        <v>9.9344045313507601E-2</v>
      </c>
      <c r="S912">
        <f t="shared" si="103"/>
        <v>0.31060150375939849</v>
      </c>
      <c r="T912" t="str">
        <f t="shared" si="104"/>
        <v>Scenario 1: Strong Commitment</v>
      </c>
    </row>
    <row r="913" spans="1:20" x14ac:dyDescent="0.35">
      <c r="A913" t="s">
        <v>1169</v>
      </c>
      <c r="B913" s="1">
        <v>44657</v>
      </c>
      <c r="C913">
        <v>2022</v>
      </c>
      <c r="D913">
        <v>4</v>
      </c>
      <c r="E913" t="s">
        <v>38</v>
      </c>
      <c r="F913">
        <v>142</v>
      </c>
      <c r="G913" t="s">
        <v>1170</v>
      </c>
      <c r="H913" t="s">
        <v>27</v>
      </c>
      <c r="I913">
        <v>0</v>
      </c>
      <c r="J913">
        <v>1</v>
      </c>
      <c r="K913">
        <v>6.2</v>
      </c>
      <c r="L913">
        <v>191239</v>
      </c>
      <c r="M913" t="s">
        <v>983</v>
      </c>
      <c r="N913" t="str">
        <f t="shared" si="98"/>
        <v>cinema</v>
      </c>
      <c r="O913" t="str">
        <f t="shared" si="99"/>
        <v>non-original</v>
      </c>
      <c r="P913" t="str">
        <f t="shared" si="100"/>
        <v>franchise</v>
      </c>
      <c r="Q913" t="str">
        <f t="shared" si="101"/>
        <v>old</v>
      </c>
      <c r="R913" s="2">
        <f t="shared" si="102"/>
        <v>0.15221424475527984</v>
      </c>
      <c r="S913">
        <f t="shared" si="103"/>
        <v>0.2890225563909774</v>
      </c>
      <c r="T913" t="str">
        <f t="shared" si="104"/>
        <v>Scenario 1: Strong Commitment</v>
      </c>
    </row>
    <row r="914" spans="1:20" x14ac:dyDescent="0.35">
      <c r="A914" t="s">
        <v>1171</v>
      </c>
      <c r="B914" s="1">
        <v>44685</v>
      </c>
      <c r="C914">
        <v>2022</v>
      </c>
      <c r="D914">
        <v>5</v>
      </c>
      <c r="E914" t="s">
        <v>38</v>
      </c>
      <c r="F914">
        <v>126</v>
      </c>
      <c r="G914" t="s">
        <v>1004</v>
      </c>
      <c r="H914" t="s">
        <v>27</v>
      </c>
      <c r="I914">
        <v>0</v>
      </c>
      <c r="J914">
        <v>1</v>
      </c>
      <c r="K914">
        <v>6.9</v>
      </c>
      <c r="L914">
        <v>539823</v>
      </c>
      <c r="M914" t="s">
        <v>989</v>
      </c>
      <c r="N914" t="str">
        <f t="shared" si="98"/>
        <v>cinema</v>
      </c>
      <c r="O914" t="str">
        <f t="shared" si="99"/>
        <v>non-original</v>
      </c>
      <c r="P914" t="str">
        <f t="shared" si="100"/>
        <v>franchise</v>
      </c>
      <c r="Q914" t="str">
        <f t="shared" si="101"/>
        <v>old</v>
      </c>
      <c r="R914" s="2">
        <f t="shared" si="102"/>
        <v>0.3812522524930903</v>
      </c>
      <c r="S914">
        <f t="shared" si="103"/>
        <v>0.36315789473684218</v>
      </c>
      <c r="T914" t="str">
        <f t="shared" si="104"/>
        <v>Scenario 1: Strong Commitment</v>
      </c>
    </row>
    <row r="915" spans="1:20" x14ac:dyDescent="0.35">
      <c r="A915" t="s">
        <v>1172</v>
      </c>
      <c r="B915" s="1">
        <v>44701</v>
      </c>
      <c r="C915">
        <v>2022</v>
      </c>
      <c r="D915">
        <v>5</v>
      </c>
      <c r="E915" t="s">
        <v>38</v>
      </c>
      <c r="F915">
        <v>130</v>
      </c>
      <c r="G915" t="s">
        <v>1173</v>
      </c>
      <c r="H915" t="s">
        <v>27</v>
      </c>
      <c r="I915">
        <v>1</v>
      </c>
      <c r="J915">
        <v>1</v>
      </c>
      <c r="K915">
        <v>8.1999999999999993</v>
      </c>
      <c r="L915">
        <v>847697</v>
      </c>
      <c r="M915" t="s">
        <v>989</v>
      </c>
      <c r="N915" t="str">
        <f t="shared" si="98"/>
        <v>cinema</v>
      </c>
      <c r="O915" t="str">
        <f t="shared" si="99"/>
        <v>original</v>
      </c>
      <c r="P915" t="str">
        <f t="shared" si="100"/>
        <v>franchise</v>
      </c>
      <c r="Q915" t="str">
        <f t="shared" si="101"/>
        <v>old</v>
      </c>
      <c r="R915" s="2">
        <f t="shared" si="102"/>
        <v>0.617695570770604</v>
      </c>
      <c r="S915">
        <f t="shared" si="103"/>
        <v>0.41924812030075181</v>
      </c>
      <c r="T915" t="str">
        <f t="shared" si="104"/>
        <v>Scenario 1: Strong Commitment</v>
      </c>
    </row>
    <row r="916" spans="1:20" x14ac:dyDescent="0.35">
      <c r="A916" t="s">
        <v>1174</v>
      </c>
      <c r="B916" s="1">
        <v>44713</v>
      </c>
      <c r="C916">
        <v>2022</v>
      </c>
      <c r="D916">
        <v>6</v>
      </c>
      <c r="E916" t="s">
        <v>78</v>
      </c>
      <c r="F916">
        <v>147</v>
      </c>
      <c r="G916" t="s">
        <v>1133</v>
      </c>
      <c r="H916" t="s">
        <v>27</v>
      </c>
      <c r="I916">
        <v>1</v>
      </c>
      <c r="J916">
        <v>1</v>
      </c>
      <c r="K916">
        <v>5.6</v>
      </c>
      <c r="L916">
        <v>243173</v>
      </c>
      <c r="M916" t="s">
        <v>989</v>
      </c>
      <c r="N916" t="str">
        <f t="shared" si="98"/>
        <v>cinema</v>
      </c>
      <c r="O916" t="str">
        <f t="shared" si="99"/>
        <v>original</v>
      </c>
      <c r="P916" t="str">
        <f t="shared" si="100"/>
        <v>franchise</v>
      </c>
      <c r="Q916" t="str">
        <f t="shared" si="101"/>
        <v>old</v>
      </c>
      <c r="R916" s="2">
        <f t="shared" si="102"/>
        <v>0.20036560686512553</v>
      </c>
      <c r="S916">
        <f t="shared" si="103"/>
        <v>0.25052631578947365</v>
      </c>
      <c r="T916" t="str">
        <f t="shared" si="104"/>
        <v>Scenario 1: Strong Commitment</v>
      </c>
    </row>
    <row r="917" spans="1:20" x14ac:dyDescent="0.35">
      <c r="A917" t="s">
        <v>1175</v>
      </c>
      <c r="B917" s="1">
        <v>44734</v>
      </c>
      <c r="C917">
        <v>2022</v>
      </c>
      <c r="D917">
        <v>6</v>
      </c>
      <c r="E917" t="s">
        <v>78</v>
      </c>
      <c r="F917">
        <v>159</v>
      </c>
      <c r="G917" t="s">
        <v>1020</v>
      </c>
      <c r="H917" t="s">
        <v>27</v>
      </c>
      <c r="I917">
        <v>0</v>
      </c>
      <c r="J917">
        <v>0</v>
      </c>
      <c r="K917">
        <v>7.3</v>
      </c>
      <c r="L917">
        <v>259512</v>
      </c>
      <c r="M917" t="s">
        <v>989</v>
      </c>
      <c r="N917" t="str">
        <f t="shared" si="98"/>
        <v>cinema</v>
      </c>
      <c r="O917" t="str">
        <f t="shared" si="99"/>
        <v>non-original</v>
      </c>
      <c r="P917" t="str">
        <f t="shared" si="100"/>
        <v>non-franchise</v>
      </c>
      <c r="Q917" t="str">
        <f t="shared" si="101"/>
        <v>new</v>
      </c>
      <c r="R917" s="2">
        <f t="shared" si="102"/>
        <v>0.15418914445167797</v>
      </c>
      <c r="S917">
        <f t="shared" si="103"/>
        <v>0.44046992481203001</v>
      </c>
      <c r="T917" t="str">
        <f t="shared" si="104"/>
        <v>Scenario 1: Strong Commitment</v>
      </c>
    </row>
    <row r="918" spans="1:20" x14ac:dyDescent="0.35">
      <c r="A918" t="s">
        <v>1176</v>
      </c>
      <c r="B918" s="1">
        <v>44743</v>
      </c>
      <c r="C918">
        <v>2022</v>
      </c>
      <c r="D918">
        <v>7</v>
      </c>
      <c r="E918" t="s">
        <v>78</v>
      </c>
      <c r="F918">
        <v>118</v>
      </c>
      <c r="G918" t="s">
        <v>1043</v>
      </c>
      <c r="H918" t="s">
        <v>27</v>
      </c>
      <c r="I918">
        <v>0</v>
      </c>
      <c r="J918">
        <v>1</v>
      </c>
      <c r="K918">
        <v>6.1</v>
      </c>
      <c r="L918">
        <v>456022</v>
      </c>
      <c r="M918" t="s">
        <v>989</v>
      </c>
      <c r="N918" t="str">
        <f t="shared" si="98"/>
        <v>cinema</v>
      </c>
      <c r="O918" t="str">
        <f t="shared" si="99"/>
        <v>non-original</v>
      </c>
      <c r="P918" t="str">
        <f t="shared" si="100"/>
        <v>franchise</v>
      </c>
      <c r="Q918" t="str">
        <f t="shared" si="101"/>
        <v>old</v>
      </c>
      <c r="R918" s="2">
        <f t="shared" si="102"/>
        <v>0.30161871889571557</v>
      </c>
      <c r="S918">
        <f t="shared" si="103"/>
        <v>0.33939849624060153</v>
      </c>
      <c r="T918" t="str">
        <f t="shared" si="104"/>
        <v>Scenario 1: Strong Commitment</v>
      </c>
    </row>
    <row r="919" spans="1:20" x14ac:dyDescent="0.35">
      <c r="A919" t="s">
        <v>430</v>
      </c>
      <c r="B919" s="1">
        <v>44755</v>
      </c>
      <c r="C919">
        <v>2022</v>
      </c>
      <c r="D919">
        <v>7</v>
      </c>
      <c r="E919" t="s">
        <v>78</v>
      </c>
      <c r="F919">
        <v>122</v>
      </c>
      <c r="G919" t="s">
        <v>1177</v>
      </c>
      <c r="H919" t="s">
        <v>27</v>
      </c>
      <c r="I919">
        <v>0</v>
      </c>
      <c r="J919">
        <v>0</v>
      </c>
      <c r="K919">
        <v>6.5</v>
      </c>
      <c r="L919">
        <v>269903</v>
      </c>
      <c r="M919" t="s">
        <v>983</v>
      </c>
      <c r="N919" t="str">
        <f t="shared" si="98"/>
        <v>cinema</v>
      </c>
      <c r="O919" t="str">
        <f t="shared" si="99"/>
        <v>non-original</v>
      </c>
      <c r="P919" t="str">
        <f t="shared" si="100"/>
        <v>non-franchise</v>
      </c>
      <c r="Q919" t="str">
        <f t="shared" si="101"/>
        <v>new</v>
      </c>
      <c r="R919" s="2">
        <f t="shared" si="102"/>
        <v>0.12304579373803949</v>
      </c>
      <c r="S919">
        <f t="shared" si="103"/>
        <v>0.52781954887218052</v>
      </c>
      <c r="T919" t="str">
        <f t="shared" si="104"/>
        <v>Scenario 4: Hybrid Logic</v>
      </c>
    </row>
    <row r="920" spans="1:20" x14ac:dyDescent="0.35">
      <c r="A920" t="s">
        <v>1178</v>
      </c>
      <c r="B920" s="1">
        <v>44757</v>
      </c>
      <c r="C920">
        <v>2022</v>
      </c>
      <c r="D920">
        <v>7</v>
      </c>
      <c r="E920" t="s">
        <v>78</v>
      </c>
      <c r="F920">
        <v>125</v>
      </c>
      <c r="G920" t="s">
        <v>1179</v>
      </c>
      <c r="H920" t="s">
        <v>27</v>
      </c>
      <c r="I920">
        <v>0</v>
      </c>
      <c r="J920">
        <v>0</v>
      </c>
      <c r="K920">
        <v>7.2</v>
      </c>
      <c r="L920">
        <v>156604</v>
      </c>
      <c r="M920" t="s">
        <v>989</v>
      </c>
      <c r="N920" t="str">
        <f t="shared" si="98"/>
        <v>cinema</v>
      </c>
      <c r="O920" t="str">
        <f t="shared" si="99"/>
        <v>non-original</v>
      </c>
      <c r="P920" t="str">
        <f t="shared" si="100"/>
        <v>non-franchise</v>
      </c>
      <c r="Q920" t="str">
        <f t="shared" si="101"/>
        <v>new</v>
      </c>
      <c r="R920" s="2">
        <f t="shared" si="102"/>
        <v>7.3149623192466665E-2</v>
      </c>
      <c r="S920">
        <f t="shared" si="103"/>
        <v>0.57248120300751881</v>
      </c>
      <c r="T920" t="str">
        <f t="shared" si="104"/>
        <v>Scenario 4: Hybrid Logic</v>
      </c>
    </row>
    <row r="921" spans="1:20" x14ac:dyDescent="0.35">
      <c r="A921" t="s">
        <v>1180</v>
      </c>
      <c r="B921" s="1">
        <v>44812</v>
      </c>
      <c r="C921">
        <v>2022</v>
      </c>
      <c r="D921">
        <v>9</v>
      </c>
      <c r="E921" t="s">
        <v>125</v>
      </c>
      <c r="F921">
        <v>104</v>
      </c>
      <c r="G921" t="s">
        <v>1016</v>
      </c>
      <c r="H921" t="s">
        <v>27</v>
      </c>
      <c r="I921">
        <v>1</v>
      </c>
      <c r="J921">
        <v>0</v>
      </c>
      <c r="K921">
        <v>6.1</v>
      </c>
      <c r="L921">
        <v>80710</v>
      </c>
      <c r="M921" t="s">
        <v>989</v>
      </c>
      <c r="N921" t="str">
        <f t="shared" si="98"/>
        <v>cinema</v>
      </c>
      <c r="O921" t="str">
        <f t="shared" si="99"/>
        <v>original</v>
      </c>
      <c r="P921" t="str">
        <f t="shared" si="100"/>
        <v>non-franchise</v>
      </c>
      <c r="Q921" t="str">
        <f t="shared" si="101"/>
        <v>old</v>
      </c>
      <c r="R921" s="2">
        <f t="shared" si="102"/>
        <v>4.7049084299598046E-2</v>
      </c>
      <c r="S921">
        <f t="shared" si="103"/>
        <v>0.37150375939849622</v>
      </c>
      <c r="T921" t="str">
        <f t="shared" si="104"/>
        <v>Scenario 1: Strong Commitment</v>
      </c>
    </row>
    <row r="922" spans="1:20" x14ac:dyDescent="0.35">
      <c r="A922" t="s">
        <v>1181</v>
      </c>
      <c r="B922" s="1">
        <v>44819</v>
      </c>
      <c r="C922">
        <v>2022</v>
      </c>
      <c r="D922">
        <v>9</v>
      </c>
      <c r="E922" t="s">
        <v>125</v>
      </c>
      <c r="F922">
        <v>135</v>
      </c>
      <c r="G922" t="s">
        <v>1182</v>
      </c>
      <c r="H922" t="s">
        <v>27</v>
      </c>
      <c r="I922">
        <v>0</v>
      </c>
      <c r="J922">
        <v>0</v>
      </c>
      <c r="K922">
        <v>6.9</v>
      </c>
      <c r="L922">
        <v>82481</v>
      </c>
      <c r="M922" t="s">
        <v>983</v>
      </c>
      <c r="N922" t="str">
        <f t="shared" si="98"/>
        <v>cinema</v>
      </c>
      <c r="O922" t="str">
        <f t="shared" si="99"/>
        <v>non-original</v>
      </c>
      <c r="P922" t="str">
        <f t="shared" si="100"/>
        <v>non-franchise</v>
      </c>
      <c r="Q922" t="str">
        <f t="shared" si="101"/>
        <v>new</v>
      </c>
      <c r="R922" s="2">
        <f t="shared" si="102"/>
        <v>4.1608965263855782E-2</v>
      </c>
      <c r="S922">
        <f t="shared" si="103"/>
        <v>0.50971804511278196</v>
      </c>
      <c r="T922" t="str">
        <f t="shared" si="104"/>
        <v>Scenario 4: Hybrid Logic</v>
      </c>
    </row>
    <row r="923" spans="1:20" x14ac:dyDescent="0.35">
      <c r="A923" t="s">
        <v>1183</v>
      </c>
      <c r="B923" s="1">
        <v>44853</v>
      </c>
      <c r="C923">
        <v>2022</v>
      </c>
      <c r="D923">
        <v>10</v>
      </c>
      <c r="E923" t="s">
        <v>125</v>
      </c>
      <c r="F923">
        <v>125</v>
      </c>
      <c r="G923" t="s">
        <v>1004</v>
      </c>
      <c r="H923" t="s">
        <v>27</v>
      </c>
      <c r="I923">
        <v>0</v>
      </c>
      <c r="J923">
        <v>1</v>
      </c>
      <c r="K923">
        <v>6.1</v>
      </c>
      <c r="L923">
        <v>301827</v>
      </c>
      <c r="M923" t="s">
        <v>983</v>
      </c>
      <c r="N923" t="str">
        <f t="shared" si="98"/>
        <v>cinema</v>
      </c>
      <c r="O923" t="str">
        <f t="shared" si="99"/>
        <v>non-original</v>
      </c>
      <c r="P923" t="str">
        <f t="shared" si="100"/>
        <v>franchise</v>
      </c>
      <c r="Q923" t="str">
        <f t="shared" si="101"/>
        <v>old</v>
      </c>
      <c r="R923" s="2">
        <f t="shared" si="102"/>
        <v>0.21147478339613904</v>
      </c>
      <c r="S923">
        <f t="shared" si="103"/>
        <v>0.3233458646616541</v>
      </c>
      <c r="T923" t="str">
        <f t="shared" si="104"/>
        <v>Scenario 1: Strong Commitment</v>
      </c>
    </row>
    <row r="924" spans="1:20" x14ac:dyDescent="0.35">
      <c r="A924" t="s">
        <v>1184</v>
      </c>
      <c r="B924" s="1">
        <v>44874</v>
      </c>
      <c r="C924">
        <v>2022</v>
      </c>
      <c r="D924">
        <v>11</v>
      </c>
      <c r="E924" t="s">
        <v>125</v>
      </c>
      <c r="F924">
        <v>161</v>
      </c>
      <c r="G924" t="s">
        <v>1006</v>
      </c>
      <c r="H924" t="s">
        <v>27</v>
      </c>
      <c r="I924">
        <v>0</v>
      </c>
      <c r="J924">
        <v>1</v>
      </c>
      <c r="K924">
        <v>6.6</v>
      </c>
      <c r="L924">
        <v>365969</v>
      </c>
      <c r="M924" t="s">
        <v>989</v>
      </c>
      <c r="N924" t="str">
        <f t="shared" si="98"/>
        <v>cinema</v>
      </c>
      <c r="O924" t="str">
        <f t="shared" si="99"/>
        <v>non-original</v>
      </c>
      <c r="P924" t="str">
        <f t="shared" si="100"/>
        <v>franchise</v>
      </c>
      <c r="Q924" t="str">
        <f t="shared" si="101"/>
        <v>old</v>
      </c>
      <c r="R924" s="2">
        <f t="shared" si="102"/>
        <v>0.33026356464483186</v>
      </c>
      <c r="S924">
        <f t="shared" si="103"/>
        <v>0.26052631578947366</v>
      </c>
      <c r="T924" t="str">
        <f t="shared" si="104"/>
        <v>Scenario 1: Strong Commitment</v>
      </c>
    </row>
    <row r="925" spans="1:20" x14ac:dyDescent="0.35">
      <c r="A925" t="s">
        <v>1185</v>
      </c>
      <c r="B925" s="1">
        <v>44904</v>
      </c>
      <c r="C925">
        <v>2022</v>
      </c>
      <c r="D925">
        <v>12</v>
      </c>
      <c r="E925" t="s">
        <v>14</v>
      </c>
      <c r="F925">
        <v>192</v>
      </c>
      <c r="G925" t="s">
        <v>1008</v>
      </c>
      <c r="H925" t="s">
        <v>27</v>
      </c>
      <c r="I925">
        <v>1</v>
      </c>
      <c r="J925">
        <v>1</v>
      </c>
      <c r="K925">
        <v>7.5</v>
      </c>
      <c r="L925">
        <v>603972</v>
      </c>
      <c r="M925" t="s">
        <v>989</v>
      </c>
      <c r="N925" t="str">
        <f t="shared" si="98"/>
        <v>cinema</v>
      </c>
      <c r="O925" t="str">
        <f t="shared" si="99"/>
        <v>original</v>
      </c>
      <c r="P925" t="str">
        <f t="shared" si="100"/>
        <v>franchise</v>
      </c>
      <c r="Q925" t="str">
        <f t="shared" si="101"/>
        <v>old</v>
      </c>
      <c r="R925" s="2">
        <f t="shared" si="102"/>
        <v>0.64999276519192539</v>
      </c>
      <c r="S925">
        <f t="shared" si="103"/>
        <v>0.20864661654135341</v>
      </c>
      <c r="T925" t="str">
        <f t="shared" si="104"/>
        <v>Scenario 1: Strong Commitment</v>
      </c>
    </row>
    <row r="926" spans="1:20" x14ac:dyDescent="0.35">
      <c r="A926" t="s">
        <v>1186</v>
      </c>
      <c r="B926" s="1">
        <v>44920</v>
      </c>
      <c r="C926">
        <v>2022</v>
      </c>
      <c r="D926">
        <v>12</v>
      </c>
      <c r="E926" t="s">
        <v>14</v>
      </c>
      <c r="F926">
        <v>126</v>
      </c>
      <c r="G926" t="s">
        <v>985</v>
      </c>
      <c r="H926" t="s">
        <v>27</v>
      </c>
      <c r="I926">
        <v>0</v>
      </c>
      <c r="J926">
        <v>0</v>
      </c>
      <c r="K926">
        <v>7.5</v>
      </c>
      <c r="L926">
        <v>207820</v>
      </c>
      <c r="M926" t="s">
        <v>983</v>
      </c>
      <c r="N926" t="str">
        <f t="shared" si="98"/>
        <v>cinema</v>
      </c>
      <c r="O926" t="str">
        <f t="shared" si="99"/>
        <v>non-original</v>
      </c>
      <c r="P926" t="str">
        <f t="shared" si="100"/>
        <v>non-franchise</v>
      </c>
      <c r="Q926" t="str">
        <f t="shared" si="101"/>
        <v>new</v>
      </c>
      <c r="R926" s="2">
        <f t="shared" si="102"/>
        <v>9.7849163044323825E-2</v>
      </c>
      <c r="S926">
        <f t="shared" si="103"/>
        <v>0.5921052631578948</v>
      </c>
      <c r="T926" t="str">
        <f t="shared" si="104"/>
        <v>Scenario 4: Hybrid Logic</v>
      </c>
    </row>
    <row r="927" spans="1:20" x14ac:dyDescent="0.35">
      <c r="A927" t="s">
        <v>1187</v>
      </c>
      <c r="B927" s="1">
        <v>44923</v>
      </c>
      <c r="C927">
        <v>2022</v>
      </c>
      <c r="D927">
        <v>12</v>
      </c>
      <c r="E927" t="s">
        <v>14</v>
      </c>
      <c r="F927">
        <v>102</v>
      </c>
      <c r="G927" t="s">
        <v>1188</v>
      </c>
      <c r="H927" t="s">
        <v>27</v>
      </c>
      <c r="I927">
        <v>1</v>
      </c>
      <c r="J927">
        <v>1</v>
      </c>
      <c r="K927">
        <v>6.3</v>
      </c>
      <c r="L927">
        <v>180162</v>
      </c>
      <c r="M927" t="s">
        <v>989</v>
      </c>
      <c r="N927" t="str">
        <f t="shared" si="98"/>
        <v>cinema</v>
      </c>
      <c r="O927" t="str">
        <f t="shared" si="99"/>
        <v>original</v>
      </c>
      <c r="P927" t="str">
        <f t="shared" si="100"/>
        <v>franchise</v>
      </c>
      <c r="Q927" t="str">
        <f t="shared" si="101"/>
        <v>old</v>
      </c>
      <c r="R927" s="2">
        <f t="shared" si="102"/>
        <v>0.10300394417925367</v>
      </c>
      <c r="S927">
        <f t="shared" si="103"/>
        <v>0.388421052631579</v>
      </c>
      <c r="T927" t="str">
        <f t="shared" si="104"/>
        <v>Scenario 1: Strong Commitment</v>
      </c>
    </row>
    <row r="928" spans="1:20" x14ac:dyDescent="0.35">
      <c r="A928" t="s">
        <v>1189</v>
      </c>
      <c r="B928" s="1">
        <v>44960</v>
      </c>
      <c r="C928">
        <v>2023</v>
      </c>
      <c r="D928">
        <v>2</v>
      </c>
      <c r="E928" t="s">
        <v>14</v>
      </c>
      <c r="F928">
        <v>98</v>
      </c>
      <c r="G928" t="s">
        <v>1190</v>
      </c>
      <c r="H928" t="s">
        <v>27</v>
      </c>
      <c r="I928">
        <v>0</v>
      </c>
      <c r="J928">
        <v>0</v>
      </c>
      <c r="K928">
        <v>5.9</v>
      </c>
      <c r="L928">
        <v>13872</v>
      </c>
      <c r="M928" t="s">
        <v>983</v>
      </c>
      <c r="N928" t="str">
        <f t="shared" si="98"/>
        <v>cinema</v>
      </c>
      <c r="O928" t="str">
        <f t="shared" si="99"/>
        <v>non-original</v>
      </c>
      <c r="P928" t="str">
        <f t="shared" si="100"/>
        <v>non-franchise</v>
      </c>
      <c r="Q928" t="str">
        <f t="shared" si="101"/>
        <v>new</v>
      </c>
      <c r="R928" s="2">
        <f t="shared" si="102"/>
        <v>5.0800078744725786E-3</v>
      </c>
      <c r="S928">
        <f t="shared" si="103"/>
        <v>0.55894736842105264</v>
      </c>
      <c r="T928" t="str">
        <f t="shared" si="104"/>
        <v>Scenario 3: Strong Convenience</v>
      </c>
    </row>
    <row r="929" spans="1:20" x14ac:dyDescent="0.35">
      <c r="A929" t="s">
        <v>1191</v>
      </c>
      <c r="B929" s="1">
        <v>44972</v>
      </c>
      <c r="C929">
        <v>2023</v>
      </c>
      <c r="D929">
        <v>2</v>
      </c>
      <c r="E929" t="s">
        <v>14</v>
      </c>
      <c r="F929">
        <v>124</v>
      </c>
      <c r="G929" t="s">
        <v>1043</v>
      </c>
      <c r="H929" t="s">
        <v>27</v>
      </c>
      <c r="I929">
        <v>0</v>
      </c>
      <c r="J929">
        <v>1</v>
      </c>
      <c r="K929">
        <v>6</v>
      </c>
      <c r="L929">
        <v>266581</v>
      </c>
      <c r="M929" t="s">
        <v>983</v>
      </c>
      <c r="N929" t="str">
        <f t="shared" si="98"/>
        <v>cinema</v>
      </c>
      <c r="O929" t="str">
        <f t="shared" si="99"/>
        <v>non-original</v>
      </c>
      <c r="P929" t="str">
        <f t="shared" si="100"/>
        <v>franchise</v>
      </c>
      <c r="Q929" t="str">
        <f t="shared" si="101"/>
        <v>old</v>
      </c>
      <c r="R929" s="2">
        <f t="shared" si="102"/>
        <v>0.1852854713417485</v>
      </c>
      <c r="S929">
        <f t="shared" si="103"/>
        <v>0.32030075187969925</v>
      </c>
      <c r="T929" t="str">
        <f t="shared" si="104"/>
        <v>Scenario 1: Strong Commitment</v>
      </c>
    </row>
    <row r="930" spans="1:20" x14ac:dyDescent="0.35">
      <c r="A930" t="s">
        <v>1192</v>
      </c>
      <c r="B930" s="1">
        <v>44981</v>
      </c>
      <c r="C930">
        <v>2023</v>
      </c>
      <c r="D930">
        <v>2</v>
      </c>
      <c r="E930" t="s">
        <v>14</v>
      </c>
      <c r="F930">
        <v>120</v>
      </c>
      <c r="G930" t="s">
        <v>1000</v>
      </c>
      <c r="H930" t="s">
        <v>27</v>
      </c>
      <c r="I930">
        <v>0</v>
      </c>
      <c r="J930">
        <v>0</v>
      </c>
      <c r="K930">
        <v>7.1</v>
      </c>
      <c r="L930">
        <v>16465</v>
      </c>
      <c r="M930" t="s">
        <v>989</v>
      </c>
      <c r="N930" t="str">
        <f t="shared" si="98"/>
        <v>cinema</v>
      </c>
      <c r="O930" t="str">
        <f t="shared" si="99"/>
        <v>non-original</v>
      </c>
      <c r="P930" t="str">
        <f t="shared" si="100"/>
        <v>non-franchise</v>
      </c>
      <c r="Q930" t="str">
        <f t="shared" si="101"/>
        <v>new</v>
      </c>
      <c r="R930" s="2">
        <f t="shared" si="102"/>
        <v>7.3831588211629648E-3</v>
      </c>
      <c r="S930">
        <f t="shared" si="103"/>
        <v>0.58454887218045115</v>
      </c>
      <c r="T930" t="str">
        <f t="shared" si="104"/>
        <v>Scenario 3: Strong Convenience</v>
      </c>
    </row>
    <row r="931" spans="1:20" x14ac:dyDescent="0.35">
      <c r="A931" t="s">
        <v>1193</v>
      </c>
      <c r="B931" s="1">
        <v>44986</v>
      </c>
      <c r="C931">
        <v>2023</v>
      </c>
      <c r="D931">
        <v>3</v>
      </c>
      <c r="E931" t="s">
        <v>38</v>
      </c>
      <c r="F931">
        <v>116</v>
      </c>
      <c r="G931" t="s">
        <v>1194</v>
      </c>
      <c r="H931" t="s">
        <v>27</v>
      </c>
      <c r="I931">
        <v>1</v>
      </c>
      <c r="J931">
        <v>1</v>
      </c>
      <c r="K931">
        <v>6.7</v>
      </c>
      <c r="L931">
        <v>106096</v>
      </c>
      <c r="M931" t="s">
        <v>989</v>
      </c>
      <c r="N931" t="str">
        <f t="shared" si="98"/>
        <v>cinema</v>
      </c>
      <c r="O931" t="str">
        <f t="shared" si="99"/>
        <v>original</v>
      </c>
      <c r="P931" t="str">
        <f t="shared" si="100"/>
        <v>franchise</v>
      </c>
      <c r="Q931" t="str">
        <f t="shared" si="101"/>
        <v>old</v>
      </c>
      <c r="R931" s="2">
        <f t="shared" si="102"/>
        <v>6.8983859491081309E-2</v>
      </c>
      <c r="S931">
        <f t="shared" si="103"/>
        <v>0.3778195488721805</v>
      </c>
      <c r="T931" t="str">
        <f t="shared" si="104"/>
        <v>Scenario 1: Strong Commitment</v>
      </c>
    </row>
    <row r="932" spans="1:20" x14ac:dyDescent="0.35">
      <c r="A932" t="s">
        <v>1195</v>
      </c>
      <c r="B932" s="1">
        <v>44987</v>
      </c>
      <c r="C932">
        <v>2023</v>
      </c>
      <c r="D932">
        <v>3</v>
      </c>
      <c r="E932" t="s">
        <v>38</v>
      </c>
      <c r="F932">
        <v>134</v>
      </c>
      <c r="G932" t="s">
        <v>1043</v>
      </c>
      <c r="H932" t="s">
        <v>27</v>
      </c>
      <c r="I932">
        <v>0</v>
      </c>
      <c r="J932">
        <v>0</v>
      </c>
      <c r="K932">
        <v>7.2</v>
      </c>
      <c r="L932">
        <v>271570</v>
      </c>
      <c r="M932" t="s">
        <v>983</v>
      </c>
      <c r="N932" t="str">
        <f t="shared" si="98"/>
        <v>cinema</v>
      </c>
      <c r="O932" t="str">
        <f t="shared" si="99"/>
        <v>non-original</v>
      </c>
      <c r="P932" t="str">
        <f t="shared" si="100"/>
        <v>non-franchise</v>
      </c>
      <c r="Q932" t="str">
        <f t="shared" si="101"/>
        <v>new</v>
      </c>
      <c r="R932" s="2">
        <f t="shared" si="102"/>
        <v>0.1359833764057457</v>
      </c>
      <c r="S932">
        <f t="shared" si="103"/>
        <v>0.53593984962406016</v>
      </c>
      <c r="T932" t="str">
        <f t="shared" si="104"/>
        <v>Scenario 4: Hybrid Logic</v>
      </c>
    </row>
    <row r="933" spans="1:20" x14ac:dyDescent="0.35">
      <c r="A933">
        <v>65</v>
      </c>
      <c r="B933" s="1">
        <v>44994</v>
      </c>
      <c r="C933">
        <v>2023</v>
      </c>
      <c r="D933">
        <v>3</v>
      </c>
      <c r="E933" t="s">
        <v>38</v>
      </c>
      <c r="F933">
        <v>93</v>
      </c>
      <c r="G933" t="s">
        <v>1133</v>
      </c>
      <c r="H933" t="s">
        <v>27</v>
      </c>
      <c r="I933">
        <v>1</v>
      </c>
      <c r="J933">
        <v>0</v>
      </c>
      <c r="K933">
        <v>5.4</v>
      </c>
      <c r="L933">
        <v>105530</v>
      </c>
      <c r="M933" t="s">
        <v>983</v>
      </c>
      <c r="N933" t="str">
        <f t="shared" si="98"/>
        <v>cinema</v>
      </c>
      <c r="O933" t="str">
        <f t="shared" si="99"/>
        <v>original</v>
      </c>
      <c r="P933" t="str">
        <f t="shared" si="100"/>
        <v>non-franchise</v>
      </c>
      <c r="Q933" t="str">
        <f t="shared" si="101"/>
        <v>old</v>
      </c>
      <c r="R933" s="2">
        <f t="shared" si="102"/>
        <v>5.5010979188393164E-2</v>
      </c>
      <c r="S933">
        <f t="shared" si="103"/>
        <v>0.35120300751879702</v>
      </c>
      <c r="T933" t="str">
        <f t="shared" si="104"/>
        <v>Scenario 1: Strong Commitment</v>
      </c>
    </row>
    <row r="934" spans="1:20" x14ac:dyDescent="0.35">
      <c r="A934" t="s">
        <v>1196</v>
      </c>
      <c r="B934" s="1">
        <v>45000</v>
      </c>
      <c r="C934">
        <v>2023</v>
      </c>
      <c r="D934">
        <v>3</v>
      </c>
      <c r="E934" t="s">
        <v>38</v>
      </c>
      <c r="F934">
        <v>130</v>
      </c>
      <c r="G934" t="s">
        <v>1043</v>
      </c>
      <c r="H934" t="s">
        <v>27</v>
      </c>
      <c r="I934">
        <v>0</v>
      </c>
      <c r="J934">
        <v>1</v>
      </c>
      <c r="K934">
        <v>5.9</v>
      </c>
      <c r="L934">
        <v>144080</v>
      </c>
      <c r="M934" t="s">
        <v>983</v>
      </c>
      <c r="N934" t="str">
        <f t="shared" si="98"/>
        <v>cinema</v>
      </c>
      <c r="O934" t="str">
        <f t="shared" si="99"/>
        <v>non-original</v>
      </c>
      <c r="P934" t="str">
        <f t="shared" si="100"/>
        <v>franchise</v>
      </c>
      <c r="Q934" t="str">
        <f t="shared" si="101"/>
        <v>old</v>
      </c>
      <c r="R934" s="2">
        <f t="shared" si="102"/>
        <v>0.10498748708162071</v>
      </c>
      <c r="S934">
        <f t="shared" si="103"/>
        <v>0.3016541353383459</v>
      </c>
      <c r="T934" t="str">
        <f t="shared" si="104"/>
        <v>Scenario 1: Strong Commitment</v>
      </c>
    </row>
    <row r="935" spans="1:20" x14ac:dyDescent="0.35">
      <c r="A935" t="s">
        <v>1197</v>
      </c>
      <c r="B935" s="1">
        <v>45010</v>
      </c>
      <c r="C935">
        <v>2023</v>
      </c>
      <c r="D935">
        <v>3</v>
      </c>
      <c r="E935" t="s">
        <v>38</v>
      </c>
      <c r="F935">
        <v>112</v>
      </c>
      <c r="G935" t="s">
        <v>1006</v>
      </c>
      <c r="H935" t="s">
        <v>27</v>
      </c>
      <c r="I935">
        <v>1</v>
      </c>
      <c r="J935">
        <v>0</v>
      </c>
      <c r="K935">
        <v>4.4000000000000004</v>
      </c>
      <c r="L935">
        <v>17981</v>
      </c>
      <c r="M935" t="s">
        <v>983</v>
      </c>
      <c r="N935" t="str">
        <f t="shared" si="98"/>
        <v>cinema</v>
      </c>
      <c r="O935" t="str">
        <f t="shared" si="99"/>
        <v>original</v>
      </c>
      <c r="P935" t="str">
        <f t="shared" si="100"/>
        <v>non-franchise</v>
      </c>
      <c r="Q935" t="str">
        <f t="shared" si="101"/>
        <v>old</v>
      </c>
      <c r="R935" s="2">
        <f t="shared" si="102"/>
        <v>1.1288139099220395E-2</v>
      </c>
      <c r="S935">
        <f t="shared" si="103"/>
        <v>0.25473684210526321</v>
      </c>
      <c r="T935" t="str">
        <f t="shared" si="104"/>
        <v>Scenario 2: Weak Commitment/Convenience</v>
      </c>
    </row>
    <row r="936" spans="1:20" x14ac:dyDescent="0.35">
      <c r="A936" t="s">
        <v>1198</v>
      </c>
      <c r="B936" s="1">
        <v>45015</v>
      </c>
      <c r="C936">
        <v>2023</v>
      </c>
      <c r="D936">
        <v>3</v>
      </c>
      <c r="E936" t="s">
        <v>38</v>
      </c>
      <c r="F936">
        <v>106</v>
      </c>
      <c r="G936" t="s">
        <v>1199</v>
      </c>
      <c r="H936" t="s">
        <v>27</v>
      </c>
      <c r="I936">
        <v>0</v>
      </c>
      <c r="J936">
        <v>0</v>
      </c>
      <c r="K936">
        <v>5.9</v>
      </c>
      <c r="L936">
        <v>2923</v>
      </c>
      <c r="M936" t="s">
        <v>989</v>
      </c>
      <c r="N936" t="str">
        <f t="shared" si="98"/>
        <v>cinema</v>
      </c>
      <c r="O936" t="str">
        <f t="shared" si="99"/>
        <v>non-original</v>
      </c>
      <c r="P936" t="str">
        <f t="shared" si="100"/>
        <v>non-franchise</v>
      </c>
      <c r="Q936" t="str">
        <f t="shared" si="101"/>
        <v>new</v>
      </c>
      <c r="R936" s="2">
        <f t="shared" si="102"/>
        <v>1.1578009731913609E-3</v>
      </c>
      <c r="S936">
        <f t="shared" si="103"/>
        <v>0.53233082706766921</v>
      </c>
      <c r="T936" t="str">
        <f t="shared" si="104"/>
        <v>Scenario 3: Strong Convenience</v>
      </c>
    </row>
    <row r="937" spans="1:20" x14ac:dyDescent="0.35">
      <c r="A937" t="s">
        <v>1200</v>
      </c>
      <c r="B937" s="1">
        <v>45063</v>
      </c>
      <c r="C937">
        <v>2023</v>
      </c>
      <c r="D937">
        <v>5</v>
      </c>
      <c r="E937" t="s">
        <v>38</v>
      </c>
      <c r="F937">
        <v>141</v>
      </c>
      <c r="G937" t="s">
        <v>1201</v>
      </c>
      <c r="H937" t="s">
        <v>27</v>
      </c>
      <c r="I937">
        <v>1</v>
      </c>
      <c r="J937">
        <v>1</v>
      </c>
      <c r="K937">
        <v>5.7</v>
      </c>
      <c r="L937">
        <v>144255</v>
      </c>
      <c r="M937" t="s">
        <v>983</v>
      </c>
      <c r="N937" t="str">
        <f t="shared" si="98"/>
        <v>cinema</v>
      </c>
      <c r="O937" t="str">
        <f t="shared" si="99"/>
        <v>original</v>
      </c>
      <c r="P937" t="str">
        <f t="shared" si="100"/>
        <v>franchise</v>
      </c>
      <c r="Q937" t="str">
        <f t="shared" si="101"/>
        <v>old</v>
      </c>
      <c r="R937" s="2">
        <f t="shared" si="102"/>
        <v>0.11400935179191297</v>
      </c>
      <c r="S937">
        <f t="shared" si="103"/>
        <v>0.2678571428571429</v>
      </c>
      <c r="T937" t="str">
        <f t="shared" si="104"/>
        <v>Scenario 1: Strong Commitment</v>
      </c>
    </row>
    <row r="938" spans="1:20" x14ac:dyDescent="0.35">
      <c r="A938" t="s">
        <v>1202</v>
      </c>
      <c r="B938" s="1">
        <v>45079</v>
      </c>
      <c r="C938">
        <v>2023</v>
      </c>
      <c r="D938">
        <v>6</v>
      </c>
      <c r="E938" t="s">
        <v>78</v>
      </c>
      <c r="F938">
        <v>105</v>
      </c>
      <c r="G938" t="s">
        <v>1024</v>
      </c>
      <c r="H938" t="s">
        <v>27</v>
      </c>
      <c r="I938">
        <v>1</v>
      </c>
      <c r="J938">
        <v>0</v>
      </c>
      <c r="K938">
        <v>7.8</v>
      </c>
      <c r="L938">
        <v>169635</v>
      </c>
      <c r="M938" t="s">
        <v>989</v>
      </c>
      <c r="N938" t="str">
        <f t="shared" si="98"/>
        <v>cinema</v>
      </c>
      <c r="O938" t="str">
        <f t="shared" si="99"/>
        <v>original</v>
      </c>
      <c r="P938" t="str">
        <f t="shared" si="100"/>
        <v>non-franchise</v>
      </c>
      <c r="Q938" t="str">
        <f t="shared" si="101"/>
        <v>old</v>
      </c>
      <c r="R938" s="2">
        <f t="shared" si="102"/>
        <v>9.9837857118082213E-2</v>
      </c>
      <c r="S938">
        <f t="shared" si="103"/>
        <v>0.47210526315789475</v>
      </c>
      <c r="T938" t="str">
        <f t="shared" si="104"/>
        <v>Scenario 1: Strong Commitment</v>
      </c>
    </row>
    <row r="939" spans="1:20" x14ac:dyDescent="0.35">
      <c r="A939" t="s">
        <v>1203</v>
      </c>
      <c r="B939" s="1">
        <v>45083</v>
      </c>
      <c r="C939">
        <v>2023</v>
      </c>
      <c r="D939">
        <v>6</v>
      </c>
      <c r="E939" t="s">
        <v>78</v>
      </c>
      <c r="F939">
        <v>127</v>
      </c>
      <c r="G939" t="s">
        <v>1133</v>
      </c>
      <c r="H939" t="s">
        <v>27</v>
      </c>
      <c r="I939">
        <v>0</v>
      </c>
      <c r="J939">
        <v>1</v>
      </c>
      <c r="K939">
        <v>6</v>
      </c>
      <c r="L939">
        <v>129903</v>
      </c>
      <c r="M939" t="s">
        <v>983</v>
      </c>
      <c r="N939" t="str">
        <f t="shared" si="98"/>
        <v>cinema</v>
      </c>
      <c r="O939" t="str">
        <f t="shared" si="99"/>
        <v>non-original</v>
      </c>
      <c r="P939" t="str">
        <f t="shared" si="100"/>
        <v>franchise</v>
      </c>
      <c r="Q939" t="str">
        <f t="shared" si="101"/>
        <v>old</v>
      </c>
      <c r="R939" s="2">
        <f t="shared" si="102"/>
        <v>9.2472668542273498E-2</v>
      </c>
      <c r="S939">
        <f t="shared" si="103"/>
        <v>0.31353383458646611</v>
      </c>
      <c r="T939" t="str">
        <f t="shared" si="104"/>
        <v>Scenario 1: Strong Commitment</v>
      </c>
    </row>
    <row r="940" spans="1:20" x14ac:dyDescent="0.35">
      <c r="A940" t="s">
        <v>1204</v>
      </c>
      <c r="B940" s="1">
        <v>45090</v>
      </c>
      <c r="C940">
        <v>2023</v>
      </c>
      <c r="D940">
        <v>6</v>
      </c>
      <c r="E940" t="s">
        <v>78</v>
      </c>
      <c r="F940">
        <v>144</v>
      </c>
      <c r="G940" t="s">
        <v>1004</v>
      </c>
      <c r="H940" t="s">
        <v>27</v>
      </c>
      <c r="I940">
        <v>0</v>
      </c>
      <c r="J940">
        <v>1</v>
      </c>
      <c r="K940">
        <v>6.6</v>
      </c>
      <c r="L940">
        <v>245595</v>
      </c>
      <c r="M940" t="s">
        <v>983</v>
      </c>
      <c r="N940" t="str">
        <f t="shared" si="98"/>
        <v>cinema</v>
      </c>
      <c r="O940" t="str">
        <f t="shared" si="99"/>
        <v>non-original</v>
      </c>
      <c r="P940" t="str">
        <f t="shared" si="100"/>
        <v>franchise</v>
      </c>
      <c r="Q940" t="str">
        <f t="shared" si="101"/>
        <v>old</v>
      </c>
      <c r="R940" s="2">
        <f t="shared" si="102"/>
        <v>0.19823142442941594</v>
      </c>
      <c r="S940">
        <f t="shared" si="103"/>
        <v>0.3027067669172932</v>
      </c>
      <c r="T940" t="str">
        <f t="shared" si="104"/>
        <v>Scenario 1: Strong Commitment</v>
      </c>
    </row>
    <row r="941" spans="1:20" x14ac:dyDescent="0.35">
      <c r="A941" t="s">
        <v>1205</v>
      </c>
      <c r="B941" s="1">
        <v>45105</v>
      </c>
      <c r="C941">
        <v>2023</v>
      </c>
      <c r="D941">
        <v>6</v>
      </c>
      <c r="E941" t="s">
        <v>78</v>
      </c>
      <c r="F941">
        <v>154</v>
      </c>
      <c r="G941" t="s">
        <v>1133</v>
      </c>
      <c r="H941" t="s">
        <v>27</v>
      </c>
      <c r="I941">
        <v>1</v>
      </c>
      <c r="J941">
        <v>1</v>
      </c>
      <c r="K941">
        <v>6.5</v>
      </c>
      <c r="L941">
        <v>230868</v>
      </c>
      <c r="M941" t="s">
        <v>983</v>
      </c>
      <c r="N941" t="str">
        <f t="shared" si="98"/>
        <v>cinema</v>
      </c>
      <c r="O941" t="str">
        <f t="shared" si="99"/>
        <v>original</v>
      </c>
      <c r="P941" t="str">
        <f t="shared" si="100"/>
        <v>franchise</v>
      </c>
      <c r="Q941" t="str">
        <f t="shared" si="101"/>
        <v>old</v>
      </c>
      <c r="R941" s="2">
        <f t="shared" si="102"/>
        <v>0.19928515567228572</v>
      </c>
      <c r="S941">
        <f t="shared" si="103"/>
        <v>0.27368421052631581</v>
      </c>
      <c r="T941" t="str">
        <f t="shared" si="104"/>
        <v>Scenario 1: Strong Commitment</v>
      </c>
    </row>
    <row r="942" spans="1:20" x14ac:dyDescent="0.35">
      <c r="A942" t="s">
        <v>1206</v>
      </c>
      <c r="B942" s="1">
        <v>45111</v>
      </c>
      <c r="C942">
        <v>2023</v>
      </c>
      <c r="D942">
        <v>7</v>
      </c>
      <c r="E942" t="s">
        <v>78</v>
      </c>
      <c r="F942">
        <v>131</v>
      </c>
      <c r="G942" t="s">
        <v>1207</v>
      </c>
      <c r="H942" t="s">
        <v>27</v>
      </c>
      <c r="I942">
        <v>0</v>
      </c>
      <c r="J942">
        <v>0</v>
      </c>
      <c r="K942">
        <v>7.6</v>
      </c>
      <c r="L942">
        <v>136199</v>
      </c>
      <c r="M942" t="s">
        <v>989</v>
      </c>
      <c r="N942" t="str">
        <f t="shared" si="98"/>
        <v>cinema</v>
      </c>
      <c r="O942" t="str">
        <f t="shared" si="99"/>
        <v>non-original</v>
      </c>
      <c r="P942" t="str">
        <f t="shared" si="100"/>
        <v>non-franchise</v>
      </c>
      <c r="Q942" t="str">
        <f t="shared" si="101"/>
        <v>new</v>
      </c>
      <c r="R942" s="2">
        <f t="shared" si="102"/>
        <v>6.6672147547903779E-2</v>
      </c>
      <c r="S942">
        <f t="shared" si="103"/>
        <v>0.57857142857142874</v>
      </c>
      <c r="T942" t="str">
        <f t="shared" si="104"/>
        <v>Scenario 4: Hybrid Logic</v>
      </c>
    </row>
    <row r="943" spans="1:20" x14ac:dyDescent="0.35">
      <c r="A943" t="s">
        <v>1208</v>
      </c>
      <c r="B943" s="1">
        <v>45112</v>
      </c>
      <c r="C943">
        <v>2023</v>
      </c>
      <c r="D943">
        <v>7</v>
      </c>
      <c r="E943" t="s">
        <v>78</v>
      </c>
      <c r="F943">
        <v>107</v>
      </c>
      <c r="G943" t="s">
        <v>1209</v>
      </c>
      <c r="H943" t="s">
        <v>27</v>
      </c>
      <c r="I943">
        <v>1</v>
      </c>
      <c r="J943">
        <v>1</v>
      </c>
      <c r="K943">
        <v>5.5</v>
      </c>
      <c r="L943">
        <v>62925</v>
      </c>
      <c r="M943" t="s">
        <v>989</v>
      </c>
      <c r="N943" t="str">
        <f t="shared" si="98"/>
        <v>cinema</v>
      </c>
      <c r="O943" t="str">
        <f t="shared" si="99"/>
        <v>original</v>
      </c>
      <c r="P943" t="str">
        <f t="shared" si="100"/>
        <v>franchise</v>
      </c>
      <c r="Q943" t="str">
        <f t="shared" si="101"/>
        <v>old</v>
      </c>
      <c r="R943" s="2">
        <f t="shared" si="102"/>
        <v>3.773961719095028E-2</v>
      </c>
      <c r="S943">
        <f t="shared" si="103"/>
        <v>0.32875939849624064</v>
      </c>
      <c r="T943" t="str">
        <f t="shared" si="104"/>
        <v>Scenario 1: Strong Commitment</v>
      </c>
    </row>
    <row r="944" spans="1:20" x14ac:dyDescent="0.35">
      <c r="A944" t="s">
        <v>1210</v>
      </c>
      <c r="B944" s="1">
        <v>45126</v>
      </c>
      <c r="C944">
        <v>2023</v>
      </c>
      <c r="D944">
        <v>7</v>
      </c>
      <c r="E944" t="s">
        <v>78</v>
      </c>
      <c r="F944">
        <v>114</v>
      </c>
      <c r="G944" t="s">
        <v>1147</v>
      </c>
      <c r="H944" t="s">
        <v>27</v>
      </c>
      <c r="I944">
        <v>0</v>
      </c>
      <c r="J944">
        <v>1</v>
      </c>
      <c r="K944">
        <v>6.8</v>
      </c>
      <c r="L944">
        <v>661362</v>
      </c>
      <c r="M944" t="s">
        <v>989</v>
      </c>
      <c r="N944" t="str">
        <f t="shared" si="98"/>
        <v>cinema</v>
      </c>
      <c r="O944" t="str">
        <f t="shared" si="99"/>
        <v>non-original</v>
      </c>
      <c r="P944" t="str">
        <f t="shared" si="100"/>
        <v>franchise</v>
      </c>
      <c r="Q944" t="str">
        <f t="shared" si="101"/>
        <v>old</v>
      </c>
      <c r="R944" s="2">
        <f t="shared" si="102"/>
        <v>0.42260494838152585</v>
      </c>
      <c r="S944">
        <f t="shared" si="103"/>
        <v>0.38857142857142851</v>
      </c>
      <c r="T944" t="str">
        <f t="shared" si="104"/>
        <v>Scenario 1: Strong Commitment</v>
      </c>
    </row>
    <row r="945" spans="1:20" x14ac:dyDescent="0.35">
      <c r="A945" t="s">
        <v>1211</v>
      </c>
      <c r="B945" s="1">
        <v>45133</v>
      </c>
      <c r="C945">
        <v>2023</v>
      </c>
      <c r="D945">
        <v>7</v>
      </c>
      <c r="E945" t="s">
        <v>78</v>
      </c>
      <c r="F945">
        <v>123</v>
      </c>
      <c r="G945" t="s">
        <v>1027</v>
      </c>
      <c r="H945" t="s">
        <v>27</v>
      </c>
      <c r="I945">
        <v>0</v>
      </c>
      <c r="J945">
        <v>0</v>
      </c>
      <c r="K945">
        <v>6</v>
      </c>
      <c r="L945">
        <v>49850</v>
      </c>
      <c r="M945" t="s">
        <v>983</v>
      </c>
      <c r="N945" t="str">
        <f t="shared" si="98"/>
        <v>cinema</v>
      </c>
      <c r="O945" t="str">
        <f t="shared" si="99"/>
        <v>non-original</v>
      </c>
      <c r="P945" t="str">
        <f t="shared" si="100"/>
        <v>non-franchise</v>
      </c>
      <c r="Q945" t="str">
        <f t="shared" si="101"/>
        <v>new</v>
      </c>
      <c r="R945" s="2">
        <f t="shared" si="102"/>
        <v>2.2912343086295063E-2</v>
      </c>
      <c r="S945">
        <f t="shared" si="103"/>
        <v>0.4838345864661654</v>
      </c>
      <c r="T945" t="str">
        <f t="shared" si="104"/>
        <v>Scenario 2: Weak Commitment/Convenience</v>
      </c>
    </row>
    <row r="946" spans="1:20" x14ac:dyDescent="0.35">
      <c r="A946" t="s">
        <v>1212</v>
      </c>
      <c r="B946" s="1">
        <v>45136</v>
      </c>
      <c r="C946">
        <v>2023</v>
      </c>
      <c r="D946">
        <v>7</v>
      </c>
      <c r="E946" t="s">
        <v>78</v>
      </c>
      <c r="F946">
        <v>116</v>
      </c>
      <c r="G946" t="s">
        <v>1130</v>
      </c>
      <c r="H946" t="s">
        <v>27</v>
      </c>
      <c r="I946">
        <v>1</v>
      </c>
      <c r="J946">
        <v>1</v>
      </c>
      <c r="K946">
        <v>5</v>
      </c>
      <c r="L946">
        <v>100675</v>
      </c>
      <c r="M946" t="s">
        <v>989</v>
      </c>
      <c r="N946" t="str">
        <f t="shared" si="98"/>
        <v>cinema</v>
      </c>
      <c r="O946" t="str">
        <f t="shared" si="99"/>
        <v>original</v>
      </c>
      <c r="P946" t="str">
        <f t="shared" si="100"/>
        <v>franchise</v>
      </c>
      <c r="Q946" t="str">
        <f t="shared" si="101"/>
        <v>old</v>
      </c>
      <c r="R946" s="2">
        <f t="shared" si="102"/>
        <v>6.5459113013352152E-2</v>
      </c>
      <c r="S946">
        <f t="shared" si="103"/>
        <v>0.28195488721804512</v>
      </c>
      <c r="T946" t="str">
        <f t="shared" si="104"/>
        <v>Scenario 1: Strong Commitment</v>
      </c>
    </row>
    <row r="947" spans="1:20" x14ac:dyDescent="0.35">
      <c r="A947" t="s">
        <v>1213</v>
      </c>
      <c r="B947" s="1">
        <v>45154</v>
      </c>
      <c r="C947">
        <v>2023</v>
      </c>
      <c r="D947">
        <v>8</v>
      </c>
      <c r="E947" t="s">
        <v>78</v>
      </c>
      <c r="F947">
        <v>127</v>
      </c>
      <c r="G947" t="s">
        <v>1133</v>
      </c>
      <c r="H947" t="s">
        <v>27</v>
      </c>
      <c r="I947">
        <v>0</v>
      </c>
      <c r="J947">
        <v>1</v>
      </c>
      <c r="K947">
        <v>5.9</v>
      </c>
      <c r="L947">
        <v>115510</v>
      </c>
      <c r="M947" t="s">
        <v>983</v>
      </c>
      <c r="N947" t="str">
        <f t="shared" si="98"/>
        <v>cinema</v>
      </c>
      <c r="O947" t="str">
        <f t="shared" si="99"/>
        <v>non-original</v>
      </c>
      <c r="P947" t="str">
        <f t="shared" si="100"/>
        <v>franchise</v>
      </c>
      <c r="Q947" t="str">
        <f t="shared" si="101"/>
        <v>old</v>
      </c>
      <c r="R947" s="2">
        <f t="shared" si="102"/>
        <v>8.2226876541096144E-2</v>
      </c>
      <c r="S947">
        <f t="shared" si="103"/>
        <v>0.30830827067669175</v>
      </c>
      <c r="T947" t="str">
        <f t="shared" si="104"/>
        <v>Scenario 1: Strong Commitment</v>
      </c>
    </row>
    <row r="948" spans="1:20" x14ac:dyDescent="0.35">
      <c r="A948" t="s">
        <v>1214</v>
      </c>
      <c r="B948" s="1">
        <v>45196</v>
      </c>
      <c r="C948">
        <v>2023</v>
      </c>
      <c r="D948">
        <v>9</v>
      </c>
      <c r="E948" t="s">
        <v>125</v>
      </c>
      <c r="F948">
        <v>133</v>
      </c>
      <c r="G948" t="s">
        <v>1006</v>
      </c>
      <c r="H948" t="s">
        <v>27</v>
      </c>
      <c r="I948">
        <v>1</v>
      </c>
      <c r="J948">
        <v>0</v>
      </c>
      <c r="K948">
        <v>6.7</v>
      </c>
      <c r="L948">
        <v>194589</v>
      </c>
      <c r="M948" t="s">
        <v>983</v>
      </c>
      <c r="N948" t="str">
        <f t="shared" si="98"/>
        <v>cinema</v>
      </c>
      <c r="O948" t="str">
        <f t="shared" si="99"/>
        <v>original</v>
      </c>
      <c r="P948" t="str">
        <f t="shared" si="100"/>
        <v>non-franchise</v>
      </c>
      <c r="Q948" t="str">
        <f t="shared" si="101"/>
        <v>old</v>
      </c>
      <c r="R948" s="2">
        <f t="shared" si="102"/>
        <v>0.14506425631355929</v>
      </c>
      <c r="S948">
        <f t="shared" si="103"/>
        <v>0.33500000000000002</v>
      </c>
      <c r="T948" t="str">
        <f t="shared" si="104"/>
        <v>Scenario 1: Strong Commitment</v>
      </c>
    </row>
    <row r="949" spans="1:20" x14ac:dyDescent="0.35">
      <c r="A949" t="s">
        <v>1215</v>
      </c>
      <c r="B949" s="1">
        <v>45238</v>
      </c>
      <c r="C949">
        <v>2023</v>
      </c>
      <c r="D949">
        <v>11</v>
      </c>
      <c r="E949" t="s">
        <v>125</v>
      </c>
      <c r="F949">
        <v>105</v>
      </c>
      <c r="G949" t="s">
        <v>1133</v>
      </c>
      <c r="H949" t="s">
        <v>27</v>
      </c>
      <c r="I949">
        <v>0</v>
      </c>
      <c r="J949">
        <v>1</v>
      </c>
      <c r="K949">
        <v>5.5</v>
      </c>
      <c r="L949">
        <v>161847</v>
      </c>
      <c r="M949" t="s">
        <v>983</v>
      </c>
      <c r="N949" t="str">
        <f t="shared" si="98"/>
        <v>cinema</v>
      </c>
      <c r="O949" t="str">
        <f t="shared" si="99"/>
        <v>non-original</v>
      </c>
      <c r="P949" t="str">
        <f t="shared" si="100"/>
        <v>franchise</v>
      </c>
      <c r="Q949" t="str">
        <f t="shared" si="101"/>
        <v>old</v>
      </c>
      <c r="R949" s="2">
        <f t="shared" si="102"/>
        <v>9.525426746243551E-2</v>
      </c>
      <c r="S949">
        <f t="shared" si="103"/>
        <v>0.3328947368421053</v>
      </c>
      <c r="T949" t="str">
        <f t="shared" si="104"/>
        <v>Scenario 1: Strong Commitment</v>
      </c>
    </row>
    <row r="950" spans="1:20" x14ac:dyDescent="0.35">
      <c r="A950" t="s">
        <v>1216</v>
      </c>
      <c r="B950" s="1">
        <v>45245</v>
      </c>
      <c r="C950">
        <v>2023</v>
      </c>
      <c r="D950">
        <v>11</v>
      </c>
      <c r="E950" t="s">
        <v>125</v>
      </c>
      <c r="F950">
        <v>157</v>
      </c>
      <c r="G950" t="s">
        <v>1006</v>
      </c>
      <c r="H950" t="s">
        <v>27</v>
      </c>
      <c r="I950">
        <v>0</v>
      </c>
      <c r="J950">
        <v>1</v>
      </c>
      <c r="K950">
        <v>6.6</v>
      </c>
      <c r="L950">
        <v>179569</v>
      </c>
      <c r="M950" t="s">
        <v>989</v>
      </c>
      <c r="N950" t="str">
        <f t="shared" si="98"/>
        <v>cinema</v>
      </c>
      <c r="O950" t="str">
        <f t="shared" si="99"/>
        <v>non-original</v>
      </c>
      <c r="P950" t="str">
        <f t="shared" si="100"/>
        <v>franchise</v>
      </c>
      <c r="Q950" t="str">
        <f t="shared" si="101"/>
        <v>old</v>
      </c>
      <c r="R950" s="2">
        <f t="shared" si="102"/>
        <v>0.15802343765420118</v>
      </c>
      <c r="S950">
        <f t="shared" si="103"/>
        <v>0.27045112781954883</v>
      </c>
      <c r="T950" t="str">
        <f t="shared" si="104"/>
        <v>Scenario 1: Strong Commitment</v>
      </c>
    </row>
    <row r="951" spans="1:20" x14ac:dyDescent="0.35">
      <c r="A951" t="s">
        <v>1217</v>
      </c>
      <c r="B951" s="1">
        <v>45246</v>
      </c>
      <c r="C951">
        <v>2023</v>
      </c>
      <c r="D951">
        <v>11</v>
      </c>
      <c r="E951" t="s">
        <v>125</v>
      </c>
      <c r="F951">
        <v>104</v>
      </c>
      <c r="G951" t="s">
        <v>1190</v>
      </c>
      <c r="H951" t="s">
        <v>27</v>
      </c>
      <c r="I951">
        <v>0</v>
      </c>
      <c r="J951">
        <v>0</v>
      </c>
      <c r="K951">
        <v>6.5</v>
      </c>
      <c r="L951">
        <v>30914</v>
      </c>
      <c r="M951" t="s">
        <v>983</v>
      </c>
      <c r="N951" t="str">
        <f t="shared" si="98"/>
        <v>cinema</v>
      </c>
      <c r="O951" t="str">
        <f t="shared" si="99"/>
        <v>non-original</v>
      </c>
      <c r="P951" t="str">
        <f t="shared" si="100"/>
        <v>non-franchise</v>
      </c>
      <c r="Q951" t="str">
        <f t="shared" si="101"/>
        <v>new</v>
      </c>
      <c r="R951" s="2">
        <f t="shared" si="102"/>
        <v>1.2014003981644357E-2</v>
      </c>
      <c r="S951">
        <f t="shared" si="103"/>
        <v>0.5937969924812031</v>
      </c>
      <c r="T951" t="str">
        <f t="shared" si="104"/>
        <v>Scenario 3: Strong Convenience</v>
      </c>
    </row>
    <row r="952" spans="1:20" x14ac:dyDescent="0.35">
      <c r="A952" t="s">
        <v>1218</v>
      </c>
      <c r="B952" s="1">
        <v>45260</v>
      </c>
      <c r="C952">
        <v>2023</v>
      </c>
      <c r="D952">
        <v>11</v>
      </c>
      <c r="E952" t="s">
        <v>125</v>
      </c>
      <c r="F952">
        <v>266</v>
      </c>
      <c r="G952" t="s">
        <v>1219</v>
      </c>
      <c r="H952" t="s">
        <v>27</v>
      </c>
      <c r="I952">
        <v>0</v>
      </c>
      <c r="J952">
        <v>0</v>
      </c>
      <c r="K952">
        <v>6.6</v>
      </c>
      <c r="L952">
        <v>1042</v>
      </c>
      <c r="M952" t="s">
        <v>983</v>
      </c>
      <c r="N952" t="str">
        <f t="shared" si="98"/>
        <v>cinema</v>
      </c>
      <c r="O952" t="str">
        <f t="shared" si="99"/>
        <v>non-original</v>
      </c>
      <c r="P952" t="str">
        <f t="shared" si="100"/>
        <v>non-franchise</v>
      </c>
      <c r="Q952" t="str">
        <f t="shared" si="101"/>
        <v>new</v>
      </c>
      <c r="R952" s="2">
        <f t="shared" si="102"/>
        <v>1.0357348399531235E-3</v>
      </c>
      <c r="S952">
        <f t="shared" si="103"/>
        <v>0</v>
      </c>
      <c r="T952" t="str">
        <f t="shared" si="104"/>
        <v>Scenario 2: Weak Commitment/Convenience</v>
      </c>
    </row>
    <row r="953" spans="1:20" x14ac:dyDescent="0.35">
      <c r="A953" t="s">
        <v>1220</v>
      </c>
      <c r="B953" s="1">
        <v>45280</v>
      </c>
      <c r="C953">
        <v>2023</v>
      </c>
      <c r="D953">
        <v>12</v>
      </c>
      <c r="E953" t="s">
        <v>14</v>
      </c>
      <c r="F953">
        <v>124</v>
      </c>
      <c r="G953" t="s">
        <v>1004</v>
      </c>
      <c r="H953" t="s">
        <v>27</v>
      </c>
      <c r="I953">
        <v>0</v>
      </c>
      <c r="J953">
        <v>1</v>
      </c>
      <c r="K953">
        <v>5.6</v>
      </c>
      <c r="L953">
        <v>116349</v>
      </c>
      <c r="M953" t="s">
        <v>983</v>
      </c>
      <c r="N953" t="str">
        <f t="shared" si="98"/>
        <v>cinema</v>
      </c>
      <c r="O953" t="str">
        <f t="shared" si="99"/>
        <v>non-original</v>
      </c>
      <c r="P953" t="str">
        <f t="shared" si="100"/>
        <v>franchise</v>
      </c>
      <c r="Q953" t="str">
        <f t="shared" si="101"/>
        <v>old</v>
      </c>
      <c r="R953" s="2">
        <f t="shared" si="102"/>
        <v>8.0867651127203719E-2</v>
      </c>
      <c r="S953">
        <f t="shared" si="103"/>
        <v>0.29894736842105263</v>
      </c>
      <c r="T953" t="str">
        <f t="shared" si="104"/>
        <v>Scenario 1: Strong Commitment</v>
      </c>
    </row>
    <row r="954" spans="1:20" x14ac:dyDescent="0.35">
      <c r="A954" t="s">
        <v>1221</v>
      </c>
      <c r="B954" s="1">
        <v>45301</v>
      </c>
      <c r="C954">
        <v>2024</v>
      </c>
      <c r="D954">
        <v>1</v>
      </c>
      <c r="E954" t="s">
        <v>14</v>
      </c>
      <c r="F954">
        <v>112</v>
      </c>
      <c r="G954" t="s">
        <v>1002</v>
      </c>
      <c r="H954" t="s">
        <v>27</v>
      </c>
      <c r="I954">
        <v>0</v>
      </c>
      <c r="J954">
        <v>0</v>
      </c>
      <c r="K954">
        <v>5.5</v>
      </c>
      <c r="L954">
        <v>40654</v>
      </c>
      <c r="M954" t="s">
        <v>989</v>
      </c>
      <c r="N954" t="str">
        <f t="shared" si="98"/>
        <v>cinema</v>
      </c>
      <c r="O954" t="str">
        <f t="shared" si="99"/>
        <v>non-original</v>
      </c>
      <c r="P954" t="str">
        <f t="shared" si="100"/>
        <v>non-franchise</v>
      </c>
      <c r="Q954" t="str">
        <f t="shared" si="101"/>
        <v>new</v>
      </c>
      <c r="R954" s="2">
        <f t="shared" si="102"/>
        <v>1.7014552655199227E-2</v>
      </c>
      <c r="S954">
        <f t="shared" si="103"/>
        <v>0.47763157894736846</v>
      </c>
      <c r="T954" t="str">
        <f t="shared" si="104"/>
        <v>Scenario 2: Weak Commitment/Convenience</v>
      </c>
    </row>
    <row r="955" spans="1:20" x14ac:dyDescent="0.35">
      <c r="A955" t="s">
        <v>1222</v>
      </c>
      <c r="B955" s="1">
        <v>45322</v>
      </c>
      <c r="C955">
        <v>2024</v>
      </c>
      <c r="D955">
        <v>1</v>
      </c>
      <c r="E955" t="s">
        <v>14</v>
      </c>
      <c r="F955">
        <v>139</v>
      </c>
      <c r="G955" t="s">
        <v>1143</v>
      </c>
      <c r="H955" t="s">
        <v>27</v>
      </c>
      <c r="I955">
        <v>1</v>
      </c>
      <c r="J955">
        <v>0</v>
      </c>
      <c r="K955">
        <v>5.6</v>
      </c>
      <c r="L955">
        <v>98987</v>
      </c>
      <c r="M955" t="s">
        <v>983</v>
      </c>
      <c r="N955" t="str">
        <f t="shared" si="98"/>
        <v>cinema</v>
      </c>
      <c r="O955" t="str">
        <f t="shared" si="99"/>
        <v>original</v>
      </c>
      <c r="P955" t="str">
        <f t="shared" si="100"/>
        <v>non-franchise</v>
      </c>
      <c r="Q955" t="str">
        <f t="shared" si="101"/>
        <v>old</v>
      </c>
      <c r="R955" s="2">
        <f t="shared" si="102"/>
        <v>7.7122917681471101E-2</v>
      </c>
      <c r="S955">
        <f t="shared" si="103"/>
        <v>0.26736842105263153</v>
      </c>
      <c r="T955" t="str">
        <f t="shared" si="104"/>
        <v>Scenario 1: Strong Commitment</v>
      </c>
    </row>
    <row r="956" spans="1:20" x14ac:dyDescent="0.35">
      <c r="A956" t="s">
        <v>1223</v>
      </c>
      <c r="B956" s="1">
        <v>45336</v>
      </c>
      <c r="C956">
        <v>2024</v>
      </c>
      <c r="D956">
        <v>2</v>
      </c>
      <c r="E956" t="s">
        <v>14</v>
      </c>
      <c r="F956">
        <v>116</v>
      </c>
      <c r="G956" t="s">
        <v>1155</v>
      </c>
      <c r="H956" t="s">
        <v>27</v>
      </c>
      <c r="I956">
        <v>0</v>
      </c>
      <c r="J956">
        <v>1</v>
      </c>
      <c r="K956">
        <v>4.0999999999999996</v>
      </c>
      <c r="L956">
        <v>113277</v>
      </c>
      <c r="M956" t="s">
        <v>983</v>
      </c>
      <c r="N956" t="str">
        <f t="shared" si="98"/>
        <v>cinema</v>
      </c>
      <c r="O956" t="str">
        <f t="shared" si="99"/>
        <v>non-original</v>
      </c>
      <c r="P956" t="str">
        <f t="shared" si="100"/>
        <v>franchise</v>
      </c>
      <c r="Q956" t="str">
        <f t="shared" si="101"/>
        <v>old</v>
      </c>
      <c r="R956" s="2">
        <f t="shared" si="102"/>
        <v>7.3652961954939075E-2</v>
      </c>
      <c r="S956">
        <f t="shared" si="103"/>
        <v>0.23120300751879699</v>
      </c>
      <c r="T956" t="str">
        <f t="shared" si="104"/>
        <v>Scenario 1: Strong Commitment</v>
      </c>
    </row>
    <row r="957" spans="1:20" x14ac:dyDescent="0.35">
      <c r="A957" t="s">
        <v>1224</v>
      </c>
      <c r="B957" s="1">
        <v>45350</v>
      </c>
      <c r="C957">
        <v>2024</v>
      </c>
      <c r="D957">
        <v>2</v>
      </c>
      <c r="E957" t="s">
        <v>14</v>
      </c>
      <c r="F957">
        <v>166</v>
      </c>
      <c r="G957" t="s">
        <v>1006</v>
      </c>
      <c r="H957" t="s">
        <v>27</v>
      </c>
      <c r="I957">
        <v>0</v>
      </c>
      <c r="J957">
        <v>1</v>
      </c>
      <c r="K957">
        <v>8.4</v>
      </c>
      <c r="L957">
        <v>719990</v>
      </c>
      <c r="M957" t="s">
        <v>989</v>
      </c>
      <c r="N957" t="str">
        <f t="shared" si="98"/>
        <v>cinema</v>
      </c>
      <c r="O957" t="str">
        <f t="shared" si="99"/>
        <v>non-original</v>
      </c>
      <c r="P957" t="str">
        <f t="shared" si="100"/>
        <v>franchise</v>
      </c>
      <c r="Q957" t="str">
        <f t="shared" si="101"/>
        <v>old</v>
      </c>
      <c r="R957" s="2">
        <f t="shared" si="102"/>
        <v>0.66992323585010216</v>
      </c>
      <c r="S957">
        <f t="shared" si="103"/>
        <v>0.31578947368421056</v>
      </c>
      <c r="T957" t="str">
        <f t="shared" si="104"/>
        <v>Scenario 1: Strong Commitment</v>
      </c>
    </row>
    <row r="958" spans="1:20" x14ac:dyDescent="0.35">
      <c r="A958" t="s">
        <v>1225</v>
      </c>
      <c r="B958" s="1">
        <v>45352</v>
      </c>
      <c r="C958">
        <v>2024</v>
      </c>
      <c r="D958">
        <v>3</v>
      </c>
      <c r="E958" t="s">
        <v>38</v>
      </c>
      <c r="F958">
        <v>126</v>
      </c>
      <c r="G958" t="s">
        <v>995</v>
      </c>
      <c r="H958" t="s">
        <v>27</v>
      </c>
      <c r="I958">
        <v>0</v>
      </c>
      <c r="J958">
        <v>0</v>
      </c>
      <c r="K958">
        <v>6.8</v>
      </c>
      <c r="L958">
        <v>253149</v>
      </c>
      <c r="M958" t="s">
        <v>983</v>
      </c>
      <c r="N958" t="str">
        <f t="shared" si="98"/>
        <v>cinema</v>
      </c>
      <c r="O958" t="str">
        <f t="shared" si="99"/>
        <v>non-original</v>
      </c>
      <c r="P958" t="str">
        <f t="shared" si="100"/>
        <v>non-franchise</v>
      </c>
      <c r="Q958" t="str">
        <f t="shared" si="101"/>
        <v>new</v>
      </c>
      <c r="R958" s="2">
        <f t="shared" si="102"/>
        <v>0.11919169365560356</v>
      </c>
      <c r="S958">
        <f t="shared" si="103"/>
        <v>0.53684210526315801</v>
      </c>
      <c r="T958" t="str">
        <f t="shared" si="104"/>
        <v>Scenario 4: Hybrid Logic</v>
      </c>
    </row>
    <row r="959" spans="1:20" x14ac:dyDescent="0.35">
      <c r="A959" t="s">
        <v>1226</v>
      </c>
      <c r="B959" s="1">
        <v>45357</v>
      </c>
      <c r="C959">
        <v>2024</v>
      </c>
      <c r="D959">
        <v>3</v>
      </c>
      <c r="E959" t="s">
        <v>38</v>
      </c>
      <c r="F959">
        <v>104</v>
      </c>
      <c r="G959" t="s">
        <v>1209</v>
      </c>
      <c r="H959" t="s">
        <v>27</v>
      </c>
      <c r="I959">
        <v>1</v>
      </c>
      <c r="J959">
        <v>0</v>
      </c>
      <c r="K959">
        <v>4.8</v>
      </c>
      <c r="L959">
        <v>19398</v>
      </c>
      <c r="M959" t="s">
        <v>989</v>
      </c>
      <c r="N959" t="str">
        <f t="shared" si="98"/>
        <v>cinema</v>
      </c>
      <c r="O959" t="str">
        <f t="shared" si="99"/>
        <v>original</v>
      </c>
      <c r="P959" t="str">
        <f t="shared" si="100"/>
        <v>non-franchise</v>
      </c>
      <c r="Q959" t="str">
        <f t="shared" si="101"/>
        <v>old</v>
      </c>
      <c r="R959" s="2">
        <f t="shared" si="102"/>
        <v>1.13078693748433E-2</v>
      </c>
      <c r="S959">
        <f t="shared" si="103"/>
        <v>0.29233082706766916</v>
      </c>
      <c r="T959" t="str">
        <f t="shared" si="104"/>
        <v>Scenario 2: Weak Commitment/Convenience</v>
      </c>
    </row>
    <row r="960" spans="1:20" x14ac:dyDescent="0.35">
      <c r="A960" t="s">
        <v>1227</v>
      </c>
      <c r="B960" s="1">
        <v>45358</v>
      </c>
      <c r="C960">
        <v>2024</v>
      </c>
      <c r="D960">
        <v>3</v>
      </c>
      <c r="E960" t="s">
        <v>38</v>
      </c>
      <c r="F960">
        <v>142</v>
      </c>
      <c r="G960" t="s">
        <v>1000</v>
      </c>
      <c r="H960" t="s">
        <v>27</v>
      </c>
      <c r="I960">
        <v>0</v>
      </c>
      <c r="J960">
        <v>0</v>
      </c>
      <c r="K960">
        <v>7.3</v>
      </c>
      <c r="L960">
        <v>9874</v>
      </c>
      <c r="M960" t="s">
        <v>983</v>
      </c>
      <c r="N960" t="str">
        <f t="shared" si="98"/>
        <v>cinema</v>
      </c>
      <c r="O960" t="str">
        <f t="shared" si="99"/>
        <v>non-original</v>
      </c>
      <c r="P960" t="str">
        <f t="shared" si="100"/>
        <v>non-franchise</v>
      </c>
      <c r="Q960" t="str">
        <f t="shared" si="101"/>
        <v>new</v>
      </c>
      <c r="R960" s="2">
        <f t="shared" si="102"/>
        <v>5.2393896388415644E-3</v>
      </c>
      <c r="S960">
        <f t="shared" si="103"/>
        <v>0.51045112781954882</v>
      </c>
      <c r="T960" t="str">
        <f t="shared" si="104"/>
        <v>Scenario 3: Strong Convenience</v>
      </c>
    </row>
    <row r="961" spans="1:20" x14ac:dyDescent="0.35">
      <c r="A961" t="s">
        <v>1228</v>
      </c>
      <c r="B961" s="1">
        <v>45366</v>
      </c>
      <c r="C961">
        <v>2024</v>
      </c>
      <c r="D961">
        <v>3</v>
      </c>
      <c r="E961" t="s">
        <v>38</v>
      </c>
      <c r="F961">
        <v>107</v>
      </c>
      <c r="G961" t="s">
        <v>1229</v>
      </c>
      <c r="H961" t="s">
        <v>27</v>
      </c>
      <c r="I961">
        <v>0</v>
      </c>
      <c r="J961">
        <v>0</v>
      </c>
      <c r="K961">
        <v>7</v>
      </c>
      <c r="L961">
        <v>38295</v>
      </c>
      <c r="M961" t="s">
        <v>983</v>
      </c>
      <c r="N961" t="str">
        <f t="shared" si="98"/>
        <v>cinema</v>
      </c>
      <c r="O961" t="str">
        <f t="shared" si="99"/>
        <v>non-original</v>
      </c>
      <c r="P961" t="str">
        <f t="shared" si="100"/>
        <v>non-franchise</v>
      </c>
      <c r="Q961" t="str">
        <f t="shared" si="101"/>
        <v>new</v>
      </c>
      <c r="R961" s="2">
        <f t="shared" si="102"/>
        <v>1.5311758869844431E-2</v>
      </c>
      <c r="S961">
        <f t="shared" si="103"/>
        <v>0.62763157894736832</v>
      </c>
      <c r="T961" t="str">
        <f t="shared" si="104"/>
        <v>Scenario 3: Strong Convenience</v>
      </c>
    </row>
    <row r="962" spans="1:20" x14ac:dyDescent="0.35">
      <c r="A962" t="s">
        <v>1230</v>
      </c>
      <c r="B962" s="1">
        <v>45371</v>
      </c>
      <c r="C962">
        <v>2024</v>
      </c>
      <c r="D962">
        <v>3</v>
      </c>
      <c r="E962" t="s">
        <v>38</v>
      </c>
      <c r="F962">
        <v>115</v>
      </c>
      <c r="G962" t="s">
        <v>1147</v>
      </c>
      <c r="H962" t="s">
        <v>27</v>
      </c>
      <c r="I962">
        <v>1</v>
      </c>
      <c r="J962">
        <v>1</v>
      </c>
      <c r="K962">
        <v>6.1</v>
      </c>
      <c r="L962">
        <v>104366</v>
      </c>
      <c r="M962" t="s">
        <v>983</v>
      </c>
      <c r="N962" t="str">
        <f t="shared" si="98"/>
        <v>cinema</v>
      </c>
      <c r="O962" t="str">
        <f t="shared" si="99"/>
        <v>original</v>
      </c>
      <c r="P962" t="str">
        <f t="shared" si="100"/>
        <v>franchise</v>
      </c>
      <c r="Q962" t="str">
        <f t="shared" si="101"/>
        <v>old</v>
      </c>
      <c r="R962" s="2">
        <f t="shared" si="102"/>
        <v>6.7274018111062719E-2</v>
      </c>
      <c r="S962">
        <f t="shared" si="103"/>
        <v>0.34627819548872185</v>
      </c>
      <c r="T962" t="str">
        <f t="shared" si="104"/>
        <v>Scenario 1: Strong Commitment</v>
      </c>
    </row>
    <row r="963" spans="1:20" x14ac:dyDescent="0.35">
      <c r="A963" t="s">
        <v>1231</v>
      </c>
      <c r="B963" s="1">
        <v>45378</v>
      </c>
      <c r="C963">
        <v>2024</v>
      </c>
      <c r="D963">
        <v>3</v>
      </c>
      <c r="E963" t="s">
        <v>38</v>
      </c>
      <c r="F963">
        <v>115</v>
      </c>
      <c r="G963" t="s">
        <v>1004</v>
      </c>
      <c r="H963" t="s">
        <v>27</v>
      </c>
      <c r="I963">
        <v>1</v>
      </c>
      <c r="J963">
        <v>1</v>
      </c>
      <c r="K963">
        <v>6</v>
      </c>
      <c r="L963">
        <v>132984</v>
      </c>
      <c r="M963" t="s">
        <v>989</v>
      </c>
      <c r="N963" t="str">
        <f t="shared" ref="N963:N1026" si="105">IF(ISNUMBER(SEARCH("Streaming", M963)), "streaming", "cinema")</f>
        <v>cinema</v>
      </c>
      <c r="O963" t="str">
        <f t="shared" ref="O963:O1026" si="106">IF(I963=1, "original", "non-original")</f>
        <v>original</v>
      </c>
      <c r="P963" t="str">
        <f t="shared" ref="P963:P1026" si="107">IF(J963 = 1, "franchise", "non-franchise")</f>
        <v>franchise</v>
      </c>
      <c r="Q963" t="str">
        <f t="shared" ref="Q963:Q1026" si="108">IF(OR(I963 = 1,J963 =1), "old", "new")</f>
        <v>old</v>
      </c>
      <c r="R963" s="2">
        <f t="shared" ref="R963:R1026" si="109">IF(Q963="old", 1.5, 1) * (L963 / MAX($L$2:$L$1000)) * (F963 / MAX($F$2:$F$1000))</f>
        <v>8.5721097143529157E-2</v>
      </c>
      <c r="S963">
        <f t="shared" ref="S963:S1026" si="110">IF(Q963="new", 1.5, 1) * (K963 / 10) * (1 - (F963 / MAX($F$2:$F$1000)))</f>
        <v>0.34060150375939852</v>
      </c>
      <c r="T963" t="str">
        <f t="shared" ref="T963:T1026" si="111">IF(AND(R963&gt;=0.03, S963&gt;=0.5), "Scenario 4: Hybrid Logic",
 IF(AND(R963&gt;=0.03, S963&lt;0.5), "Scenario 1: Strong Commitment",
  IF(AND(R963&lt;0.03, S963&gt;=0.5), "Scenario 3: Strong Convenience",
   "Scenario 2: Weak Commitment/Convenience")))</f>
        <v>Scenario 1: Strong Commitment</v>
      </c>
    </row>
    <row r="964" spans="1:20" x14ac:dyDescent="0.35">
      <c r="A964" t="s">
        <v>1232</v>
      </c>
      <c r="B964" s="1">
        <v>45413</v>
      </c>
      <c r="C964">
        <v>2024</v>
      </c>
      <c r="D964">
        <v>5</v>
      </c>
      <c r="E964" t="s">
        <v>38</v>
      </c>
      <c r="F964">
        <v>92</v>
      </c>
      <c r="G964" t="s">
        <v>92</v>
      </c>
      <c r="H964" t="s">
        <v>27</v>
      </c>
      <c r="I964">
        <v>0</v>
      </c>
      <c r="J964">
        <v>0</v>
      </c>
      <c r="K964">
        <v>4.8</v>
      </c>
      <c r="L964">
        <v>38066</v>
      </c>
      <c r="M964" t="s">
        <v>989</v>
      </c>
      <c r="N964" t="str">
        <f t="shared" si="105"/>
        <v>cinema</v>
      </c>
      <c r="O964" t="str">
        <f t="shared" si="106"/>
        <v>non-original</v>
      </c>
      <c r="P964" t="str">
        <f t="shared" si="107"/>
        <v>non-franchise</v>
      </c>
      <c r="Q964" t="str">
        <f t="shared" si="108"/>
        <v>new</v>
      </c>
      <c r="R964" s="2">
        <f t="shared" si="109"/>
        <v>1.30865238278914E-2</v>
      </c>
      <c r="S964">
        <f t="shared" si="110"/>
        <v>0.47097744360902255</v>
      </c>
      <c r="T964" t="str">
        <f t="shared" si="111"/>
        <v>Scenario 2: Weak Commitment/Convenience</v>
      </c>
    </row>
    <row r="965" spans="1:20" x14ac:dyDescent="0.35">
      <c r="A965" t="s">
        <v>1233</v>
      </c>
      <c r="B965" s="1">
        <v>45420</v>
      </c>
      <c r="C965">
        <v>2024</v>
      </c>
      <c r="D965">
        <v>5</v>
      </c>
      <c r="E965" t="s">
        <v>38</v>
      </c>
      <c r="F965">
        <v>145</v>
      </c>
      <c r="G965" t="s">
        <v>1006</v>
      </c>
      <c r="H965" t="s">
        <v>27</v>
      </c>
      <c r="I965">
        <v>1</v>
      </c>
      <c r="J965">
        <v>1</v>
      </c>
      <c r="K965">
        <v>6.8</v>
      </c>
      <c r="L965">
        <v>166783</v>
      </c>
      <c r="M965" t="s">
        <v>983</v>
      </c>
      <c r="N965" t="str">
        <f t="shared" si="105"/>
        <v>cinema</v>
      </c>
      <c r="O965" t="str">
        <f t="shared" si="106"/>
        <v>original</v>
      </c>
      <c r="P965" t="str">
        <f t="shared" si="107"/>
        <v>franchise</v>
      </c>
      <c r="Q965" t="str">
        <f t="shared" si="108"/>
        <v>old</v>
      </c>
      <c r="R965" s="2">
        <f t="shared" si="109"/>
        <v>0.13555335542222388</v>
      </c>
      <c r="S965">
        <f t="shared" si="110"/>
        <v>0.30932330827067667</v>
      </c>
      <c r="T965" t="str">
        <f t="shared" si="111"/>
        <v>Scenario 1: Strong Commitment</v>
      </c>
    </row>
    <row r="966" spans="1:20" x14ac:dyDescent="0.35">
      <c r="A966" t="s">
        <v>1234</v>
      </c>
      <c r="B966" s="1">
        <v>45448</v>
      </c>
      <c r="C966">
        <v>2024</v>
      </c>
      <c r="D966">
        <v>6</v>
      </c>
      <c r="E966" t="s">
        <v>78</v>
      </c>
      <c r="F966">
        <v>102</v>
      </c>
      <c r="G966" t="s">
        <v>1090</v>
      </c>
      <c r="H966" t="s">
        <v>27</v>
      </c>
      <c r="I966">
        <v>0</v>
      </c>
      <c r="J966">
        <v>0</v>
      </c>
      <c r="K966">
        <v>5.7</v>
      </c>
      <c r="L966">
        <v>68116</v>
      </c>
      <c r="M966" t="s">
        <v>983</v>
      </c>
      <c r="N966" t="str">
        <f t="shared" si="105"/>
        <v>cinema</v>
      </c>
      <c r="O966" t="str">
        <f t="shared" si="106"/>
        <v>non-original</v>
      </c>
      <c r="P966" t="str">
        <f t="shared" si="107"/>
        <v>non-franchise</v>
      </c>
      <c r="Q966" t="str">
        <f t="shared" si="108"/>
        <v>new</v>
      </c>
      <c r="R966" s="2">
        <f t="shared" si="109"/>
        <v>2.5962621276828791E-2</v>
      </c>
      <c r="S966">
        <f t="shared" si="110"/>
        <v>0.52714285714285725</v>
      </c>
      <c r="T966" t="str">
        <f t="shared" si="111"/>
        <v>Scenario 3: Strong Convenience</v>
      </c>
    </row>
    <row r="967" spans="1:20" x14ac:dyDescent="0.35">
      <c r="A967" t="s">
        <v>1235</v>
      </c>
      <c r="B967" s="1">
        <v>45469</v>
      </c>
      <c r="C967">
        <v>2024</v>
      </c>
      <c r="D967">
        <v>6</v>
      </c>
      <c r="E967" t="s">
        <v>78</v>
      </c>
      <c r="F967">
        <v>99</v>
      </c>
      <c r="G967" t="s">
        <v>1236</v>
      </c>
      <c r="H967" t="s">
        <v>27</v>
      </c>
      <c r="I967">
        <v>0</v>
      </c>
      <c r="J967">
        <v>1</v>
      </c>
      <c r="K967">
        <v>6.3</v>
      </c>
      <c r="L967">
        <v>172364</v>
      </c>
      <c r="M967" t="s">
        <v>989</v>
      </c>
      <c r="N967" t="str">
        <f t="shared" si="105"/>
        <v>cinema</v>
      </c>
      <c r="O967" t="str">
        <f t="shared" si="106"/>
        <v>non-original</v>
      </c>
      <c r="P967" t="str">
        <f t="shared" si="107"/>
        <v>franchise</v>
      </c>
      <c r="Q967" t="str">
        <f t="shared" si="108"/>
        <v>old</v>
      </c>
      <c r="R967" s="2">
        <f t="shared" si="109"/>
        <v>9.5647197022504099E-2</v>
      </c>
      <c r="S967">
        <f t="shared" si="110"/>
        <v>0.39552631578947373</v>
      </c>
      <c r="T967" t="str">
        <f t="shared" si="111"/>
        <v>Scenario 1: Strong Commitment</v>
      </c>
    </row>
    <row r="968" spans="1:20" x14ac:dyDescent="0.35">
      <c r="A968" t="s">
        <v>1237</v>
      </c>
      <c r="B968" s="1">
        <v>45477</v>
      </c>
      <c r="C968">
        <v>2024</v>
      </c>
      <c r="D968">
        <v>7</v>
      </c>
      <c r="E968" t="s">
        <v>78</v>
      </c>
      <c r="F968">
        <v>130</v>
      </c>
      <c r="G968" t="s">
        <v>34</v>
      </c>
      <c r="H968" t="s">
        <v>27</v>
      </c>
      <c r="I968">
        <v>0</v>
      </c>
      <c r="J968">
        <v>0</v>
      </c>
      <c r="K968">
        <v>7.1</v>
      </c>
      <c r="L968">
        <v>2517</v>
      </c>
      <c r="M968" t="s">
        <v>983</v>
      </c>
      <c r="N968" t="str">
        <f t="shared" si="105"/>
        <v>cinema</v>
      </c>
      <c r="O968" t="str">
        <f t="shared" si="106"/>
        <v>non-original</v>
      </c>
      <c r="P968" t="str">
        <f t="shared" si="107"/>
        <v>non-franchise</v>
      </c>
      <c r="Q968" t="str">
        <f t="shared" si="108"/>
        <v>new</v>
      </c>
      <c r="R968" s="2">
        <f t="shared" si="109"/>
        <v>1.2227165694264266E-3</v>
      </c>
      <c r="S968">
        <f t="shared" si="110"/>
        <v>0.54451127819548861</v>
      </c>
      <c r="T968" t="str">
        <f t="shared" si="111"/>
        <v>Scenario 3: Strong Convenience</v>
      </c>
    </row>
    <row r="969" spans="1:20" x14ac:dyDescent="0.35">
      <c r="A969" t="s">
        <v>1238</v>
      </c>
      <c r="B969" s="1">
        <v>45478</v>
      </c>
      <c r="C969">
        <v>2024</v>
      </c>
      <c r="D969">
        <v>7</v>
      </c>
      <c r="E969" t="s">
        <v>78</v>
      </c>
      <c r="F969">
        <v>132</v>
      </c>
      <c r="G969" t="s">
        <v>1239</v>
      </c>
      <c r="H969" t="s">
        <v>27</v>
      </c>
      <c r="I969">
        <v>1</v>
      </c>
      <c r="J969">
        <v>0</v>
      </c>
      <c r="K969">
        <v>6.6</v>
      </c>
      <c r="L969">
        <v>57637</v>
      </c>
      <c r="M969" t="s">
        <v>983</v>
      </c>
      <c r="N969" t="str">
        <f t="shared" si="105"/>
        <v>cinema</v>
      </c>
      <c r="O969" t="str">
        <f t="shared" si="106"/>
        <v>original</v>
      </c>
      <c r="P969" t="str">
        <f t="shared" si="107"/>
        <v>non-franchise</v>
      </c>
      <c r="Q969" t="str">
        <f t="shared" si="108"/>
        <v>old</v>
      </c>
      <c r="R969" s="2">
        <f t="shared" si="109"/>
        <v>4.2644771102906792E-2</v>
      </c>
      <c r="S969">
        <f t="shared" si="110"/>
        <v>0.33248120300751877</v>
      </c>
      <c r="T969" t="str">
        <f t="shared" si="111"/>
        <v>Scenario 1: Strong Commitment</v>
      </c>
    </row>
    <row r="970" spans="1:20" x14ac:dyDescent="0.35">
      <c r="A970" t="s">
        <v>1240</v>
      </c>
      <c r="B970" s="1">
        <v>45484</v>
      </c>
      <c r="C970">
        <v>2024</v>
      </c>
      <c r="D970">
        <v>7</v>
      </c>
      <c r="E970" t="s">
        <v>78</v>
      </c>
      <c r="F970">
        <v>122</v>
      </c>
      <c r="G970" t="s">
        <v>1099</v>
      </c>
      <c r="H970" t="s">
        <v>27</v>
      </c>
      <c r="I970">
        <v>1</v>
      </c>
      <c r="J970">
        <v>1</v>
      </c>
      <c r="K970">
        <v>6.5</v>
      </c>
      <c r="L970">
        <v>192302</v>
      </c>
      <c r="M970" t="s">
        <v>983</v>
      </c>
      <c r="N970" t="str">
        <f t="shared" si="105"/>
        <v>cinema</v>
      </c>
      <c r="O970" t="str">
        <f t="shared" si="106"/>
        <v>original</v>
      </c>
      <c r="P970" t="str">
        <f t="shared" si="107"/>
        <v>franchise</v>
      </c>
      <c r="Q970" t="str">
        <f t="shared" si="108"/>
        <v>old</v>
      </c>
      <c r="R970" s="2">
        <f t="shared" si="109"/>
        <v>0.13150253365512315</v>
      </c>
      <c r="S970">
        <f t="shared" si="110"/>
        <v>0.35187969924812029</v>
      </c>
      <c r="T970" t="str">
        <f t="shared" si="111"/>
        <v>Scenario 1: Strong Commitment</v>
      </c>
    </row>
    <row r="971" spans="1:20" x14ac:dyDescent="0.35">
      <c r="A971" t="s">
        <v>1241</v>
      </c>
      <c r="B971" s="1">
        <v>45532</v>
      </c>
      <c r="C971">
        <v>2024</v>
      </c>
      <c r="D971">
        <v>8</v>
      </c>
      <c r="E971" t="s">
        <v>78</v>
      </c>
      <c r="F971">
        <v>84</v>
      </c>
      <c r="G971" t="s">
        <v>1242</v>
      </c>
      <c r="H971" t="s">
        <v>27</v>
      </c>
      <c r="I971">
        <v>1</v>
      </c>
      <c r="J971">
        <v>0</v>
      </c>
      <c r="K971">
        <v>5.2</v>
      </c>
      <c r="L971">
        <v>16818</v>
      </c>
      <c r="M971" t="s">
        <v>983</v>
      </c>
      <c r="N971" t="str">
        <f t="shared" si="105"/>
        <v>cinema</v>
      </c>
      <c r="O971" t="str">
        <f t="shared" si="106"/>
        <v>original</v>
      </c>
      <c r="P971" t="str">
        <f t="shared" si="107"/>
        <v>non-franchise</v>
      </c>
      <c r="Q971" t="str">
        <f t="shared" si="108"/>
        <v>old</v>
      </c>
      <c r="R971" s="2">
        <f t="shared" si="109"/>
        <v>7.9185219135763547E-3</v>
      </c>
      <c r="S971">
        <f t="shared" si="110"/>
        <v>0.35578947368421054</v>
      </c>
      <c r="T971" t="str">
        <f t="shared" si="111"/>
        <v>Scenario 2: Weak Commitment/Convenience</v>
      </c>
    </row>
    <row r="972" spans="1:20" x14ac:dyDescent="0.35">
      <c r="A972" t="s">
        <v>1243</v>
      </c>
      <c r="B972" s="1">
        <v>45534</v>
      </c>
      <c r="C972">
        <v>2024</v>
      </c>
      <c r="D972">
        <v>8</v>
      </c>
      <c r="E972" t="s">
        <v>78</v>
      </c>
      <c r="F972">
        <v>141</v>
      </c>
      <c r="G972" t="s">
        <v>1000</v>
      </c>
      <c r="H972" t="s">
        <v>27</v>
      </c>
      <c r="I972">
        <v>0</v>
      </c>
      <c r="J972">
        <v>0</v>
      </c>
      <c r="K972">
        <v>6.2</v>
      </c>
      <c r="L972">
        <v>12712</v>
      </c>
      <c r="M972" t="s">
        <v>983</v>
      </c>
      <c r="N972" t="str">
        <f t="shared" si="105"/>
        <v>cinema</v>
      </c>
      <c r="O972" t="str">
        <f t="shared" si="106"/>
        <v>non-original</v>
      </c>
      <c r="P972" t="str">
        <f t="shared" si="107"/>
        <v>non-franchise</v>
      </c>
      <c r="Q972" t="str">
        <f t="shared" si="108"/>
        <v>new</v>
      </c>
      <c r="R972" s="2">
        <f t="shared" si="109"/>
        <v>6.6978007924799726E-3</v>
      </c>
      <c r="S972">
        <f t="shared" si="110"/>
        <v>0.43703007518796988</v>
      </c>
      <c r="T972" t="str">
        <f t="shared" si="111"/>
        <v>Scenario 2: Weak Commitment/Convenience</v>
      </c>
    </row>
    <row r="973" spans="1:20" x14ac:dyDescent="0.35">
      <c r="A973" t="s">
        <v>1244</v>
      </c>
      <c r="B973" s="1">
        <v>45539</v>
      </c>
      <c r="C973">
        <v>2024</v>
      </c>
      <c r="D973">
        <v>9</v>
      </c>
      <c r="E973" t="s">
        <v>125</v>
      </c>
      <c r="F973">
        <v>105</v>
      </c>
      <c r="G973" t="s">
        <v>1245</v>
      </c>
      <c r="H973" t="s">
        <v>27</v>
      </c>
      <c r="I973">
        <v>1</v>
      </c>
      <c r="J973">
        <v>1</v>
      </c>
      <c r="K973">
        <v>6.6</v>
      </c>
      <c r="L973">
        <v>171511</v>
      </c>
      <c r="M973" t="s">
        <v>989</v>
      </c>
      <c r="N973" t="str">
        <f t="shared" si="105"/>
        <v>cinema</v>
      </c>
      <c r="O973" t="str">
        <f t="shared" si="106"/>
        <v>original</v>
      </c>
      <c r="P973" t="str">
        <f t="shared" si="107"/>
        <v>franchise</v>
      </c>
      <c r="Q973" t="str">
        <f t="shared" si="108"/>
        <v>old</v>
      </c>
      <c r="R973" s="2">
        <f t="shared" si="109"/>
        <v>0.10094196782609365</v>
      </c>
      <c r="S973">
        <f t="shared" si="110"/>
        <v>0.39947368421052626</v>
      </c>
      <c r="T973" t="str">
        <f t="shared" si="111"/>
        <v>Scenario 1: Strong Commitment</v>
      </c>
    </row>
    <row r="974" spans="1:20" x14ac:dyDescent="0.35">
      <c r="A974" t="s">
        <v>1246</v>
      </c>
      <c r="B974" s="1">
        <v>45548</v>
      </c>
      <c r="C974">
        <v>2024</v>
      </c>
      <c r="D974">
        <v>9</v>
      </c>
      <c r="E974" t="s">
        <v>125</v>
      </c>
      <c r="F974">
        <v>100</v>
      </c>
      <c r="G974" t="s">
        <v>1247</v>
      </c>
      <c r="H974" t="s">
        <v>27</v>
      </c>
      <c r="I974">
        <v>0</v>
      </c>
      <c r="J974">
        <v>0</v>
      </c>
      <c r="K974">
        <v>6.6</v>
      </c>
      <c r="L974">
        <v>17709</v>
      </c>
      <c r="M974" t="s">
        <v>989</v>
      </c>
      <c r="N974" t="str">
        <f t="shared" si="105"/>
        <v>cinema</v>
      </c>
      <c r="O974" t="str">
        <f t="shared" si="106"/>
        <v>non-original</v>
      </c>
      <c r="P974" t="str">
        <f t="shared" si="107"/>
        <v>non-franchise</v>
      </c>
      <c r="Q974" t="str">
        <f t="shared" si="108"/>
        <v>new</v>
      </c>
      <c r="R974" s="2">
        <f t="shared" si="109"/>
        <v>6.6174896023876379E-3</v>
      </c>
      <c r="S974">
        <f t="shared" si="110"/>
        <v>0.61781954887218038</v>
      </c>
      <c r="T974" t="str">
        <f t="shared" si="111"/>
        <v>Scenario 3: Strong Convenience</v>
      </c>
    </row>
    <row r="975" spans="1:20" x14ac:dyDescent="0.35">
      <c r="A975" t="s">
        <v>1248</v>
      </c>
      <c r="B975" s="1">
        <v>45588</v>
      </c>
      <c r="C975">
        <v>2024</v>
      </c>
      <c r="D975">
        <v>10</v>
      </c>
      <c r="E975" t="s">
        <v>125</v>
      </c>
      <c r="F975">
        <v>110</v>
      </c>
      <c r="G975" t="s">
        <v>1249</v>
      </c>
      <c r="H975" t="s">
        <v>27</v>
      </c>
      <c r="I975">
        <v>0</v>
      </c>
      <c r="J975">
        <v>1</v>
      </c>
      <c r="K975">
        <v>6</v>
      </c>
      <c r="L975">
        <v>151589</v>
      </c>
      <c r="M975" t="s">
        <v>989</v>
      </c>
      <c r="N975" t="str">
        <f t="shared" si="105"/>
        <v>cinema</v>
      </c>
      <c r="O975" t="str">
        <f t="shared" si="106"/>
        <v>non-original</v>
      </c>
      <c r="P975" t="str">
        <f t="shared" si="107"/>
        <v>franchise</v>
      </c>
      <c r="Q975" t="str">
        <f t="shared" si="108"/>
        <v>old</v>
      </c>
      <c r="R975" s="2">
        <f t="shared" si="109"/>
        <v>9.3465398481278467E-2</v>
      </c>
      <c r="S975">
        <f t="shared" si="110"/>
        <v>0.35187969924812035</v>
      </c>
      <c r="T975" t="str">
        <f t="shared" si="111"/>
        <v>Scenario 1: Strong Commitment</v>
      </c>
    </row>
    <row r="976" spans="1:20" x14ac:dyDescent="0.35">
      <c r="A976" t="s">
        <v>1250</v>
      </c>
      <c r="B976" s="1">
        <v>45596</v>
      </c>
      <c r="C976">
        <v>2024</v>
      </c>
      <c r="D976">
        <v>10</v>
      </c>
      <c r="E976" t="s">
        <v>125</v>
      </c>
      <c r="F976">
        <v>104</v>
      </c>
      <c r="G976" t="s">
        <v>34</v>
      </c>
      <c r="H976" t="s">
        <v>27</v>
      </c>
      <c r="I976">
        <v>0</v>
      </c>
      <c r="J976">
        <v>0</v>
      </c>
      <c r="K976">
        <v>6.3</v>
      </c>
      <c r="L976">
        <v>27459</v>
      </c>
      <c r="M976" t="s">
        <v>983</v>
      </c>
      <c r="N976" t="str">
        <f t="shared" si="105"/>
        <v>cinema</v>
      </c>
      <c r="O976" t="str">
        <f t="shared" si="106"/>
        <v>non-original</v>
      </c>
      <c r="P976" t="str">
        <f t="shared" si="107"/>
        <v>non-franchise</v>
      </c>
      <c r="Q976" t="str">
        <f t="shared" si="108"/>
        <v>new</v>
      </c>
      <c r="R976" s="2">
        <f t="shared" si="109"/>
        <v>1.0671298936791498E-2</v>
      </c>
      <c r="S976">
        <f t="shared" si="110"/>
        <v>0.57552631578947377</v>
      </c>
      <c r="T976" t="str">
        <f t="shared" si="111"/>
        <v>Scenario 3: Strong Convenience</v>
      </c>
    </row>
    <row r="977" spans="1:20" x14ac:dyDescent="0.35">
      <c r="A977" t="s">
        <v>1251</v>
      </c>
      <c r="B977" s="1">
        <v>45602</v>
      </c>
      <c r="C977">
        <v>2024</v>
      </c>
      <c r="D977">
        <v>11</v>
      </c>
      <c r="E977" t="s">
        <v>125</v>
      </c>
      <c r="F977">
        <v>123</v>
      </c>
      <c r="G977" t="s">
        <v>1043</v>
      </c>
      <c r="H977" t="s">
        <v>27</v>
      </c>
      <c r="I977">
        <v>1</v>
      </c>
      <c r="J977">
        <v>0</v>
      </c>
      <c r="K977">
        <v>6.2</v>
      </c>
      <c r="L977">
        <v>158204</v>
      </c>
      <c r="M977" t="s">
        <v>983</v>
      </c>
      <c r="N977" t="str">
        <f t="shared" si="105"/>
        <v>cinema</v>
      </c>
      <c r="O977" t="str">
        <f t="shared" si="106"/>
        <v>original</v>
      </c>
      <c r="P977" t="str">
        <f t="shared" si="107"/>
        <v>non-franchise</v>
      </c>
      <c r="Q977" t="str">
        <f t="shared" si="108"/>
        <v>old</v>
      </c>
      <c r="R977" s="2">
        <f t="shared" si="109"/>
        <v>0.10907194560554334</v>
      </c>
      <c r="S977">
        <f t="shared" si="110"/>
        <v>0.33330827067669178</v>
      </c>
      <c r="T977" t="str">
        <f t="shared" si="111"/>
        <v>Scenario 1: Strong Commitment</v>
      </c>
    </row>
    <row r="978" spans="1:20" x14ac:dyDescent="0.35">
      <c r="A978" t="s">
        <v>1252</v>
      </c>
      <c r="B978" s="1">
        <v>45631</v>
      </c>
      <c r="C978">
        <v>2024</v>
      </c>
      <c r="D978">
        <v>12</v>
      </c>
      <c r="E978" t="s">
        <v>14</v>
      </c>
      <c r="F978">
        <v>134</v>
      </c>
      <c r="G978" t="s">
        <v>1008</v>
      </c>
      <c r="H978" t="s">
        <v>27</v>
      </c>
      <c r="I978">
        <v>0</v>
      </c>
      <c r="J978">
        <v>1</v>
      </c>
      <c r="K978">
        <v>6.3</v>
      </c>
      <c r="L978">
        <v>39165</v>
      </c>
      <c r="M978" t="s">
        <v>983</v>
      </c>
      <c r="N978" t="str">
        <f t="shared" si="105"/>
        <v>cinema</v>
      </c>
      <c r="O978" t="str">
        <f t="shared" si="106"/>
        <v>non-original</v>
      </c>
      <c r="P978" t="str">
        <f t="shared" si="107"/>
        <v>franchise</v>
      </c>
      <c r="Q978" t="str">
        <f t="shared" si="108"/>
        <v>old</v>
      </c>
      <c r="R978" s="2">
        <f t="shared" si="109"/>
        <v>2.9416663863447896E-2</v>
      </c>
      <c r="S978">
        <f t="shared" si="110"/>
        <v>0.31263157894736843</v>
      </c>
      <c r="T978" t="str">
        <f t="shared" si="111"/>
        <v>Scenario 2: Weak Commitment/Convenience</v>
      </c>
    </row>
    <row r="979" spans="1:20" x14ac:dyDescent="0.35">
      <c r="A979" t="s">
        <v>1253</v>
      </c>
      <c r="B979" s="1">
        <v>43840</v>
      </c>
      <c r="C979">
        <v>2020</v>
      </c>
      <c r="D979">
        <v>1</v>
      </c>
      <c r="E979" t="s">
        <v>14</v>
      </c>
      <c r="F979">
        <v>83</v>
      </c>
      <c r="G979" t="s">
        <v>21</v>
      </c>
      <c r="H979" t="s">
        <v>24</v>
      </c>
      <c r="I979">
        <v>1</v>
      </c>
      <c r="J979">
        <v>0</v>
      </c>
      <c r="K979">
        <v>4.7</v>
      </c>
      <c r="L979">
        <v>16156</v>
      </c>
      <c r="M979" t="s">
        <v>983</v>
      </c>
      <c r="N979" t="str">
        <f t="shared" si="105"/>
        <v>cinema</v>
      </c>
      <c r="O979" t="str">
        <f t="shared" si="106"/>
        <v>original</v>
      </c>
      <c r="P979" t="str">
        <f t="shared" si="107"/>
        <v>non-franchise</v>
      </c>
      <c r="Q979" t="str">
        <f t="shared" si="108"/>
        <v>old</v>
      </c>
      <c r="R979" s="2">
        <f t="shared" si="109"/>
        <v>7.5162709193143306E-3</v>
      </c>
      <c r="S979">
        <f t="shared" si="110"/>
        <v>0.32334586466165416</v>
      </c>
      <c r="T979" t="str">
        <f t="shared" si="111"/>
        <v>Scenario 2: Weak Commitment/Convenience</v>
      </c>
    </row>
    <row r="980" spans="1:20" x14ac:dyDescent="0.35">
      <c r="A980" t="s">
        <v>1254</v>
      </c>
      <c r="B980" s="1">
        <v>43861</v>
      </c>
      <c r="C980">
        <v>2020</v>
      </c>
      <c r="D980">
        <v>1</v>
      </c>
      <c r="E980" t="s">
        <v>14</v>
      </c>
      <c r="F980">
        <v>84</v>
      </c>
      <c r="G980" t="s">
        <v>19</v>
      </c>
      <c r="H980" t="s">
        <v>24</v>
      </c>
      <c r="I980">
        <v>1</v>
      </c>
      <c r="J980">
        <v>0</v>
      </c>
      <c r="K980">
        <v>4.7</v>
      </c>
      <c r="L980">
        <v>35</v>
      </c>
      <c r="M980" t="s">
        <v>983</v>
      </c>
      <c r="N980" t="str">
        <f t="shared" si="105"/>
        <v>cinema</v>
      </c>
      <c r="O980" t="str">
        <f t="shared" si="106"/>
        <v>original</v>
      </c>
      <c r="P980" t="str">
        <f t="shared" si="107"/>
        <v>non-franchise</v>
      </c>
      <c r="Q980" t="str">
        <f t="shared" si="108"/>
        <v>old</v>
      </c>
      <c r="R980" s="2">
        <f t="shared" si="109"/>
        <v>1.6479264298678347E-5</v>
      </c>
      <c r="S980">
        <f t="shared" si="110"/>
        <v>0.32157894736842108</v>
      </c>
      <c r="T980" t="str">
        <f t="shared" si="111"/>
        <v>Scenario 2: Weak Commitment/Convenience</v>
      </c>
    </row>
    <row r="981" spans="1:20" x14ac:dyDescent="0.35">
      <c r="A981" t="s">
        <v>1255</v>
      </c>
      <c r="B981" s="1">
        <v>43861</v>
      </c>
      <c r="C981">
        <v>2020</v>
      </c>
      <c r="D981">
        <v>1</v>
      </c>
      <c r="E981" t="s">
        <v>14</v>
      </c>
      <c r="F981">
        <v>109</v>
      </c>
      <c r="G981" t="s">
        <v>1256</v>
      </c>
      <c r="H981" t="s">
        <v>24</v>
      </c>
      <c r="I981">
        <v>0</v>
      </c>
      <c r="J981">
        <v>0</v>
      </c>
      <c r="K981">
        <v>5.4</v>
      </c>
      <c r="L981">
        <v>21253</v>
      </c>
      <c r="M981" t="s">
        <v>983</v>
      </c>
      <c r="N981" t="str">
        <f t="shared" si="105"/>
        <v>cinema</v>
      </c>
      <c r="O981" t="str">
        <f t="shared" si="106"/>
        <v>non-original</v>
      </c>
      <c r="P981" t="str">
        <f t="shared" si="107"/>
        <v>non-franchise</v>
      </c>
      <c r="Q981" t="str">
        <f t="shared" si="108"/>
        <v>new</v>
      </c>
      <c r="R981" s="2">
        <f t="shared" si="109"/>
        <v>8.6565724832742379E-3</v>
      </c>
      <c r="S981">
        <f t="shared" si="110"/>
        <v>0.47808270676691733</v>
      </c>
      <c r="T981" t="str">
        <f t="shared" si="111"/>
        <v>Scenario 2: Weak Commitment/Convenience</v>
      </c>
    </row>
    <row r="982" spans="1:20" x14ac:dyDescent="0.35">
      <c r="A982" t="s">
        <v>1257</v>
      </c>
      <c r="B982" s="1">
        <v>43887</v>
      </c>
      <c r="C982">
        <v>2020</v>
      </c>
      <c r="D982">
        <v>2</v>
      </c>
      <c r="E982" t="s">
        <v>14</v>
      </c>
      <c r="F982">
        <v>124</v>
      </c>
      <c r="G982" t="s">
        <v>1088</v>
      </c>
      <c r="H982" t="s">
        <v>24</v>
      </c>
      <c r="I982">
        <v>0</v>
      </c>
      <c r="J982">
        <v>0</v>
      </c>
      <c r="K982">
        <v>7.1</v>
      </c>
      <c r="L982">
        <v>281566</v>
      </c>
      <c r="M982" t="s">
        <v>989</v>
      </c>
      <c r="N982" t="str">
        <f t="shared" si="105"/>
        <v>cinema</v>
      </c>
      <c r="O982" t="str">
        <f t="shared" si="106"/>
        <v>non-original</v>
      </c>
      <c r="P982" t="str">
        <f t="shared" si="107"/>
        <v>non-franchise</v>
      </c>
      <c r="Q982" t="str">
        <f t="shared" si="108"/>
        <v>new</v>
      </c>
      <c r="R982" s="2">
        <f t="shared" si="109"/>
        <v>0.13046713512668634</v>
      </c>
      <c r="S982">
        <f t="shared" si="110"/>
        <v>0.56853383458646611</v>
      </c>
      <c r="T982" t="str">
        <f t="shared" si="111"/>
        <v>Scenario 4: Hybrid Logic</v>
      </c>
    </row>
    <row r="983" spans="1:20" x14ac:dyDescent="0.35">
      <c r="A983" t="s">
        <v>1258</v>
      </c>
      <c r="B983" s="1">
        <v>43895</v>
      </c>
      <c r="C983">
        <v>2020</v>
      </c>
      <c r="D983">
        <v>3</v>
      </c>
      <c r="E983" t="s">
        <v>38</v>
      </c>
      <c r="F983">
        <v>108</v>
      </c>
      <c r="G983" t="s">
        <v>1259</v>
      </c>
      <c r="H983" t="s">
        <v>24</v>
      </c>
      <c r="I983">
        <v>1</v>
      </c>
      <c r="J983">
        <v>0</v>
      </c>
      <c r="K983">
        <v>6.7</v>
      </c>
      <c r="L983">
        <v>56385</v>
      </c>
      <c r="M983" t="s">
        <v>983</v>
      </c>
      <c r="N983" t="str">
        <f t="shared" si="105"/>
        <v>cinema</v>
      </c>
      <c r="O983" t="str">
        <f t="shared" si="106"/>
        <v>original</v>
      </c>
      <c r="P983" t="str">
        <f t="shared" si="107"/>
        <v>non-franchise</v>
      </c>
      <c r="Q983" t="str">
        <f t="shared" si="108"/>
        <v>old</v>
      </c>
      <c r="R983" s="2">
        <f t="shared" si="109"/>
        <v>3.4133264723791051E-2</v>
      </c>
      <c r="S983">
        <f t="shared" si="110"/>
        <v>0.39796992481203014</v>
      </c>
      <c r="T983" t="str">
        <f t="shared" si="111"/>
        <v>Scenario 1: Strong Commitment</v>
      </c>
    </row>
    <row r="984" spans="1:20" x14ac:dyDescent="0.35">
      <c r="A984" t="s">
        <v>1260</v>
      </c>
      <c r="B984" s="1">
        <v>43902</v>
      </c>
      <c r="C984">
        <v>2020</v>
      </c>
      <c r="D984">
        <v>3</v>
      </c>
      <c r="E984" t="s">
        <v>38</v>
      </c>
      <c r="F984">
        <v>90</v>
      </c>
      <c r="G984" t="s">
        <v>1261</v>
      </c>
      <c r="H984" t="s">
        <v>24</v>
      </c>
      <c r="I984">
        <v>0</v>
      </c>
      <c r="J984">
        <v>0</v>
      </c>
      <c r="K984">
        <v>6.6</v>
      </c>
      <c r="L984">
        <v>151666</v>
      </c>
      <c r="M984" t="s">
        <v>983</v>
      </c>
      <c r="N984" t="str">
        <f t="shared" si="105"/>
        <v>cinema</v>
      </c>
      <c r="O984" t="str">
        <f t="shared" si="106"/>
        <v>non-original</v>
      </c>
      <c r="P984" t="str">
        <f t="shared" si="107"/>
        <v>non-franchise</v>
      </c>
      <c r="Q984" t="str">
        <f t="shared" si="108"/>
        <v>new</v>
      </c>
      <c r="R984" s="2">
        <f t="shared" si="109"/>
        <v>5.1007022431088782E-2</v>
      </c>
      <c r="S984">
        <f t="shared" si="110"/>
        <v>0.65503759398496231</v>
      </c>
      <c r="T984" t="str">
        <f t="shared" si="111"/>
        <v>Scenario 4: Hybrid Logic</v>
      </c>
    </row>
    <row r="985" spans="1:20" x14ac:dyDescent="0.35">
      <c r="A985" t="s">
        <v>1262</v>
      </c>
      <c r="B985" s="1">
        <v>43970</v>
      </c>
      <c r="C985">
        <v>2020</v>
      </c>
      <c r="D985">
        <v>5</v>
      </c>
      <c r="E985" t="s">
        <v>38</v>
      </c>
      <c r="F985">
        <v>96</v>
      </c>
      <c r="G985" t="s">
        <v>1263</v>
      </c>
      <c r="H985" t="s">
        <v>24</v>
      </c>
      <c r="I985">
        <v>0</v>
      </c>
      <c r="J985">
        <v>0</v>
      </c>
      <c r="K985">
        <v>8.1999999999999993</v>
      </c>
      <c r="L985">
        <v>123</v>
      </c>
      <c r="M985" t="s">
        <v>983</v>
      </c>
      <c r="N985" t="str">
        <f t="shared" si="105"/>
        <v>cinema</v>
      </c>
      <c r="O985" t="str">
        <f t="shared" si="106"/>
        <v>non-original</v>
      </c>
      <c r="P985" t="str">
        <f t="shared" si="107"/>
        <v>non-franchise</v>
      </c>
      <c r="Q985" t="str">
        <f t="shared" si="108"/>
        <v>new</v>
      </c>
      <c r="R985" s="2">
        <f t="shared" si="109"/>
        <v>4.4124070938502021E-5</v>
      </c>
      <c r="S985">
        <f t="shared" si="110"/>
        <v>0.78609022556390984</v>
      </c>
      <c r="T985" t="str">
        <f t="shared" si="111"/>
        <v>Scenario 3: Strong Convenience</v>
      </c>
    </row>
    <row r="986" spans="1:20" x14ac:dyDescent="0.35">
      <c r="A986" t="s">
        <v>1264</v>
      </c>
      <c r="B986" s="1">
        <v>44022</v>
      </c>
      <c r="C986">
        <v>2020</v>
      </c>
      <c r="D986">
        <v>7</v>
      </c>
      <c r="E986" t="s">
        <v>78</v>
      </c>
      <c r="F986">
        <v>90</v>
      </c>
      <c r="G986" t="s">
        <v>1265</v>
      </c>
      <c r="H986" t="s">
        <v>24</v>
      </c>
      <c r="I986">
        <v>1</v>
      </c>
      <c r="J986">
        <v>0</v>
      </c>
      <c r="K986">
        <v>7.4</v>
      </c>
      <c r="L986">
        <v>211789</v>
      </c>
      <c r="M986" t="s">
        <v>983</v>
      </c>
      <c r="N986" t="str">
        <f t="shared" si="105"/>
        <v>cinema</v>
      </c>
      <c r="O986" t="str">
        <f t="shared" si="106"/>
        <v>original</v>
      </c>
      <c r="P986" t="str">
        <f t="shared" si="107"/>
        <v>non-franchise</v>
      </c>
      <c r="Q986" t="str">
        <f t="shared" si="108"/>
        <v>old</v>
      </c>
      <c r="R986" s="2">
        <f t="shared" si="109"/>
        <v>0.10684061958835067</v>
      </c>
      <c r="S986">
        <f t="shared" si="110"/>
        <v>0.48962406015037591</v>
      </c>
      <c r="T986" t="str">
        <f t="shared" si="111"/>
        <v>Scenario 1: Strong Commitment</v>
      </c>
    </row>
    <row r="987" spans="1:20" x14ac:dyDescent="0.35">
      <c r="A987" t="s">
        <v>1266</v>
      </c>
      <c r="B987" s="1">
        <v>44028</v>
      </c>
      <c r="C987">
        <v>2020</v>
      </c>
      <c r="D987">
        <v>7</v>
      </c>
      <c r="E987" t="s">
        <v>78</v>
      </c>
      <c r="F987">
        <v>90</v>
      </c>
      <c r="G987" t="s">
        <v>1155</v>
      </c>
      <c r="H987" t="s">
        <v>24</v>
      </c>
      <c r="I987">
        <v>1</v>
      </c>
      <c r="J987">
        <v>0</v>
      </c>
      <c r="K987">
        <v>6</v>
      </c>
      <c r="L987">
        <v>86199</v>
      </c>
      <c r="M987" t="s">
        <v>983</v>
      </c>
      <c r="N987" t="str">
        <f t="shared" si="105"/>
        <v>cinema</v>
      </c>
      <c r="O987" t="str">
        <f t="shared" si="106"/>
        <v>original</v>
      </c>
      <c r="P987" t="str">
        <f t="shared" si="107"/>
        <v>non-franchise</v>
      </c>
      <c r="Q987" t="str">
        <f t="shared" si="108"/>
        <v>old</v>
      </c>
      <c r="R987" s="2">
        <f t="shared" si="109"/>
        <v>4.3484574590258417E-2</v>
      </c>
      <c r="S987">
        <f t="shared" si="110"/>
        <v>0.39699248120300751</v>
      </c>
      <c r="T987" t="str">
        <f t="shared" si="111"/>
        <v>Scenario 1: Strong Commitment</v>
      </c>
    </row>
    <row r="988" spans="1:20" x14ac:dyDescent="0.35">
      <c r="A988" t="s">
        <v>1267</v>
      </c>
      <c r="B988" s="1">
        <v>44043</v>
      </c>
      <c r="C988">
        <v>2020</v>
      </c>
      <c r="D988">
        <v>7</v>
      </c>
      <c r="E988" t="s">
        <v>78</v>
      </c>
      <c r="F988">
        <v>123</v>
      </c>
      <c r="G988" t="s">
        <v>982</v>
      </c>
      <c r="H988" t="s">
        <v>24</v>
      </c>
      <c r="I988">
        <v>1</v>
      </c>
      <c r="J988">
        <v>0</v>
      </c>
      <c r="K988">
        <v>4.9000000000000004</v>
      </c>
      <c r="L988">
        <v>3388</v>
      </c>
      <c r="M988" t="s">
        <v>983</v>
      </c>
      <c r="N988" t="str">
        <f t="shared" si="105"/>
        <v>cinema</v>
      </c>
      <c r="O988" t="str">
        <f t="shared" si="106"/>
        <v>original</v>
      </c>
      <c r="P988" t="str">
        <f t="shared" si="107"/>
        <v>non-franchise</v>
      </c>
      <c r="Q988" t="str">
        <f t="shared" si="108"/>
        <v>old</v>
      </c>
      <c r="R988" s="2">
        <f t="shared" si="109"/>
        <v>2.335818005306951E-3</v>
      </c>
      <c r="S988">
        <f t="shared" si="110"/>
        <v>0.263421052631579</v>
      </c>
      <c r="T988" t="str">
        <f t="shared" si="111"/>
        <v>Scenario 2: Weak Commitment/Convenience</v>
      </c>
    </row>
    <row r="989" spans="1:20" x14ac:dyDescent="0.35">
      <c r="A989" t="s">
        <v>1268</v>
      </c>
      <c r="B989" s="1">
        <v>44082</v>
      </c>
      <c r="C989">
        <v>2020</v>
      </c>
      <c r="D989">
        <v>9</v>
      </c>
      <c r="E989" t="s">
        <v>125</v>
      </c>
      <c r="F989">
        <v>85</v>
      </c>
      <c r="G989" t="s">
        <v>34</v>
      </c>
      <c r="H989" t="s">
        <v>24</v>
      </c>
      <c r="I989">
        <v>1</v>
      </c>
      <c r="J989">
        <v>0</v>
      </c>
      <c r="K989">
        <v>6.8</v>
      </c>
      <c r="L989">
        <v>5887</v>
      </c>
      <c r="M989" t="s">
        <v>989</v>
      </c>
      <c r="N989" t="str">
        <f t="shared" si="105"/>
        <v>cinema</v>
      </c>
      <c r="O989" t="str">
        <f t="shared" si="106"/>
        <v>original</v>
      </c>
      <c r="P989" t="str">
        <f t="shared" si="107"/>
        <v>non-franchise</v>
      </c>
      <c r="Q989" t="str">
        <f t="shared" si="108"/>
        <v>old</v>
      </c>
      <c r="R989" s="2">
        <f t="shared" si="109"/>
        <v>2.8048100199786234E-3</v>
      </c>
      <c r="S989">
        <f t="shared" si="110"/>
        <v>0.46270676691729318</v>
      </c>
      <c r="T989" t="str">
        <f t="shared" si="111"/>
        <v>Scenario 2: Weak Commitment/Convenience</v>
      </c>
    </row>
    <row r="990" spans="1:20" x14ac:dyDescent="0.35">
      <c r="A990" t="s">
        <v>148</v>
      </c>
      <c r="B990" s="1">
        <v>44106</v>
      </c>
      <c r="C990">
        <v>2020</v>
      </c>
      <c r="D990">
        <v>10</v>
      </c>
      <c r="E990" t="s">
        <v>125</v>
      </c>
      <c r="F990">
        <v>129</v>
      </c>
      <c r="G990" t="s">
        <v>1269</v>
      </c>
      <c r="H990" t="s">
        <v>24</v>
      </c>
      <c r="I990">
        <v>0</v>
      </c>
      <c r="J990">
        <v>0</v>
      </c>
      <c r="K990">
        <v>7.7</v>
      </c>
      <c r="L990">
        <v>204413</v>
      </c>
      <c r="M990" t="s">
        <v>983</v>
      </c>
      <c r="N990" t="str">
        <f t="shared" si="105"/>
        <v>cinema</v>
      </c>
      <c r="O990" t="str">
        <f t="shared" si="106"/>
        <v>non-original</v>
      </c>
      <c r="P990" t="str">
        <f t="shared" si="107"/>
        <v>non-franchise</v>
      </c>
      <c r="Q990" t="str">
        <f t="shared" si="108"/>
        <v>new</v>
      </c>
      <c r="R990" s="2">
        <f t="shared" si="109"/>
        <v>9.8536572573256251E-2</v>
      </c>
      <c r="S990">
        <f t="shared" si="110"/>
        <v>0.5948684210526316</v>
      </c>
      <c r="T990" t="str">
        <f t="shared" si="111"/>
        <v>Scenario 4: Hybrid Logic</v>
      </c>
    </row>
    <row r="991" spans="1:20" x14ac:dyDescent="0.35">
      <c r="A991" t="s">
        <v>172</v>
      </c>
      <c r="B991" s="1">
        <v>44146</v>
      </c>
      <c r="C991">
        <v>2020</v>
      </c>
      <c r="D991">
        <v>11</v>
      </c>
      <c r="E991" t="s">
        <v>125</v>
      </c>
      <c r="F991">
        <v>116</v>
      </c>
      <c r="G991" t="s">
        <v>1097</v>
      </c>
      <c r="H991" t="s">
        <v>24</v>
      </c>
      <c r="I991">
        <v>0</v>
      </c>
      <c r="J991">
        <v>0</v>
      </c>
      <c r="K991">
        <v>6.7</v>
      </c>
      <c r="L991">
        <v>60682</v>
      </c>
      <c r="M991" t="s">
        <v>983</v>
      </c>
      <c r="N991" t="str">
        <f t="shared" si="105"/>
        <v>cinema</v>
      </c>
      <c r="O991" t="str">
        <f t="shared" si="106"/>
        <v>non-original</v>
      </c>
      <c r="P991" t="str">
        <f t="shared" si="107"/>
        <v>non-franchise</v>
      </c>
      <c r="Q991" t="str">
        <f t="shared" si="108"/>
        <v>new</v>
      </c>
      <c r="R991" s="2">
        <f t="shared" si="109"/>
        <v>2.6303715890249057E-2</v>
      </c>
      <c r="S991">
        <f t="shared" si="110"/>
        <v>0.56672932330827075</v>
      </c>
      <c r="T991" t="str">
        <f t="shared" si="111"/>
        <v>Scenario 3: Strong Convenience</v>
      </c>
    </row>
    <row r="992" spans="1:20" x14ac:dyDescent="0.35">
      <c r="A992" t="s">
        <v>1270</v>
      </c>
      <c r="B992" s="1">
        <v>44147</v>
      </c>
      <c r="C992">
        <v>2020</v>
      </c>
      <c r="D992">
        <v>11</v>
      </c>
      <c r="E992" t="s">
        <v>125</v>
      </c>
      <c r="F992">
        <v>102</v>
      </c>
      <c r="G992" t="s">
        <v>1271</v>
      </c>
      <c r="H992" t="s">
        <v>24</v>
      </c>
      <c r="I992">
        <v>1</v>
      </c>
      <c r="J992">
        <v>0</v>
      </c>
      <c r="K992">
        <v>6.3</v>
      </c>
      <c r="L992">
        <v>80996</v>
      </c>
      <c r="M992" t="s">
        <v>989</v>
      </c>
      <c r="N992" t="str">
        <f t="shared" si="105"/>
        <v>cinema</v>
      </c>
      <c r="O992" t="str">
        <f t="shared" si="106"/>
        <v>original</v>
      </c>
      <c r="P992" t="str">
        <f t="shared" si="107"/>
        <v>non-franchise</v>
      </c>
      <c r="Q992" t="str">
        <f t="shared" si="108"/>
        <v>old</v>
      </c>
      <c r="R992" s="2">
        <f t="shared" si="109"/>
        <v>4.6307808876138314E-2</v>
      </c>
      <c r="S992">
        <f t="shared" si="110"/>
        <v>0.388421052631579</v>
      </c>
      <c r="T992" t="str">
        <f t="shared" si="111"/>
        <v>Scenario 1: Strong Commitment</v>
      </c>
    </row>
    <row r="993" spans="1:20" x14ac:dyDescent="0.35">
      <c r="A993" t="s">
        <v>1272</v>
      </c>
      <c r="B993" s="1">
        <v>44148</v>
      </c>
      <c r="C993">
        <v>2020</v>
      </c>
      <c r="D993">
        <v>11</v>
      </c>
      <c r="E993" t="s">
        <v>125</v>
      </c>
      <c r="F993">
        <v>94</v>
      </c>
      <c r="G993" t="s">
        <v>982</v>
      </c>
      <c r="H993" t="s">
        <v>24</v>
      </c>
      <c r="I993">
        <v>0</v>
      </c>
      <c r="J993">
        <v>0</v>
      </c>
      <c r="K993">
        <v>5.3</v>
      </c>
      <c r="L993">
        <v>8996</v>
      </c>
      <c r="M993" t="s">
        <v>983</v>
      </c>
      <c r="N993" t="str">
        <f t="shared" si="105"/>
        <v>cinema</v>
      </c>
      <c r="O993" t="str">
        <f t="shared" si="106"/>
        <v>non-original</v>
      </c>
      <c r="P993" t="str">
        <f t="shared" si="107"/>
        <v>non-franchise</v>
      </c>
      <c r="Q993" t="str">
        <f t="shared" si="108"/>
        <v>new</v>
      </c>
      <c r="R993" s="2">
        <f t="shared" si="109"/>
        <v>3.1599232184366388E-3</v>
      </c>
      <c r="S993">
        <f t="shared" si="110"/>
        <v>0.51406015037593988</v>
      </c>
      <c r="T993" t="str">
        <f t="shared" si="111"/>
        <v>Scenario 3: Strong Convenience</v>
      </c>
    </row>
    <row r="994" spans="1:20" x14ac:dyDescent="0.35">
      <c r="A994" t="s">
        <v>1273</v>
      </c>
      <c r="B994" s="1">
        <v>44224</v>
      </c>
      <c r="C994">
        <v>2021</v>
      </c>
      <c r="D994">
        <v>1</v>
      </c>
      <c r="E994" t="s">
        <v>14</v>
      </c>
      <c r="F994">
        <v>128</v>
      </c>
      <c r="G994" t="s">
        <v>1158</v>
      </c>
      <c r="H994" t="s">
        <v>24</v>
      </c>
      <c r="I994">
        <v>1</v>
      </c>
      <c r="J994">
        <v>0</v>
      </c>
      <c r="K994">
        <v>6.3</v>
      </c>
      <c r="L994">
        <v>140107</v>
      </c>
      <c r="M994" t="s">
        <v>983</v>
      </c>
      <c r="N994" t="str">
        <f t="shared" si="105"/>
        <v>cinema</v>
      </c>
      <c r="O994" t="str">
        <f t="shared" si="106"/>
        <v>original</v>
      </c>
      <c r="P994" t="str">
        <f t="shared" si="107"/>
        <v>non-franchise</v>
      </c>
      <c r="Q994" t="str">
        <f t="shared" si="108"/>
        <v>old</v>
      </c>
      <c r="R994" s="2">
        <f t="shared" si="109"/>
        <v>0.10052180824358867</v>
      </c>
      <c r="S994">
        <f t="shared" si="110"/>
        <v>0.32684210526315793</v>
      </c>
      <c r="T994" t="str">
        <f t="shared" si="111"/>
        <v>Scenario 1: Strong Commitment</v>
      </c>
    </row>
    <row r="995" spans="1:20" x14ac:dyDescent="0.35">
      <c r="A995" t="s">
        <v>1274</v>
      </c>
      <c r="B995" s="1">
        <v>44239</v>
      </c>
      <c r="C995">
        <v>2021</v>
      </c>
      <c r="D995">
        <v>2</v>
      </c>
      <c r="E995" t="s">
        <v>14</v>
      </c>
      <c r="F995">
        <v>126</v>
      </c>
      <c r="G995" t="s">
        <v>1207</v>
      </c>
      <c r="H995" t="s">
        <v>24</v>
      </c>
      <c r="I995">
        <v>0</v>
      </c>
      <c r="J995">
        <v>0</v>
      </c>
      <c r="K995">
        <v>7.4</v>
      </c>
      <c r="L995">
        <v>114007</v>
      </c>
      <c r="M995" t="s">
        <v>983</v>
      </c>
      <c r="N995" t="str">
        <f t="shared" si="105"/>
        <v>cinema</v>
      </c>
      <c r="O995" t="str">
        <f t="shared" si="106"/>
        <v>non-original</v>
      </c>
      <c r="P995" t="str">
        <f t="shared" si="107"/>
        <v>non-franchise</v>
      </c>
      <c r="Q995" t="str">
        <f t="shared" si="108"/>
        <v>new</v>
      </c>
      <c r="R995" s="2">
        <f t="shared" si="109"/>
        <v>5.3678613854269204E-2</v>
      </c>
      <c r="S995">
        <f t="shared" si="110"/>
        <v>0.58421052631578951</v>
      </c>
      <c r="T995" t="str">
        <f t="shared" si="111"/>
        <v>Scenario 4: Hybrid Logic</v>
      </c>
    </row>
    <row r="996" spans="1:20" x14ac:dyDescent="0.35">
      <c r="A996" t="s">
        <v>1275</v>
      </c>
      <c r="B996" s="1">
        <v>44262</v>
      </c>
      <c r="C996">
        <v>2021</v>
      </c>
      <c r="D996">
        <v>3</v>
      </c>
      <c r="E996" t="s">
        <v>38</v>
      </c>
      <c r="F996">
        <v>112</v>
      </c>
      <c r="G996" t="s">
        <v>1209</v>
      </c>
      <c r="H996" t="s">
        <v>24</v>
      </c>
      <c r="I996">
        <v>1</v>
      </c>
      <c r="J996">
        <v>1</v>
      </c>
      <c r="K996">
        <v>6.2</v>
      </c>
      <c r="L996">
        <v>167379</v>
      </c>
      <c r="M996" t="s">
        <v>989</v>
      </c>
      <c r="N996" t="str">
        <f t="shared" si="105"/>
        <v>cinema</v>
      </c>
      <c r="O996" t="str">
        <f t="shared" si="106"/>
        <v>original</v>
      </c>
      <c r="P996" t="str">
        <f t="shared" si="107"/>
        <v>franchise</v>
      </c>
      <c r="Q996" t="str">
        <f t="shared" si="108"/>
        <v>old</v>
      </c>
      <c r="R996" s="2">
        <f t="shared" si="109"/>
        <v>0.10507743920184696</v>
      </c>
      <c r="S996">
        <f t="shared" si="110"/>
        <v>0.35894736842105263</v>
      </c>
      <c r="T996" t="str">
        <f t="shared" si="111"/>
        <v>Scenario 1: Strong Commitment</v>
      </c>
    </row>
    <row r="997" spans="1:20" x14ac:dyDescent="0.35">
      <c r="A997" t="s">
        <v>1276</v>
      </c>
      <c r="B997" s="1">
        <v>44274</v>
      </c>
      <c r="C997">
        <v>2021</v>
      </c>
      <c r="D997">
        <v>3</v>
      </c>
      <c r="E997" t="s">
        <v>38</v>
      </c>
      <c r="F997">
        <v>92</v>
      </c>
      <c r="G997" t="s">
        <v>982</v>
      </c>
      <c r="H997" t="s">
        <v>24</v>
      </c>
      <c r="I997">
        <v>1</v>
      </c>
      <c r="J997">
        <v>1</v>
      </c>
      <c r="K997">
        <v>7.4</v>
      </c>
      <c r="L997">
        <v>387360</v>
      </c>
      <c r="M997" t="s">
        <v>989</v>
      </c>
      <c r="N997" t="str">
        <f t="shared" si="105"/>
        <v>cinema</v>
      </c>
      <c r="O997" t="str">
        <f t="shared" si="106"/>
        <v>original</v>
      </c>
      <c r="P997" t="str">
        <f t="shared" si="107"/>
        <v>franchise</v>
      </c>
      <c r="Q997" t="str">
        <f t="shared" si="108"/>
        <v>old</v>
      </c>
      <c r="R997" s="2">
        <f t="shared" si="109"/>
        <v>0.19975289772915511</v>
      </c>
      <c r="S997">
        <f t="shared" si="110"/>
        <v>0.48406015037593986</v>
      </c>
      <c r="T997" t="str">
        <f t="shared" si="111"/>
        <v>Scenario 1: Strong Commitment</v>
      </c>
    </row>
    <row r="998" spans="1:20" x14ac:dyDescent="0.35">
      <c r="A998" t="s">
        <v>1277</v>
      </c>
      <c r="B998" s="1">
        <v>44294</v>
      </c>
      <c r="C998">
        <v>2021</v>
      </c>
      <c r="D998">
        <v>4</v>
      </c>
      <c r="E998" t="s">
        <v>38</v>
      </c>
      <c r="F998">
        <v>110</v>
      </c>
      <c r="G998" t="s">
        <v>1004</v>
      </c>
      <c r="H998" t="s">
        <v>24</v>
      </c>
      <c r="I998">
        <v>0</v>
      </c>
      <c r="J998">
        <v>1</v>
      </c>
      <c r="K998">
        <v>6.1</v>
      </c>
      <c r="L998">
        <v>203402</v>
      </c>
      <c r="M998" t="s">
        <v>983</v>
      </c>
      <c r="N998" t="str">
        <f t="shared" si="105"/>
        <v>cinema</v>
      </c>
      <c r="O998" t="str">
        <f t="shared" si="106"/>
        <v>non-original</v>
      </c>
      <c r="P998" t="str">
        <f t="shared" si="107"/>
        <v>franchise</v>
      </c>
      <c r="Q998" t="str">
        <f t="shared" si="108"/>
        <v>old</v>
      </c>
      <c r="R998" s="2">
        <f t="shared" si="109"/>
        <v>0.12541179757033163</v>
      </c>
      <c r="S998">
        <f t="shared" si="110"/>
        <v>0.3577443609022557</v>
      </c>
      <c r="T998" t="str">
        <f t="shared" si="111"/>
        <v>Scenario 1: Strong Commitment</v>
      </c>
    </row>
    <row r="999" spans="1:20" x14ac:dyDescent="0.35">
      <c r="A999" t="s">
        <v>1278</v>
      </c>
      <c r="B999" s="1">
        <v>44308</v>
      </c>
      <c r="C999">
        <v>2021</v>
      </c>
      <c r="D999">
        <v>4</v>
      </c>
      <c r="E999" t="s">
        <v>38</v>
      </c>
      <c r="F999">
        <v>119</v>
      </c>
      <c r="G999" t="s">
        <v>1126</v>
      </c>
      <c r="H999" t="s">
        <v>24</v>
      </c>
      <c r="I999">
        <v>0</v>
      </c>
      <c r="J999">
        <v>0</v>
      </c>
      <c r="K999">
        <v>7.1</v>
      </c>
      <c r="L999">
        <v>236258</v>
      </c>
      <c r="M999" t="s">
        <v>989</v>
      </c>
      <c r="N999" t="str">
        <f t="shared" si="105"/>
        <v>cinema</v>
      </c>
      <c r="O999" t="str">
        <f t="shared" si="106"/>
        <v>non-original</v>
      </c>
      <c r="P999" t="str">
        <f t="shared" si="107"/>
        <v>non-franchise</v>
      </c>
      <c r="Q999" t="str">
        <f t="shared" si="108"/>
        <v>new</v>
      </c>
      <c r="R999" s="2">
        <f t="shared" si="109"/>
        <v>0.105058867332558</v>
      </c>
      <c r="S999">
        <f t="shared" si="110"/>
        <v>0.58855263157894733</v>
      </c>
      <c r="T999" t="str">
        <f t="shared" si="111"/>
        <v>Scenario 4: Hybrid Logic</v>
      </c>
    </row>
    <row r="1000" spans="1:20" x14ac:dyDescent="0.35">
      <c r="A1000" t="s">
        <v>1279</v>
      </c>
      <c r="B1000" s="1">
        <v>44328</v>
      </c>
      <c r="C1000">
        <v>2021</v>
      </c>
      <c r="D1000">
        <v>5</v>
      </c>
      <c r="E1000" t="s">
        <v>38</v>
      </c>
      <c r="F1000">
        <v>93</v>
      </c>
      <c r="G1000" t="s">
        <v>1209</v>
      </c>
      <c r="H1000" t="s">
        <v>24</v>
      </c>
      <c r="I1000">
        <v>1</v>
      </c>
      <c r="J1000">
        <v>1</v>
      </c>
      <c r="K1000">
        <v>5.2</v>
      </c>
      <c r="L1000">
        <v>76424</v>
      </c>
      <c r="M1000" t="s">
        <v>983</v>
      </c>
      <c r="N1000" t="str">
        <f t="shared" si="105"/>
        <v>cinema</v>
      </c>
      <c r="O1000" t="str">
        <f t="shared" si="106"/>
        <v>original</v>
      </c>
      <c r="P1000" t="str">
        <f t="shared" si="107"/>
        <v>franchise</v>
      </c>
      <c r="Q1000" t="str">
        <f t="shared" si="108"/>
        <v>old</v>
      </c>
      <c r="R1000" s="2">
        <f t="shared" si="109"/>
        <v>3.9838520548600015E-2</v>
      </c>
      <c r="S1000">
        <f t="shared" si="110"/>
        <v>0.33819548872180449</v>
      </c>
      <c r="T1000" t="str">
        <f t="shared" si="111"/>
        <v>Scenario 1: Strong Commitment</v>
      </c>
    </row>
    <row r="1001" spans="1:20" x14ac:dyDescent="0.35">
      <c r="A1001" t="s">
        <v>1279</v>
      </c>
      <c r="B1001" s="1">
        <v>44328</v>
      </c>
      <c r="C1001">
        <v>2021</v>
      </c>
      <c r="D1001">
        <v>5</v>
      </c>
      <c r="E1001" t="s">
        <v>38</v>
      </c>
      <c r="F1001">
        <v>92</v>
      </c>
      <c r="G1001" t="s">
        <v>34</v>
      </c>
      <c r="H1001" t="s">
        <v>24</v>
      </c>
      <c r="I1001">
        <v>1</v>
      </c>
      <c r="J1001">
        <v>1</v>
      </c>
      <c r="K1001">
        <v>7</v>
      </c>
      <c r="L1001">
        <v>59</v>
      </c>
      <c r="M1001" t="s">
        <v>983</v>
      </c>
      <c r="N1001" t="str">
        <f t="shared" si="105"/>
        <v>cinema</v>
      </c>
      <c r="O1001" t="str">
        <f t="shared" si="106"/>
        <v>original</v>
      </c>
      <c r="P1001" t="str">
        <f t="shared" si="107"/>
        <v>franchise</v>
      </c>
      <c r="Q1001" t="str">
        <f t="shared" si="108"/>
        <v>old</v>
      </c>
      <c r="R1001" s="2">
        <f t="shared" si="109"/>
        <v>3.0424981841233356E-5</v>
      </c>
      <c r="S1001">
        <f t="shared" si="110"/>
        <v>0.45789473684210524</v>
      </c>
      <c r="T1001" t="str">
        <f t="shared" si="111"/>
        <v>Scenario 2: Weak Commitment/Convenience</v>
      </c>
    </row>
    <row r="1002" spans="1:20" x14ac:dyDescent="0.35">
      <c r="A1002" t="s">
        <v>1280</v>
      </c>
      <c r="B1002" s="1">
        <v>44369</v>
      </c>
      <c r="C1002">
        <v>2021</v>
      </c>
      <c r="D1002">
        <v>6</v>
      </c>
      <c r="E1002" t="s">
        <v>78</v>
      </c>
      <c r="F1002">
        <v>119</v>
      </c>
      <c r="G1002" t="s">
        <v>1207</v>
      </c>
      <c r="H1002" t="s">
        <v>24</v>
      </c>
      <c r="I1002">
        <v>0</v>
      </c>
      <c r="J1002">
        <v>0</v>
      </c>
      <c r="K1002">
        <v>6.2</v>
      </c>
      <c r="L1002">
        <v>11209</v>
      </c>
      <c r="M1002" t="s">
        <v>983</v>
      </c>
      <c r="N1002" t="str">
        <f t="shared" si="105"/>
        <v>cinema</v>
      </c>
      <c r="O1002" t="str">
        <f t="shared" si="106"/>
        <v>non-original</v>
      </c>
      <c r="P1002" t="str">
        <f t="shared" si="107"/>
        <v>non-franchise</v>
      </c>
      <c r="Q1002" t="str">
        <f t="shared" si="108"/>
        <v>new</v>
      </c>
      <c r="R1002" s="2">
        <f t="shared" si="109"/>
        <v>4.9844019839778647E-3</v>
      </c>
      <c r="S1002">
        <f t="shared" si="110"/>
        <v>0.5139473684210526</v>
      </c>
      <c r="T1002" t="str">
        <f t="shared" si="111"/>
        <v>Scenario 3: Strong Convenience</v>
      </c>
    </row>
    <row r="1003" spans="1:20" x14ac:dyDescent="0.35">
      <c r="A1003" t="s">
        <v>1281</v>
      </c>
      <c r="B1003" s="1">
        <v>44378</v>
      </c>
      <c r="C1003">
        <v>2021</v>
      </c>
      <c r="D1003">
        <v>7</v>
      </c>
      <c r="E1003" t="s">
        <v>78</v>
      </c>
      <c r="F1003">
        <v>103</v>
      </c>
      <c r="G1003" t="s">
        <v>982</v>
      </c>
      <c r="H1003" t="s">
        <v>24</v>
      </c>
      <c r="I1003">
        <v>1</v>
      </c>
      <c r="J1003">
        <v>1</v>
      </c>
      <c r="K1003">
        <v>5.4</v>
      </c>
      <c r="L1003">
        <v>48352</v>
      </c>
      <c r="M1003" t="s">
        <v>989</v>
      </c>
      <c r="N1003" t="str">
        <f t="shared" si="105"/>
        <v>cinema</v>
      </c>
      <c r="O1003" t="str">
        <f t="shared" si="106"/>
        <v>original</v>
      </c>
      <c r="P1003" t="str">
        <f t="shared" si="107"/>
        <v>franchise</v>
      </c>
      <c r="Q1003" t="str">
        <f t="shared" si="108"/>
        <v>old</v>
      </c>
      <c r="R1003" s="2">
        <f t="shared" si="109"/>
        <v>2.7915290781999533E-2</v>
      </c>
      <c r="S1003">
        <f t="shared" si="110"/>
        <v>0.33090225563909775</v>
      </c>
      <c r="T1003" t="str">
        <f t="shared" si="111"/>
        <v>Scenario 2: Weak Commitment/Convenience</v>
      </c>
    </row>
    <row r="1004" spans="1:20" x14ac:dyDescent="0.35">
      <c r="A1004" t="s">
        <v>1282</v>
      </c>
      <c r="B1004" s="1">
        <v>44384</v>
      </c>
      <c r="C1004">
        <v>2021</v>
      </c>
      <c r="D1004">
        <v>7</v>
      </c>
      <c r="E1004" t="s">
        <v>78</v>
      </c>
      <c r="F1004">
        <v>141</v>
      </c>
      <c r="G1004" t="s">
        <v>1128</v>
      </c>
      <c r="H1004" t="s">
        <v>24</v>
      </c>
      <c r="I1004">
        <v>1</v>
      </c>
      <c r="J1004">
        <v>0</v>
      </c>
      <c r="K1004">
        <v>6.3</v>
      </c>
      <c r="L1004">
        <v>24232</v>
      </c>
      <c r="M1004" t="s">
        <v>983</v>
      </c>
      <c r="N1004" t="str">
        <f t="shared" si="105"/>
        <v>cinema</v>
      </c>
      <c r="O1004" t="str">
        <f t="shared" si="106"/>
        <v>original</v>
      </c>
      <c r="P1004" t="str">
        <f t="shared" si="107"/>
        <v>non-franchise</v>
      </c>
      <c r="Q1004" t="str">
        <f t="shared" si="108"/>
        <v>old</v>
      </c>
      <c r="R1004" s="2">
        <f t="shared" si="109"/>
        <v>1.9151326557981598E-2</v>
      </c>
      <c r="S1004">
        <f t="shared" si="110"/>
        <v>0.29605263157894735</v>
      </c>
      <c r="T1004" t="str">
        <f t="shared" si="111"/>
        <v>Scenario 2: Weak Commitment/Convenience</v>
      </c>
    </row>
    <row r="1005" spans="1:20" x14ac:dyDescent="0.35">
      <c r="A1005" t="s">
        <v>1283</v>
      </c>
      <c r="B1005" s="1">
        <v>44400</v>
      </c>
      <c r="C1005">
        <v>2021</v>
      </c>
      <c r="D1005">
        <v>7</v>
      </c>
      <c r="E1005" t="s">
        <v>78</v>
      </c>
      <c r="F1005">
        <v>99</v>
      </c>
      <c r="G1005" t="s">
        <v>1284</v>
      </c>
      <c r="H1005" t="s">
        <v>24</v>
      </c>
      <c r="I1005">
        <v>0</v>
      </c>
      <c r="J1005">
        <v>0</v>
      </c>
      <c r="K1005">
        <v>4.5999999999999996</v>
      </c>
      <c r="L1005">
        <v>12747</v>
      </c>
      <c r="M1005" t="s">
        <v>983</v>
      </c>
      <c r="N1005" t="str">
        <f t="shared" si="105"/>
        <v>cinema</v>
      </c>
      <c r="O1005" t="str">
        <f t="shared" si="106"/>
        <v>non-original</v>
      </c>
      <c r="P1005" t="str">
        <f t="shared" si="107"/>
        <v>non-franchise</v>
      </c>
      <c r="Q1005" t="str">
        <f t="shared" si="108"/>
        <v>new</v>
      </c>
      <c r="R1005" s="2">
        <f t="shared" si="109"/>
        <v>4.7156591880975138E-3</v>
      </c>
      <c r="S1005">
        <f t="shared" si="110"/>
        <v>0.43319548872180452</v>
      </c>
      <c r="T1005" t="str">
        <f t="shared" si="111"/>
        <v>Scenario 2: Weak Commitment/Convenience</v>
      </c>
    </row>
    <row r="1006" spans="1:20" x14ac:dyDescent="0.35">
      <c r="A1006" t="s">
        <v>1285</v>
      </c>
      <c r="B1006" s="1">
        <v>44405</v>
      </c>
      <c r="C1006">
        <v>2021</v>
      </c>
      <c r="D1006">
        <v>7</v>
      </c>
      <c r="E1006" t="s">
        <v>78</v>
      </c>
      <c r="F1006">
        <v>132</v>
      </c>
      <c r="G1006" t="s">
        <v>1043</v>
      </c>
      <c r="H1006" t="s">
        <v>24</v>
      </c>
      <c r="I1006">
        <v>0</v>
      </c>
      <c r="J1006">
        <v>1</v>
      </c>
      <c r="K1006">
        <v>7.2</v>
      </c>
      <c r="L1006">
        <v>454863</v>
      </c>
      <c r="M1006" t="s">
        <v>983</v>
      </c>
      <c r="N1006" t="str">
        <f t="shared" si="105"/>
        <v>cinema</v>
      </c>
      <c r="O1006" t="str">
        <f t="shared" si="106"/>
        <v>non-original</v>
      </c>
      <c r="P1006" t="str">
        <f t="shared" si="107"/>
        <v>franchise</v>
      </c>
      <c r="Q1006" t="str">
        <f t="shared" si="108"/>
        <v>old</v>
      </c>
      <c r="R1006" s="2">
        <f t="shared" si="109"/>
        <v>0.33654646352484496</v>
      </c>
      <c r="S1006">
        <f t="shared" si="110"/>
        <v>0.36270676691729326</v>
      </c>
      <c r="T1006" t="str">
        <f t="shared" si="111"/>
        <v>Scenario 1: Strong Commitment</v>
      </c>
    </row>
    <row r="1007" spans="1:20" x14ac:dyDescent="0.35">
      <c r="A1007" t="s">
        <v>1286</v>
      </c>
      <c r="B1007" s="1">
        <v>44407</v>
      </c>
      <c r="C1007">
        <v>2021</v>
      </c>
      <c r="D1007">
        <v>7</v>
      </c>
      <c r="E1007" t="s">
        <v>78</v>
      </c>
      <c r="F1007">
        <v>130</v>
      </c>
      <c r="G1007" t="s">
        <v>1287</v>
      </c>
      <c r="H1007" t="s">
        <v>24</v>
      </c>
      <c r="I1007">
        <v>0</v>
      </c>
      <c r="J1007">
        <v>0</v>
      </c>
      <c r="K1007">
        <v>6.6</v>
      </c>
      <c r="L1007">
        <v>130351</v>
      </c>
      <c r="M1007" t="s">
        <v>983</v>
      </c>
      <c r="N1007" t="str">
        <f t="shared" si="105"/>
        <v>cinema</v>
      </c>
      <c r="O1007" t="str">
        <f t="shared" si="106"/>
        <v>non-original</v>
      </c>
      <c r="P1007" t="str">
        <f t="shared" si="107"/>
        <v>non-franchise</v>
      </c>
      <c r="Q1007" t="str">
        <f t="shared" si="108"/>
        <v>new</v>
      </c>
      <c r="R1007" s="2">
        <f t="shared" si="109"/>
        <v>6.3322339110569781E-2</v>
      </c>
      <c r="S1007">
        <f t="shared" si="110"/>
        <v>0.50616541353383449</v>
      </c>
      <c r="T1007" t="str">
        <f t="shared" si="111"/>
        <v>Scenario 4: Hybrid Logic</v>
      </c>
    </row>
    <row r="1008" spans="1:20" x14ac:dyDescent="0.35">
      <c r="A1008" t="s">
        <v>1288</v>
      </c>
      <c r="B1008" s="1">
        <v>44441</v>
      </c>
      <c r="C1008">
        <v>2021</v>
      </c>
      <c r="D1008">
        <v>9</v>
      </c>
      <c r="E1008" t="s">
        <v>125</v>
      </c>
      <c r="F1008">
        <v>111</v>
      </c>
      <c r="G1008" t="s">
        <v>1289</v>
      </c>
      <c r="H1008" t="s">
        <v>24</v>
      </c>
      <c r="I1008">
        <v>1</v>
      </c>
      <c r="J1008">
        <v>0</v>
      </c>
      <c r="K1008">
        <v>6.2</v>
      </c>
      <c r="L1008">
        <v>120701</v>
      </c>
      <c r="M1008" t="s">
        <v>983</v>
      </c>
      <c r="N1008" t="str">
        <f t="shared" si="105"/>
        <v>cinema</v>
      </c>
      <c r="O1008" t="str">
        <f t="shared" si="106"/>
        <v>original</v>
      </c>
      <c r="P1008" t="str">
        <f t="shared" si="107"/>
        <v>non-franchise</v>
      </c>
      <c r="Q1008" t="str">
        <f t="shared" si="108"/>
        <v>old</v>
      </c>
      <c r="R1008" s="2">
        <f t="shared" si="109"/>
        <v>7.5097302208414984E-2</v>
      </c>
      <c r="S1008">
        <f t="shared" si="110"/>
        <v>0.36127819548872175</v>
      </c>
      <c r="T1008" t="str">
        <f t="shared" si="111"/>
        <v>Scenario 1: Strong Commitment</v>
      </c>
    </row>
    <row r="1009" spans="1:20" x14ac:dyDescent="0.35">
      <c r="A1009" t="s">
        <v>1290</v>
      </c>
      <c r="B1009" s="1">
        <v>44463</v>
      </c>
      <c r="C1009">
        <v>2021</v>
      </c>
      <c r="D1009">
        <v>9</v>
      </c>
      <c r="E1009" t="s">
        <v>125</v>
      </c>
      <c r="F1009">
        <v>120</v>
      </c>
      <c r="G1009" t="s">
        <v>1291</v>
      </c>
      <c r="H1009" t="s">
        <v>24</v>
      </c>
      <c r="I1009">
        <v>0</v>
      </c>
      <c r="J1009">
        <v>0</v>
      </c>
      <c r="K1009">
        <v>6.3</v>
      </c>
      <c r="L1009">
        <v>68239</v>
      </c>
      <c r="M1009" t="s">
        <v>983</v>
      </c>
      <c r="N1009" t="str">
        <f t="shared" si="105"/>
        <v>cinema</v>
      </c>
      <c r="O1009" t="str">
        <f t="shared" si="106"/>
        <v>non-original</v>
      </c>
      <c r="P1009" t="str">
        <f t="shared" si="107"/>
        <v>non-franchise</v>
      </c>
      <c r="Q1009" t="str">
        <f t="shared" si="108"/>
        <v>new</v>
      </c>
      <c r="R1009" s="2">
        <f t="shared" si="109"/>
        <v>3.0599415414354063E-2</v>
      </c>
      <c r="S1009">
        <f t="shared" si="110"/>
        <v>0.51868421052631586</v>
      </c>
      <c r="T1009" t="str">
        <f t="shared" si="111"/>
        <v>Scenario 4: Hybrid Logic</v>
      </c>
    </row>
    <row r="1010" spans="1:20" x14ac:dyDescent="0.35">
      <c r="A1010" t="s">
        <v>1292</v>
      </c>
      <c r="B1010" s="1">
        <v>44482</v>
      </c>
      <c r="C1010">
        <v>2021</v>
      </c>
      <c r="D1010">
        <v>10</v>
      </c>
      <c r="E1010" t="s">
        <v>125</v>
      </c>
      <c r="F1010">
        <v>152</v>
      </c>
      <c r="G1010" t="s">
        <v>1269</v>
      </c>
      <c r="H1010" t="s">
        <v>24</v>
      </c>
      <c r="I1010">
        <v>0</v>
      </c>
      <c r="J1010">
        <v>0</v>
      </c>
      <c r="K1010">
        <v>7.3</v>
      </c>
      <c r="L1010">
        <v>204666</v>
      </c>
      <c r="M1010" t="s">
        <v>983</v>
      </c>
      <c r="N1010" t="str">
        <f t="shared" si="105"/>
        <v>cinema</v>
      </c>
      <c r="O1010" t="str">
        <f t="shared" si="106"/>
        <v>non-original</v>
      </c>
      <c r="P1010" t="str">
        <f t="shared" si="107"/>
        <v>non-franchise</v>
      </c>
      <c r="Q1010" t="str">
        <f t="shared" si="108"/>
        <v>new</v>
      </c>
      <c r="R1010" s="2">
        <f t="shared" si="109"/>
        <v>0.11624881094260815</v>
      </c>
      <c r="S1010">
        <f t="shared" si="110"/>
        <v>0.46928571428571431</v>
      </c>
      <c r="T1010" t="str">
        <f t="shared" si="111"/>
        <v>Scenario 1: Strong Commitment</v>
      </c>
    </row>
    <row r="1011" spans="1:20" x14ac:dyDescent="0.35">
      <c r="A1011" t="s">
        <v>1293</v>
      </c>
      <c r="B1011" s="1">
        <v>44483</v>
      </c>
      <c r="C1011">
        <v>2021</v>
      </c>
      <c r="D1011">
        <v>10</v>
      </c>
      <c r="E1011" t="s">
        <v>125</v>
      </c>
      <c r="F1011">
        <v>105</v>
      </c>
      <c r="G1011" t="s">
        <v>1294</v>
      </c>
      <c r="H1011" t="s">
        <v>24</v>
      </c>
      <c r="I1011">
        <v>1</v>
      </c>
      <c r="J1011">
        <v>1</v>
      </c>
      <c r="K1011">
        <v>5.5</v>
      </c>
      <c r="L1011">
        <v>107638</v>
      </c>
      <c r="M1011" t="s">
        <v>989</v>
      </c>
      <c r="N1011" t="str">
        <f t="shared" si="105"/>
        <v>cinema</v>
      </c>
      <c r="O1011" t="str">
        <f t="shared" si="106"/>
        <v>original</v>
      </c>
      <c r="P1011" t="str">
        <f t="shared" si="107"/>
        <v>franchise</v>
      </c>
      <c r="Q1011" t="str">
        <f t="shared" si="108"/>
        <v>old</v>
      </c>
      <c r="R1011" s="2">
        <f t="shared" si="109"/>
        <v>6.3349823235040723E-2</v>
      </c>
      <c r="S1011">
        <f t="shared" si="110"/>
        <v>0.3328947368421053</v>
      </c>
      <c r="T1011" t="str">
        <f t="shared" si="111"/>
        <v>Scenario 1: Strong Commitment</v>
      </c>
    </row>
    <row r="1012" spans="1:20" x14ac:dyDescent="0.35">
      <c r="A1012" t="s">
        <v>1295</v>
      </c>
      <c r="B1012" s="1">
        <v>44496</v>
      </c>
      <c r="C1012">
        <v>2021</v>
      </c>
      <c r="D1012">
        <v>10</v>
      </c>
      <c r="E1012" t="s">
        <v>125</v>
      </c>
      <c r="F1012">
        <v>116</v>
      </c>
      <c r="G1012" t="s">
        <v>1088</v>
      </c>
      <c r="H1012" t="s">
        <v>24</v>
      </c>
      <c r="I1012">
        <v>1</v>
      </c>
      <c r="J1012">
        <v>0</v>
      </c>
      <c r="K1012">
        <v>7</v>
      </c>
      <c r="L1012">
        <v>198460</v>
      </c>
      <c r="M1012" t="s">
        <v>983</v>
      </c>
      <c r="N1012" t="str">
        <f t="shared" si="105"/>
        <v>cinema</v>
      </c>
      <c r="O1012" t="str">
        <f t="shared" si="106"/>
        <v>original</v>
      </c>
      <c r="P1012" t="str">
        <f t="shared" si="107"/>
        <v>non-franchise</v>
      </c>
      <c r="Q1012" t="str">
        <f t="shared" si="108"/>
        <v>old</v>
      </c>
      <c r="R1012" s="2">
        <f t="shared" si="109"/>
        <v>0.12903914148129988</v>
      </c>
      <c r="S1012">
        <f t="shared" si="110"/>
        <v>0.39473684210526316</v>
      </c>
      <c r="T1012" t="str">
        <f t="shared" si="111"/>
        <v>Scenario 1: Strong Commitment</v>
      </c>
    </row>
    <row r="1013" spans="1:20" x14ac:dyDescent="0.35">
      <c r="A1013" t="s">
        <v>1296</v>
      </c>
      <c r="B1013" s="1">
        <v>44498</v>
      </c>
      <c r="C1013">
        <v>2021</v>
      </c>
      <c r="D1013">
        <v>10</v>
      </c>
      <c r="E1013" t="s">
        <v>125</v>
      </c>
      <c r="F1013">
        <v>105</v>
      </c>
      <c r="G1013" t="s">
        <v>34</v>
      </c>
      <c r="H1013" t="s">
        <v>24</v>
      </c>
      <c r="I1013">
        <v>0</v>
      </c>
      <c r="J1013">
        <v>0</v>
      </c>
      <c r="K1013">
        <v>6.1</v>
      </c>
      <c r="L1013">
        <v>3398</v>
      </c>
      <c r="M1013" t="s">
        <v>983</v>
      </c>
      <c r="N1013" t="str">
        <f t="shared" si="105"/>
        <v>cinema</v>
      </c>
      <c r="O1013" t="str">
        <f t="shared" si="106"/>
        <v>non-original</v>
      </c>
      <c r="P1013" t="str">
        <f t="shared" si="107"/>
        <v>non-franchise</v>
      </c>
      <c r="Q1013" t="str">
        <f t="shared" si="108"/>
        <v>new</v>
      </c>
      <c r="R1013" s="2">
        <f t="shared" si="109"/>
        <v>1.3332509544502148E-3</v>
      </c>
      <c r="S1013">
        <f t="shared" si="110"/>
        <v>0.55381578947368426</v>
      </c>
      <c r="T1013" t="str">
        <f t="shared" si="111"/>
        <v>Scenario 3: Strong Convenience</v>
      </c>
    </row>
    <row r="1014" spans="1:20" x14ac:dyDescent="0.35">
      <c r="A1014" t="s">
        <v>336</v>
      </c>
      <c r="B1014" s="1">
        <v>44517</v>
      </c>
      <c r="C1014">
        <v>2021</v>
      </c>
      <c r="D1014">
        <v>11</v>
      </c>
      <c r="E1014" t="s">
        <v>125</v>
      </c>
      <c r="F1014">
        <v>126</v>
      </c>
      <c r="G1014" t="s">
        <v>1297</v>
      </c>
      <c r="H1014" t="s">
        <v>24</v>
      </c>
      <c r="I1014">
        <v>0</v>
      </c>
      <c r="J1014">
        <v>0</v>
      </c>
      <c r="K1014">
        <v>6.8</v>
      </c>
      <c r="L1014">
        <v>221465</v>
      </c>
      <c r="M1014" t="s">
        <v>983</v>
      </c>
      <c r="N1014" t="str">
        <f t="shared" si="105"/>
        <v>cinema</v>
      </c>
      <c r="O1014" t="str">
        <f t="shared" si="106"/>
        <v>non-original</v>
      </c>
      <c r="P1014" t="str">
        <f t="shared" si="107"/>
        <v>non-franchise</v>
      </c>
      <c r="Q1014" t="str">
        <f t="shared" si="108"/>
        <v>new</v>
      </c>
      <c r="R1014" s="2">
        <f t="shared" si="109"/>
        <v>0.10427372194019428</v>
      </c>
      <c r="S1014">
        <f t="shared" si="110"/>
        <v>0.53684210526315801</v>
      </c>
      <c r="T1014" t="str">
        <f t="shared" si="111"/>
        <v>Scenario 4: Hybrid Logic</v>
      </c>
    </row>
    <row r="1015" spans="1:20" x14ac:dyDescent="0.35">
      <c r="A1015" t="s">
        <v>1298</v>
      </c>
      <c r="B1015" s="1">
        <v>44524</v>
      </c>
      <c r="C1015">
        <v>2021</v>
      </c>
      <c r="D1015">
        <v>11</v>
      </c>
      <c r="E1015" t="s">
        <v>125</v>
      </c>
      <c r="F1015">
        <v>107</v>
      </c>
      <c r="G1015" t="s">
        <v>998</v>
      </c>
      <c r="H1015" t="s">
        <v>24</v>
      </c>
      <c r="I1015">
        <v>0</v>
      </c>
      <c r="J1015">
        <v>1</v>
      </c>
      <c r="K1015">
        <v>5.2</v>
      </c>
      <c r="L1015">
        <v>71020</v>
      </c>
      <c r="M1015" t="s">
        <v>983</v>
      </c>
      <c r="N1015" t="str">
        <f t="shared" si="105"/>
        <v>cinema</v>
      </c>
      <c r="O1015" t="str">
        <f t="shared" si="106"/>
        <v>non-original</v>
      </c>
      <c r="P1015" t="str">
        <f t="shared" si="107"/>
        <v>franchise</v>
      </c>
      <c r="Q1015" t="str">
        <f t="shared" si="108"/>
        <v>old</v>
      </c>
      <c r="R1015" s="2">
        <f t="shared" si="109"/>
        <v>4.2594638266210398E-2</v>
      </c>
      <c r="S1015">
        <f t="shared" si="110"/>
        <v>0.31082706766917295</v>
      </c>
      <c r="T1015" t="str">
        <f t="shared" si="111"/>
        <v>Scenario 1: Strong Commitment</v>
      </c>
    </row>
    <row r="1016" spans="1:20" x14ac:dyDescent="0.35">
      <c r="A1016" t="s">
        <v>1299</v>
      </c>
      <c r="B1016" s="1">
        <v>44524</v>
      </c>
      <c r="C1016">
        <v>2021</v>
      </c>
      <c r="D1016">
        <v>11</v>
      </c>
      <c r="E1016" t="s">
        <v>125</v>
      </c>
      <c r="F1016">
        <v>158</v>
      </c>
      <c r="G1016" t="s">
        <v>1207</v>
      </c>
      <c r="H1016" t="s">
        <v>24</v>
      </c>
      <c r="I1016">
        <v>0</v>
      </c>
      <c r="J1016">
        <v>0</v>
      </c>
      <c r="K1016">
        <v>6.6</v>
      </c>
      <c r="L1016">
        <v>173902</v>
      </c>
      <c r="M1016" t="s">
        <v>983</v>
      </c>
      <c r="N1016" t="str">
        <f t="shared" si="105"/>
        <v>cinema</v>
      </c>
      <c r="O1016" t="str">
        <f t="shared" si="106"/>
        <v>non-original</v>
      </c>
      <c r="P1016" t="str">
        <f t="shared" si="107"/>
        <v>non-franchise</v>
      </c>
      <c r="Q1016" t="str">
        <f t="shared" si="108"/>
        <v>new</v>
      </c>
      <c r="R1016" s="2">
        <f t="shared" si="109"/>
        <v>0.10267409731765632</v>
      </c>
      <c r="S1016">
        <f t="shared" si="110"/>
        <v>0.40195488721804506</v>
      </c>
      <c r="T1016" t="str">
        <f t="shared" si="111"/>
        <v>Scenario 1: Strong Commitment</v>
      </c>
    </row>
    <row r="1017" spans="1:20" x14ac:dyDescent="0.35">
      <c r="A1017" t="s">
        <v>1300</v>
      </c>
      <c r="B1017" s="1">
        <v>44526</v>
      </c>
      <c r="C1017">
        <v>2021</v>
      </c>
      <c r="D1017">
        <v>11</v>
      </c>
      <c r="E1017" t="s">
        <v>125</v>
      </c>
      <c r="F1017">
        <v>133</v>
      </c>
      <c r="G1017" t="s">
        <v>1016</v>
      </c>
      <c r="H1017" t="s">
        <v>24</v>
      </c>
      <c r="I1017">
        <v>1</v>
      </c>
      <c r="J1017">
        <v>0</v>
      </c>
      <c r="K1017">
        <v>7.1</v>
      </c>
      <c r="L1017">
        <v>158795</v>
      </c>
      <c r="M1017" t="s">
        <v>983</v>
      </c>
      <c r="N1017" t="str">
        <f t="shared" si="105"/>
        <v>cinema</v>
      </c>
      <c r="O1017" t="str">
        <f t="shared" si="106"/>
        <v>original</v>
      </c>
      <c r="P1017" t="str">
        <f t="shared" si="107"/>
        <v>non-franchise</v>
      </c>
      <c r="Q1017" t="str">
        <f t="shared" si="108"/>
        <v>old</v>
      </c>
      <c r="R1017" s="2">
        <f t="shared" si="109"/>
        <v>0.1183801683615808</v>
      </c>
      <c r="S1017">
        <f t="shared" si="110"/>
        <v>0.35499999999999998</v>
      </c>
      <c r="T1017" t="str">
        <f t="shared" si="111"/>
        <v>Scenario 1: Strong Commitment</v>
      </c>
    </row>
    <row r="1018" spans="1:20" x14ac:dyDescent="0.35">
      <c r="A1018" t="s">
        <v>1301</v>
      </c>
      <c r="B1018" s="1">
        <v>44540</v>
      </c>
      <c r="C1018">
        <v>2021</v>
      </c>
      <c r="D1018">
        <v>12</v>
      </c>
      <c r="E1018" t="s">
        <v>14</v>
      </c>
      <c r="F1018">
        <v>116</v>
      </c>
      <c r="G1018" t="s">
        <v>1259</v>
      </c>
      <c r="H1018" t="s">
        <v>24</v>
      </c>
      <c r="I1018">
        <v>0</v>
      </c>
      <c r="J1018">
        <v>0</v>
      </c>
      <c r="K1018">
        <v>5.7</v>
      </c>
      <c r="L1018">
        <v>2104</v>
      </c>
      <c r="M1018" t="s">
        <v>983</v>
      </c>
      <c r="N1018" t="str">
        <f t="shared" si="105"/>
        <v>cinema</v>
      </c>
      <c r="O1018" t="str">
        <f t="shared" si="106"/>
        <v>non-original</v>
      </c>
      <c r="P1018" t="str">
        <f t="shared" si="107"/>
        <v>non-franchise</v>
      </c>
      <c r="Q1018" t="str">
        <f t="shared" si="108"/>
        <v>new</v>
      </c>
      <c r="R1018" s="2">
        <f t="shared" si="109"/>
        <v>9.120170434903927E-4</v>
      </c>
      <c r="S1018">
        <f t="shared" si="110"/>
        <v>0.48214285714285721</v>
      </c>
      <c r="T1018" t="str">
        <f t="shared" si="111"/>
        <v>Scenario 2: Weak Commitment/Convenience</v>
      </c>
    </row>
    <row r="1019" spans="1:20" x14ac:dyDescent="0.35">
      <c r="A1019" t="s">
        <v>1302</v>
      </c>
      <c r="B1019" s="1">
        <v>44546</v>
      </c>
      <c r="C1019">
        <v>2021</v>
      </c>
      <c r="D1019">
        <v>12</v>
      </c>
      <c r="E1019" t="s">
        <v>14</v>
      </c>
      <c r="F1019">
        <v>148</v>
      </c>
      <c r="G1019" t="s">
        <v>1303</v>
      </c>
      <c r="H1019" t="s">
        <v>24</v>
      </c>
      <c r="I1019">
        <v>1</v>
      </c>
      <c r="J1019">
        <v>1</v>
      </c>
      <c r="K1019">
        <v>5.6</v>
      </c>
      <c r="L1019">
        <v>301321</v>
      </c>
      <c r="M1019" t="s">
        <v>983</v>
      </c>
      <c r="N1019" t="str">
        <f t="shared" si="105"/>
        <v>cinema</v>
      </c>
      <c r="O1019" t="str">
        <f t="shared" si="106"/>
        <v>original</v>
      </c>
      <c r="P1019" t="str">
        <f t="shared" si="107"/>
        <v>franchise</v>
      </c>
      <c r="Q1019" t="str">
        <f t="shared" si="108"/>
        <v>old</v>
      </c>
      <c r="R1019" s="2">
        <f t="shared" si="109"/>
        <v>0.24996638192715123</v>
      </c>
      <c r="S1019">
        <f t="shared" si="110"/>
        <v>0.24842105263157893</v>
      </c>
      <c r="T1019" t="str">
        <f t="shared" si="111"/>
        <v>Scenario 1: Strong Commitment</v>
      </c>
    </row>
    <row r="1020" spans="1:20" x14ac:dyDescent="0.35">
      <c r="A1020" t="s">
        <v>1304</v>
      </c>
      <c r="B1020" s="1">
        <v>44547</v>
      </c>
      <c r="C1020">
        <v>2021</v>
      </c>
      <c r="D1020">
        <v>12</v>
      </c>
      <c r="E1020" t="s">
        <v>14</v>
      </c>
      <c r="F1020">
        <v>150</v>
      </c>
      <c r="G1020" t="s">
        <v>1305</v>
      </c>
      <c r="H1020" t="s">
        <v>24</v>
      </c>
      <c r="I1020">
        <v>0</v>
      </c>
      <c r="J1020">
        <v>0</v>
      </c>
      <c r="K1020">
        <v>7</v>
      </c>
      <c r="L1020">
        <v>181513</v>
      </c>
      <c r="M1020" t="s">
        <v>983</v>
      </c>
      <c r="N1020" t="str">
        <f t="shared" si="105"/>
        <v>cinema</v>
      </c>
      <c r="O1020" t="str">
        <f t="shared" si="106"/>
        <v>non-original</v>
      </c>
      <c r="P1020" t="str">
        <f t="shared" si="107"/>
        <v>non-franchise</v>
      </c>
      <c r="Q1020" t="str">
        <f t="shared" si="108"/>
        <v>new</v>
      </c>
      <c r="R1020" s="2">
        <f t="shared" si="109"/>
        <v>0.10174152043013615</v>
      </c>
      <c r="S1020">
        <f t="shared" si="110"/>
        <v>0.45789473684210519</v>
      </c>
      <c r="T1020" t="str">
        <f t="shared" si="111"/>
        <v>Scenario 1: Strong Commitment</v>
      </c>
    </row>
    <row r="1021" spans="1:20" x14ac:dyDescent="0.35">
      <c r="A1021" t="s">
        <v>1306</v>
      </c>
      <c r="B1021" s="1">
        <v>44573</v>
      </c>
      <c r="C1021">
        <v>2022</v>
      </c>
      <c r="D1021">
        <v>1</v>
      </c>
      <c r="E1021" t="s">
        <v>14</v>
      </c>
      <c r="F1021">
        <v>114</v>
      </c>
      <c r="G1021" t="s">
        <v>1209</v>
      </c>
      <c r="H1021" t="s">
        <v>24</v>
      </c>
      <c r="I1021">
        <v>1</v>
      </c>
      <c r="J1021">
        <v>1</v>
      </c>
      <c r="K1021">
        <v>6.3</v>
      </c>
      <c r="L1021">
        <v>184600</v>
      </c>
      <c r="M1021" t="s">
        <v>989</v>
      </c>
      <c r="N1021" t="str">
        <f t="shared" si="105"/>
        <v>cinema</v>
      </c>
      <c r="O1021" t="str">
        <f t="shared" si="106"/>
        <v>original</v>
      </c>
      <c r="P1021" t="str">
        <f t="shared" si="107"/>
        <v>franchise</v>
      </c>
      <c r="Q1021" t="str">
        <f t="shared" si="108"/>
        <v>old</v>
      </c>
      <c r="R1021" s="2">
        <f t="shared" si="109"/>
        <v>0.117957901226907</v>
      </c>
      <c r="S1021">
        <f t="shared" si="110"/>
        <v>0.36</v>
      </c>
      <c r="T1021" t="str">
        <f t="shared" si="111"/>
        <v>Scenario 1: Strong Commitment</v>
      </c>
    </row>
    <row r="1022" spans="1:20" x14ac:dyDescent="0.35">
      <c r="A1022" t="s">
        <v>1307</v>
      </c>
      <c r="B1022" s="1">
        <v>44624</v>
      </c>
      <c r="C1022">
        <v>2022</v>
      </c>
      <c r="D1022">
        <v>3</v>
      </c>
      <c r="E1022" t="s">
        <v>38</v>
      </c>
      <c r="F1022">
        <v>105</v>
      </c>
      <c r="G1022" t="s">
        <v>982</v>
      </c>
      <c r="H1022" t="s">
        <v>24</v>
      </c>
      <c r="I1022">
        <v>1</v>
      </c>
      <c r="J1022">
        <v>0</v>
      </c>
      <c r="K1022">
        <v>3.5</v>
      </c>
      <c r="L1022">
        <v>5480</v>
      </c>
      <c r="M1022" t="s">
        <v>983</v>
      </c>
      <c r="N1022" t="str">
        <f t="shared" si="105"/>
        <v>cinema</v>
      </c>
      <c r="O1022" t="str">
        <f t="shared" si="106"/>
        <v>original</v>
      </c>
      <c r="P1022" t="str">
        <f t="shared" si="107"/>
        <v>non-franchise</v>
      </c>
      <c r="Q1022" t="str">
        <f t="shared" si="108"/>
        <v>old</v>
      </c>
      <c r="R1022" s="2">
        <f t="shared" si="109"/>
        <v>3.2252274413127622E-3</v>
      </c>
      <c r="S1022">
        <f t="shared" si="110"/>
        <v>0.21184210526315789</v>
      </c>
      <c r="T1022" t="str">
        <f t="shared" si="111"/>
        <v>Scenario 2: Weak Commitment/Convenience</v>
      </c>
    </row>
    <row r="1023" spans="1:20" x14ac:dyDescent="0.35">
      <c r="A1023" t="s">
        <v>1308</v>
      </c>
      <c r="B1023" s="1">
        <v>44636</v>
      </c>
      <c r="C1023">
        <v>2022</v>
      </c>
      <c r="D1023">
        <v>3</v>
      </c>
      <c r="E1023" t="s">
        <v>38</v>
      </c>
      <c r="F1023">
        <v>136</v>
      </c>
      <c r="G1023" t="s">
        <v>982</v>
      </c>
      <c r="H1023" t="s">
        <v>24</v>
      </c>
      <c r="I1023">
        <v>0</v>
      </c>
      <c r="J1023">
        <v>0</v>
      </c>
      <c r="K1023">
        <v>6.1</v>
      </c>
      <c r="L1023">
        <v>112227</v>
      </c>
      <c r="M1023" t="s">
        <v>983</v>
      </c>
      <c r="N1023" t="str">
        <f t="shared" si="105"/>
        <v>cinema</v>
      </c>
      <c r="O1023" t="str">
        <f t="shared" si="106"/>
        <v>non-original</v>
      </c>
      <c r="P1023" t="str">
        <f t="shared" si="107"/>
        <v>non-franchise</v>
      </c>
      <c r="Q1023" t="str">
        <f t="shared" si="108"/>
        <v>new</v>
      </c>
      <c r="R1023" s="2">
        <f t="shared" si="109"/>
        <v>5.7034218060067428E-2</v>
      </c>
      <c r="S1023">
        <f t="shared" si="110"/>
        <v>0.44718045112781957</v>
      </c>
      <c r="T1023" t="str">
        <f t="shared" si="111"/>
        <v>Scenario 1: Strong Commitment</v>
      </c>
    </row>
    <row r="1024" spans="1:20" x14ac:dyDescent="0.35">
      <c r="A1024" t="s">
        <v>1309</v>
      </c>
      <c r="B1024" s="1">
        <v>44637</v>
      </c>
      <c r="C1024">
        <v>2022</v>
      </c>
      <c r="D1024">
        <v>3</v>
      </c>
      <c r="E1024" t="s">
        <v>38</v>
      </c>
      <c r="F1024">
        <v>105</v>
      </c>
      <c r="G1024" t="s">
        <v>1209</v>
      </c>
      <c r="H1024" t="s">
        <v>24</v>
      </c>
      <c r="I1024">
        <v>1</v>
      </c>
      <c r="J1024">
        <v>1</v>
      </c>
      <c r="K1024">
        <v>6.5</v>
      </c>
      <c r="L1024">
        <v>221962</v>
      </c>
      <c r="M1024" t="s">
        <v>989</v>
      </c>
      <c r="N1024" t="str">
        <f t="shared" si="105"/>
        <v>cinema</v>
      </c>
      <c r="O1024" t="str">
        <f t="shared" si="106"/>
        <v>original</v>
      </c>
      <c r="P1024" t="str">
        <f t="shared" si="107"/>
        <v>franchise</v>
      </c>
      <c r="Q1024" t="str">
        <f t="shared" si="108"/>
        <v>old</v>
      </c>
      <c r="R1024" s="2">
        <f t="shared" si="109"/>
        <v>0.13063465936654442</v>
      </c>
      <c r="S1024">
        <f t="shared" si="110"/>
        <v>0.39342105263157895</v>
      </c>
      <c r="T1024" t="str">
        <f t="shared" si="111"/>
        <v>Scenario 1: Strong Commitment</v>
      </c>
    </row>
    <row r="1025" spans="1:20" x14ac:dyDescent="0.35">
      <c r="A1025" t="s">
        <v>1310</v>
      </c>
      <c r="B1025" s="1">
        <v>44638</v>
      </c>
      <c r="C1025">
        <v>2022</v>
      </c>
      <c r="D1025">
        <v>3</v>
      </c>
      <c r="E1025" t="s">
        <v>38</v>
      </c>
      <c r="F1025">
        <v>105</v>
      </c>
      <c r="G1025" t="s">
        <v>1158</v>
      </c>
      <c r="H1025" t="s">
        <v>24</v>
      </c>
      <c r="I1025">
        <v>1</v>
      </c>
      <c r="J1025">
        <v>0</v>
      </c>
      <c r="K1025">
        <v>7.2</v>
      </c>
      <c r="L1025">
        <v>85586</v>
      </c>
      <c r="M1025" t="s">
        <v>983</v>
      </c>
      <c r="N1025" t="str">
        <f t="shared" si="105"/>
        <v>cinema</v>
      </c>
      <c r="O1025" t="str">
        <f t="shared" si="106"/>
        <v>original</v>
      </c>
      <c r="P1025" t="str">
        <f t="shared" si="107"/>
        <v>non-franchise</v>
      </c>
      <c r="Q1025" t="str">
        <f t="shared" si="108"/>
        <v>old</v>
      </c>
      <c r="R1025" s="2">
        <f t="shared" si="109"/>
        <v>5.0371225509524477E-2</v>
      </c>
      <c r="S1025">
        <f t="shared" si="110"/>
        <v>0.4357894736842105</v>
      </c>
      <c r="T1025" t="str">
        <f t="shared" si="111"/>
        <v>Scenario 1: Strong Commitment</v>
      </c>
    </row>
    <row r="1026" spans="1:20" x14ac:dyDescent="0.35">
      <c r="A1026" t="s">
        <v>1311</v>
      </c>
      <c r="B1026" s="1">
        <v>44652</v>
      </c>
      <c r="C1026">
        <v>2022</v>
      </c>
      <c r="D1026">
        <v>4</v>
      </c>
      <c r="E1026" t="s">
        <v>38</v>
      </c>
      <c r="F1026">
        <v>107</v>
      </c>
      <c r="G1026" t="s">
        <v>1312</v>
      </c>
      <c r="H1026" t="s">
        <v>24</v>
      </c>
      <c r="I1026">
        <v>1</v>
      </c>
      <c r="J1026">
        <v>0</v>
      </c>
      <c r="K1026">
        <v>7</v>
      </c>
      <c r="L1026">
        <v>177641</v>
      </c>
      <c r="M1026" t="s">
        <v>983</v>
      </c>
      <c r="N1026" t="str">
        <f t="shared" si="105"/>
        <v>cinema</v>
      </c>
      <c r="O1026" t="str">
        <f t="shared" si="106"/>
        <v>original</v>
      </c>
      <c r="P1026" t="str">
        <f t="shared" si="107"/>
        <v>non-franchise</v>
      </c>
      <c r="Q1026" t="str">
        <f t="shared" si="108"/>
        <v>old</v>
      </c>
      <c r="R1026" s="2">
        <f t="shared" si="109"/>
        <v>0.10654117341942948</v>
      </c>
      <c r="S1026">
        <f t="shared" si="110"/>
        <v>0.41842105263157897</v>
      </c>
      <c r="T1026" t="str">
        <f t="shared" si="111"/>
        <v>Scenario 1: Strong Commitment</v>
      </c>
    </row>
    <row r="1027" spans="1:20" x14ac:dyDescent="0.35">
      <c r="A1027" t="s">
        <v>1313</v>
      </c>
      <c r="B1027" s="1">
        <v>44664</v>
      </c>
      <c r="C1027">
        <v>2022</v>
      </c>
      <c r="D1027">
        <v>4</v>
      </c>
      <c r="E1027" t="s">
        <v>38</v>
      </c>
      <c r="F1027">
        <v>124</v>
      </c>
      <c r="G1027" t="s">
        <v>1145</v>
      </c>
      <c r="H1027" t="s">
        <v>24</v>
      </c>
      <c r="I1027">
        <v>0</v>
      </c>
      <c r="J1027">
        <v>0</v>
      </c>
      <c r="K1027">
        <v>6.5</v>
      </c>
      <c r="L1027">
        <v>35776</v>
      </c>
      <c r="M1027" t="s">
        <v>989</v>
      </c>
      <c r="N1027" t="str">
        <f t="shared" ref="N1027:N1089" si="112">IF(ISNUMBER(SEARCH("Streaming", M1027)), "streaming", "cinema")</f>
        <v>cinema</v>
      </c>
      <c r="O1027" t="str">
        <f t="shared" ref="O1027:O1089" si="113">IF(I1027=1, "original", "non-original")</f>
        <v>non-original</v>
      </c>
      <c r="P1027" t="str">
        <f t="shared" ref="P1027:P1089" si="114">IF(J1027 = 1, "franchise", "non-franchise")</f>
        <v>non-franchise</v>
      </c>
      <c r="Q1027" t="str">
        <f t="shared" ref="Q1027:Q1089" si="115">IF(OR(I1027 = 1,J1027 =1), "old", "new")</f>
        <v>new</v>
      </c>
      <c r="R1027" s="2">
        <f t="shared" ref="R1027:R1089" si="116">IF(Q1027="old", 1.5, 1) * (L1027 / MAX($L$2:$L$1000)) * (F1027 / MAX($F$2:$F$1000))</f>
        <v>1.6577258000938785E-2</v>
      </c>
      <c r="S1027">
        <f t="shared" ref="S1027:S1089" si="117">IF(Q1027="new", 1.5, 1) * (K1027 / 10) * (1 - (F1027 / MAX($F$2:$F$1000)))</f>
        <v>0.52048872180451133</v>
      </c>
      <c r="T1027" t="str">
        <f t="shared" ref="T1027:T1089" si="118">IF(AND(R1027&gt;=0.03, S1027&gt;=0.5), "Scenario 4: Hybrid Logic",
 IF(AND(R1027&gt;=0.03, S1027&lt;0.5), "Scenario 1: Strong Commitment",
  IF(AND(R1027&lt;0.03, S1027&gt;=0.5), "Scenario 3: Strong Convenience",
   "Scenario 2: Weak Commitment/Convenience")))</f>
        <v>Scenario 3: Strong Convenience</v>
      </c>
    </row>
    <row r="1028" spans="1:20" x14ac:dyDescent="0.35">
      <c r="A1028" t="s">
        <v>1314</v>
      </c>
      <c r="B1028" s="1">
        <v>44729</v>
      </c>
      <c r="C1028">
        <v>2022</v>
      </c>
      <c r="D1028">
        <v>6</v>
      </c>
      <c r="E1028" t="s">
        <v>78</v>
      </c>
      <c r="F1028">
        <v>97</v>
      </c>
      <c r="G1028" t="s">
        <v>985</v>
      </c>
      <c r="H1028" t="s">
        <v>24</v>
      </c>
      <c r="I1028">
        <v>1</v>
      </c>
      <c r="J1028">
        <v>0</v>
      </c>
      <c r="K1028">
        <v>7.2</v>
      </c>
      <c r="L1028">
        <v>43928</v>
      </c>
      <c r="M1028" t="s">
        <v>989</v>
      </c>
      <c r="N1028" t="str">
        <f t="shared" si="112"/>
        <v>cinema</v>
      </c>
      <c r="O1028" t="str">
        <f t="shared" si="113"/>
        <v>original</v>
      </c>
      <c r="P1028" t="str">
        <f t="shared" si="114"/>
        <v>non-franchise</v>
      </c>
      <c r="Q1028" t="str">
        <f t="shared" si="115"/>
        <v>old</v>
      </c>
      <c r="R1028" s="2">
        <f t="shared" si="116"/>
        <v>2.3883812532277962E-2</v>
      </c>
      <c r="S1028">
        <f t="shared" si="117"/>
        <v>0.45744360902255637</v>
      </c>
      <c r="T1028" t="str">
        <f t="shared" si="118"/>
        <v>Scenario 2: Weak Commitment/Convenience</v>
      </c>
    </row>
    <row r="1029" spans="1:20" x14ac:dyDescent="0.35">
      <c r="A1029" t="s">
        <v>1315</v>
      </c>
      <c r="B1029" s="1">
        <v>44756</v>
      </c>
      <c r="C1029">
        <v>2022</v>
      </c>
      <c r="D1029">
        <v>7</v>
      </c>
      <c r="E1029" t="s">
        <v>78</v>
      </c>
      <c r="F1029">
        <v>127</v>
      </c>
      <c r="G1029" t="s">
        <v>1143</v>
      </c>
      <c r="H1029" t="s">
        <v>24</v>
      </c>
      <c r="I1029">
        <v>0</v>
      </c>
      <c r="J1029">
        <v>0</v>
      </c>
      <c r="K1029">
        <v>7.3</v>
      </c>
      <c r="L1029">
        <v>527597</v>
      </c>
      <c r="M1029" t="s">
        <v>989</v>
      </c>
      <c r="N1029" t="str">
        <f t="shared" si="112"/>
        <v>cinema</v>
      </c>
      <c r="O1029" t="str">
        <f t="shared" si="113"/>
        <v>non-original</v>
      </c>
      <c r="P1029" t="str">
        <f t="shared" si="114"/>
        <v>non-franchise</v>
      </c>
      <c r="Q1029" t="str">
        <f t="shared" si="115"/>
        <v>new</v>
      </c>
      <c r="R1029" s="2">
        <f t="shared" si="116"/>
        <v>0.25038324752519381</v>
      </c>
      <c r="S1029">
        <f t="shared" si="117"/>
        <v>0.57219924812030065</v>
      </c>
      <c r="T1029" t="str">
        <f t="shared" si="118"/>
        <v>Scenario 4: Hybrid Logic</v>
      </c>
    </row>
    <row r="1030" spans="1:20" x14ac:dyDescent="0.35">
      <c r="A1030" t="s">
        <v>1316</v>
      </c>
      <c r="B1030" s="1">
        <v>44763</v>
      </c>
      <c r="C1030">
        <v>2022</v>
      </c>
      <c r="D1030">
        <v>7</v>
      </c>
      <c r="E1030" t="s">
        <v>78</v>
      </c>
      <c r="F1030">
        <v>130</v>
      </c>
      <c r="G1030" t="s">
        <v>1242</v>
      </c>
      <c r="H1030" t="s">
        <v>24</v>
      </c>
      <c r="I1030">
        <v>1</v>
      </c>
      <c r="J1030">
        <v>0</v>
      </c>
      <c r="K1030">
        <v>6.8</v>
      </c>
      <c r="L1030">
        <v>312900</v>
      </c>
      <c r="M1030" t="s">
        <v>989</v>
      </c>
      <c r="N1030" t="str">
        <f t="shared" si="112"/>
        <v>cinema</v>
      </c>
      <c r="O1030" t="str">
        <f t="shared" si="113"/>
        <v>original</v>
      </c>
      <c r="P1030" t="str">
        <f t="shared" si="114"/>
        <v>non-franchise</v>
      </c>
      <c r="Q1030" t="str">
        <f t="shared" si="115"/>
        <v>old</v>
      </c>
      <c r="R1030" s="2">
        <f t="shared" si="116"/>
        <v>0.22800239247528539</v>
      </c>
      <c r="S1030">
        <f t="shared" si="117"/>
        <v>0.34766917293233079</v>
      </c>
      <c r="T1030" t="str">
        <f t="shared" si="118"/>
        <v>Scenario 1: Strong Commitment</v>
      </c>
    </row>
    <row r="1031" spans="1:20" x14ac:dyDescent="0.35">
      <c r="A1031" t="s">
        <v>1317</v>
      </c>
      <c r="B1031" s="1">
        <v>44770</v>
      </c>
      <c r="C1031">
        <v>2022</v>
      </c>
      <c r="D1031">
        <v>7</v>
      </c>
      <c r="E1031" t="s">
        <v>78</v>
      </c>
      <c r="F1031">
        <v>147</v>
      </c>
      <c r="G1031" t="s">
        <v>985</v>
      </c>
      <c r="H1031" t="s">
        <v>24</v>
      </c>
      <c r="I1031">
        <v>1</v>
      </c>
      <c r="J1031">
        <v>0</v>
      </c>
      <c r="K1031">
        <v>7.2</v>
      </c>
      <c r="L1031">
        <v>214003</v>
      </c>
      <c r="M1031" t="s">
        <v>983</v>
      </c>
      <c r="N1031" t="str">
        <f t="shared" si="112"/>
        <v>cinema</v>
      </c>
      <c r="O1031" t="str">
        <f t="shared" si="113"/>
        <v>original</v>
      </c>
      <c r="P1031" t="str">
        <f t="shared" si="114"/>
        <v>non-franchise</v>
      </c>
      <c r="Q1031" t="str">
        <f t="shared" si="115"/>
        <v>old</v>
      </c>
      <c r="R1031" s="2">
        <f t="shared" si="116"/>
        <v>0.17633059988550312</v>
      </c>
      <c r="S1031">
        <f t="shared" si="117"/>
        <v>0.32210526315789467</v>
      </c>
      <c r="T1031" t="str">
        <f t="shared" si="118"/>
        <v>Scenario 1: Strong Commitment</v>
      </c>
    </row>
    <row r="1032" spans="1:20" x14ac:dyDescent="0.35">
      <c r="A1032" t="s">
        <v>1318</v>
      </c>
      <c r="B1032" s="1">
        <v>44783</v>
      </c>
      <c r="C1032">
        <v>2022</v>
      </c>
      <c r="D1032">
        <v>8</v>
      </c>
      <c r="E1032" t="s">
        <v>78</v>
      </c>
      <c r="F1032">
        <v>93</v>
      </c>
      <c r="G1032" t="s">
        <v>1006</v>
      </c>
      <c r="H1032" t="s">
        <v>24</v>
      </c>
      <c r="I1032">
        <v>1</v>
      </c>
      <c r="J1032">
        <v>0</v>
      </c>
      <c r="K1032">
        <v>5.6</v>
      </c>
      <c r="L1032">
        <v>47729</v>
      </c>
      <c r="M1032" t="s">
        <v>983</v>
      </c>
      <c r="N1032" t="str">
        <f t="shared" si="112"/>
        <v>cinema</v>
      </c>
      <c r="O1032" t="str">
        <f t="shared" si="113"/>
        <v>original</v>
      </c>
      <c r="P1032" t="str">
        <f t="shared" si="114"/>
        <v>non-franchise</v>
      </c>
      <c r="Q1032" t="str">
        <f t="shared" si="115"/>
        <v>old</v>
      </c>
      <c r="R1032" s="2">
        <f t="shared" si="116"/>
        <v>2.4880309160265495E-2</v>
      </c>
      <c r="S1032">
        <f t="shared" si="117"/>
        <v>0.36421052631578943</v>
      </c>
      <c r="T1032" t="str">
        <f t="shared" si="118"/>
        <v>Scenario 2: Weak Commitment/Convenience</v>
      </c>
    </row>
    <row r="1033" spans="1:20" x14ac:dyDescent="0.35">
      <c r="A1033" t="s">
        <v>1318</v>
      </c>
      <c r="B1033" s="1">
        <v>44783</v>
      </c>
      <c r="C1033">
        <v>2022</v>
      </c>
      <c r="D1033">
        <v>8</v>
      </c>
      <c r="E1033" t="s">
        <v>78</v>
      </c>
      <c r="F1033">
        <v>155</v>
      </c>
      <c r="G1033" t="s">
        <v>1312</v>
      </c>
      <c r="H1033" t="s">
        <v>24</v>
      </c>
      <c r="I1033">
        <v>1</v>
      </c>
      <c r="J1033">
        <v>0</v>
      </c>
      <c r="K1033">
        <v>5.2</v>
      </c>
      <c r="L1033">
        <v>39125</v>
      </c>
      <c r="M1033" t="s">
        <v>983</v>
      </c>
      <c r="N1033" t="str">
        <f t="shared" si="112"/>
        <v>cinema</v>
      </c>
      <c r="O1033" t="str">
        <f t="shared" si="113"/>
        <v>original</v>
      </c>
      <c r="P1033" t="str">
        <f t="shared" si="114"/>
        <v>non-franchise</v>
      </c>
      <c r="Q1033" t="str">
        <f t="shared" si="115"/>
        <v>old</v>
      </c>
      <c r="R1033" s="2">
        <f t="shared" si="116"/>
        <v>3.3991985860985549E-2</v>
      </c>
      <c r="S1033">
        <f t="shared" si="117"/>
        <v>0.21699248120300749</v>
      </c>
      <c r="T1033" t="str">
        <f t="shared" si="118"/>
        <v>Scenario 1: Strong Commitment</v>
      </c>
    </row>
    <row r="1034" spans="1:20" x14ac:dyDescent="0.35">
      <c r="A1034" t="s">
        <v>1319</v>
      </c>
      <c r="B1034" s="1">
        <v>44797</v>
      </c>
      <c r="C1034">
        <v>2022</v>
      </c>
      <c r="D1034">
        <v>8</v>
      </c>
      <c r="E1034" t="s">
        <v>78</v>
      </c>
      <c r="F1034">
        <v>108</v>
      </c>
      <c r="G1034" t="s">
        <v>1320</v>
      </c>
      <c r="H1034" t="s">
        <v>24</v>
      </c>
      <c r="I1034">
        <v>0</v>
      </c>
      <c r="J1034">
        <v>0</v>
      </c>
      <c r="K1034">
        <v>6.7</v>
      </c>
      <c r="L1034">
        <v>71977</v>
      </c>
      <c r="M1034" t="s">
        <v>983</v>
      </c>
      <c r="N1034" t="str">
        <f t="shared" si="112"/>
        <v>cinema</v>
      </c>
      <c r="O1034" t="str">
        <f t="shared" si="113"/>
        <v>non-original</v>
      </c>
      <c r="P1034" t="str">
        <f t="shared" si="114"/>
        <v>non-franchise</v>
      </c>
      <c r="Q1034" t="str">
        <f t="shared" si="115"/>
        <v>new</v>
      </c>
      <c r="R1034" s="2">
        <f t="shared" si="116"/>
        <v>2.9048032810431952E-2</v>
      </c>
      <c r="S1034">
        <f t="shared" si="117"/>
        <v>0.59695488721804524</v>
      </c>
      <c r="T1034" t="str">
        <f t="shared" si="118"/>
        <v>Scenario 3: Strong Convenience</v>
      </c>
    </row>
    <row r="1035" spans="1:20" x14ac:dyDescent="0.35">
      <c r="A1035" t="s">
        <v>1321</v>
      </c>
      <c r="B1035" s="1">
        <v>44812</v>
      </c>
      <c r="C1035">
        <v>2022</v>
      </c>
      <c r="D1035">
        <v>9</v>
      </c>
      <c r="E1035" t="s">
        <v>125</v>
      </c>
      <c r="F1035">
        <v>102</v>
      </c>
      <c r="G1035" t="s">
        <v>1209</v>
      </c>
      <c r="H1035" t="s">
        <v>24</v>
      </c>
      <c r="I1035">
        <v>1</v>
      </c>
      <c r="J1035">
        <v>0</v>
      </c>
      <c r="K1035">
        <v>7</v>
      </c>
      <c r="L1035">
        <v>255742</v>
      </c>
      <c r="M1035" t="s">
        <v>989</v>
      </c>
      <c r="N1035" t="str">
        <f t="shared" si="112"/>
        <v>cinema</v>
      </c>
      <c r="O1035" t="str">
        <f t="shared" si="113"/>
        <v>original</v>
      </c>
      <c r="P1035" t="str">
        <f t="shared" si="114"/>
        <v>non-franchise</v>
      </c>
      <c r="Q1035" t="str">
        <f t="shared" si="115"/>
        <v>old</v>
      </c>
      <c r="R1035" s="2">
        <f t="shared" si="116"/>
        <v>0.14621526566251869</v>
      </c>
      <c r="S1035">
        <f t="shared" si="117"/>
        <v>0.43157894736842106</v>
      </c>
      <c r="T1035" t="str">
        <f t="shared" si="118"/>
        <v>Scenario 1: Strong Commitment</v>
      </c>
    </row>
    <row r="1036" spans="1:20" x14ac:dyDescent="0.35">
      <c r="A1036" t="s">
        <v>1322</v>
      </c>
      <c r="B1036" s="1">
        <v>44818</v>
      </c>
      <c r="C1036">
        <v>2022</v>
      </c>
      <c r="D1036">
        <v>9</v>
      </c>
      <c r="E1036" t="s">
        <v>125</v>
      </c>
      <c r="F1036">
        <v>114</v>
      </c>
      <c r="G1036" t="s">
        <v>34</v>
      </c>
      <c r="H1036" t="s">
        <v>24</v>
      </c>
      <c r="I1036">
        <v>0</v>
      </c>
      <c r="J1036">
        <v>0</v>
      </c>
      <c r="K1036">
        <v>6.4</v>
      </c>
      <c r="L1036">
        <v>17891</v>
      </c>
      <c r="M1036" t="s">
        <v>989</v>
      </c>
      <c r="N1036" t="str">
        <f t="shared" si="112"/>
        <v>cinema</v>
      </c>
      <c r="O1036" t="str">
        <f t="shared" si="113"/>
        <v>non-original</v>
      </c>
      <c r="P1036" t="str">
        <f t="shared" si="114"/>
        <v>non-franchise</v>
      </c>
      <c r="Q1036" t="str">
        <f t="shared" si="115"/>
        <v>new</v>
      </c>
      <c r="R1036" s="2">
        <f t="shared" si="116"/>
        <v>7.6214691616128313E-3</v>
      </c>
      <c r="S1036">
        <f t="shared" si="117"/>
        <v>0.54857142857142849</v>
      </c>
      <c r="T1036" t="str">
        <f t="shared" si="118"/>
        <v>Scenario 3: Strong Convenience</v>
      </c>
    </row>
    <row r="1037" spans="1:20" x14ac:dyDescent="0.35">
      <c r="A1037" t="s">
        <v>1323</v>
      </c>
      <c r="B1037" s="1">
        <v>44832</v>
      </c>
      <c r="C1037">
        <v>2022</v>
      </c>
      <c r="D1037">
        <v>9</v>
      </c>
      <c r="E1037" t="s">
        <v>125</v>
      </c>
      <c r="F1037">
        <v>115</v>
      </c>
      <c r="G1037" t="s">
        <v>34</v>
      </c>
      <c r="H1037" t="s">
        <v>24</v>
      </c>
      <c r="I1037">
        <v>0</v>
      </c>
      <c r="J1037">
        <v>1</v>
      </c>
      <c r="K1037">
        <v>6.6</v>
      </c>
      <c r="L1037">
        <v>60</v>
      </c>
      <c r="M1037" t="s">
        <v>989</v>
      </c>
      <c r="N1037" t="str">
        <f t="shared" si="112"/>
        <v>cinema</v>
      </c>
      <c r="O1037" t="str">
        <f t="shared" si="113"/>
        <v>non-original</v>
      </c>
      <c r="P1037" t="str">
        <f t="shared" si="114"/>
        <v>franchise</v>
      </c>
      <c r="Q1037" t="str">
        <f t="shared" si="115"/>
        <v>old</v>
      </c>
      <c r="R1037" s="2">
        <f t="shared" si="116"/>
        <v>3.8675824374449182E-5</v>
      </c>
      <c r="S1037">
        <f t="shared" si="117"/>
        <v>0.37466165413533836</v>
      </c>
      <c r="T1037" t="str">
        <f t="shared" si="118"/>
        <v>Scenario 2: Weak Commitment/Convenience</v>
      </c>
    </row>
    <row r="1038" spans="1:20" x14ac:dyDescent="0.35">
      <c r="A1038" t="s">
        <v>1323</v>
      </c>
      <c r="B1038" s="1">
        <v>44832</v>
      </c>
      <c r="C1038">
        <v>2022</v>
      </c>
      <c r="D1038">
        <v>9</v>
      </c>
      <c r="E1038" t="s">
        <v>125</v>
      </c>
      <c r="F1038">
        <v>115</v>
      </c>
      <c r="G1038" t="s">
        <v>1209</v>
      </c>
      <c r="H1038" t="s">
        <v>24</v>
      </c>
      <c r="I1038">
        <v>0</v>
      </c>
      <c r="J1038">
        <v>1</v>
      </c>
      <c r="K1038">
        <v>6.5</v>
      </c>
      <c r="L1038">
        <v>236017</v>
      </c>
      <c r="M1038" t="s">
        <v>989</v>
      </c>
      <c r="N1038" t="str">
        <f t="shared" si="112"/>
        <v>cinema</v>
      </c>
      <c r="O1038" t="str">
        <f t="shared" si="113"/>
        <v>non-original</v>
      </c>
      <c r="P1038" t="str">
        <f t="shared" si="114"/>
        <v>franchise</v>
      </c>
      <c r="Q1038" t="str">
        <f t="shared" si="115"/>
        <v>old</v>
      </c>
      <c r="R1038" s="2">
        <f t="shared" si="116"/>
        <v>0.15213586735640622</v>
      </c>
      <c r="S1038">
        <f t="shared" si="117"/>
        <v>0.36898496240601508</v>
      </c>
      <c r="T1038" t="str">
        <f t="shared" si="118"/>
        <v>Scenario 1: Strong Commitment</v>
      </c>
    </row>
    <row r="1039" spans="1:20" x14ac:dyDescent="0.35">
      <c r="A1039" t="s">
        <v>1323</v>
      </c>
      <c r="B1039" s="1">
        <v>44832</v>
      </c>
      <c r="C1039">
        <v>2022</v>
      </c>
      <c r="D1039">
        <v>9</v>
      </c>
      <c r="E1039" t="s">
        <v>125</v>
      </c>
      <c r="F1039">
        <v>115</v>
      </c>
      <c r="G1039" t="s">
        <v>92</v>
      </c>
      <c r="H1039" t="s">
        <v>24</v>
      </c>
      <c r="I1039">
        <v>0</v>
      </c>
      <c r="J1039">
        <v>1</v>
      </c>
      <c r="K1039">
        <v>6.5</v>
      </c>
      <c r="L1039">
        <v>237406</v>
      </c>
      <c r="M1039" t="s">
        <v>989</v>
      </c>
      <c r="N1039" t="str">
        <f t="shared" si="112"/>
        <v>cinema</v>
      </c>
      <c r="O1039" t="str">
        <f t="shared" si="113"/>
        <v>non-original</v>
      </c>
      <c r="P1039" t="str">
        <f t="shared" si="114"/>
        <v>franchise</v>
      </c>
      <c r="Q1039" t="str">
        <f t="shared" si="115"/>
        <v>old</v>
      </c>
      <c r="R1039" s="2">
        <f t="shared" si="116"/>
        <v>0.15303121269067468</v>
      </c>
      <c r="S1039">
        <f t="shared" si="117"/>
        <v>0.36898496240601508</v>
      </c>
      <c r="T1039" t="str">
        <f t="shared" si="118"/>
        <v>Scenario 1: Strong Commitment</v>
      </c>
    </row>
    <row r="1040" spans="1:20" x14ac:dyDescent="0.35">
      <c r="A1040" t="s">
        <v>1323</v>
      </c>
      <c r="B1040" s="1">
        <v>44832</v>
      </c>
      <c r="C1040">
        <v>2022</v>
      </c>
      <c r="D1040">
        <v>9</v>
      </c>
      <c r="E1040" t="s">
        <v>125</v>
      </c>
      <c r="F1040">
        <v>91</v>
      </c>
      <c r="G1040" t="s">
        <v>985</v>
      </c>
      <c r="H1040" t="s">
        <v>24</v>
      </c>
      <c r="I1040">
        <v>0</v>
      </c>
      <c r="J1040">
        <v>1</v>
      </c>
      <c r="K1040">
        <v>4.5</v>
      </c>
      <c r="L1040">
        <v>162</v>
      </c>
      <c r="M1040" t="s">
        <v>989</v>
      </c>
      <c r="N1040" t="str">
        <f t="shared" si="112"/>
        <v>cinema</v>
      </c>
      <c r="O1040" t="str">
        <f t="shared" si="113"/>
        <v>non-original</v>
      </c>
      <c r="P1040" t="str">
        <f t="shared" si="114"/>
        <v>franchise</v>
      </c>
      <c r="Q1040" t="str">
        <f t="shared" si="115"/>
        <v>old</v>
      </c>
      <c r="R1040" s="2">
        <f t="shared" si="116"/>
        <v>8.2631739554801421E-5</v>
      </c>
      <c r="S1040">
        <f t="shared" si="117"/>
        <v>0.2960526315789474</v>
      </c>
      <c r="T1040" t="str">
        <f t="shared" si="118"/>
        <v>Scenario 2: Weak Commitment/Convenience</v>
      </c>
    </row>
    <row r="1041" spans="1:20" x14ac:dyDescent="0.35">
      <c r="A1041" t="s">
        <v>1324</v>
      </c>
      <c r="B1041" s="1">
        <v>44840</v>
      </c>
      <c r="C1041">
        <v>2022</v>
      </c>
      <c r="D1041">
        <v>10</v>
      </c>
      <c r="E1041" t="s">
        <v>125</v>
      </c>
      <c r="F1041">
        <v>134</v>
      </c>
      <c r="G1041" t="s">
        <v>1325</v>
      </c>
      <c r="H1041" t="s">
        <v>24</v>
      </c>
      <c r="I1041">
        <v>1</v>
      </c>
      <c r="J1041">
        <v>0</v>
      </c>
      <c r="K1041">
        <v>6.2</v>
      </c>
      <c r="L1041">
        <v>106518</v>
      </c>
      <c r="M1041" t="s">
        <v>983</v>
      </c>
      <c r="N1041" t="str">
        <f t="shared" si="112"/>
        <v>cinema</v>
      </c>
      <c r="O1041" t="str">
        <f t="shared" si="113"/>
        <v>original</v>
      </c>
      <c r="P1041" t="str">
        <f t="shared" si="114"/>
        <v>non-franchise</v>
      </c>
      <c r="Q1041" t="str">
        <f t="shared" si="115"/>
        <v>old</v>
      </c>
      <c r="R1041" s="2">
        <f t="shared" si="116"/>
        <v>8.0005213874805137E-2</v>
      </c>
      <c r="S1041">
        <f t="shared" si="117"/>
        <v>0.30766917293233081</v>
      </c>
      <c r="T1041" t="str">
        <f t="shared" si="118"/>
        <v>Scenario 1: Strong Commitment</v>
      </c>
    </row>
    <row r="1042" spans="1:20" x14ac:dyDescent="0.35">
      <c r="A1042" t="s">
        <v>1326</v>
      </c>
      <c r="B1042" s="1">
        <v>44846</v>
      </c>
      <c r="C1042">
        <v>2022</v>
      </c>
      <c r="D1042">
        <v>10</v>
      </c>
      <c r="E1042" t="s">
        <v>125</v>
      </c>
      <c r="F1042">
        <v>111</v>
      </c>
      <c r="G1042" t="s">
        <v>1327</v>
      </c>
      <c r="H1042" t="s">
        <v>24</v>
      </c>
      <c r="I1042">
        <v>1</v>
      </c>
      <c r="J1042">
        <v>1</v>
      </c>
      <c r="K1042">
        <v>5</v>
      </c>
      <c r="L1042">
        <v>82204</v>
      </c>
      <c r="M1042" t="s">
        <v>989</v>
      </c>
      <c r="N1042" t="str">
        <f t="shared" si="112"/>
        <v>cinema</v>
      </c>
      <c r="O1042" t="str">
        <f t="shared" si="113"/>
        <v>original</v>
      </c>
      <c r="P1042" t="str">
        <f t="shared" si="114"/>
        <v>franchise</v>
      </c>
      <c r="Q1042" t="str">
        <f t="shared" si="115"/>
        <v>old</v>
      </c>
      <c r="R1042" s="2">
        <f t="shared" si="116"/>
        <v>5.1145380988894422E-2</v>
      </c>
      <c r="S1042">
        <f t="shared" si="117"/>
        <v>0.29135338345864659</v>
      </c>
      <c r="T1042" t="str">
        <f t="shared" si="118"/>
        <v>Scenario 1: Strong Commitment</v>
      </c>
    </row>
    <row r="1043" spans="1:20" x14ac:dyDescent="0.35">
      <c r="A1043" t="s">
        <v>1328</v>
      </c>
      <c r="B1043" s="1">
        <v>44855</v>
      </c>
      <c r="C1043">
        <v>2022</v>
      </c>
      <c r="D1043">
        <v>10</v>
      </c>
      <c r="E1043" t="s">
        <v>125</v>
      </c>
      <c r="F1043">
        <v>114</v>
      </c>
      <c r="G1043" t="s">
        <v>985</v>
      </c>
      <c r="H1043" t="s">
        <v>24</v>
      </c>
      <c r="I1043">
        <v>1</v>
      </c>
      <c r="J1043">
        <v>0</v>
      </c>
      <c r="K1043">
        <v>7.6</v>
      </c>
      <c r="L1043">
        <v>292792</v>
      </c>
      <c r="M1043" t="s">
        <v>989</v>
      </c>
      <c r="N1043" t="str">
        <f t="shared" si="112"/>
        <v>cinema</v>
      </c>
      <c r="O1043" t="str">
        <f t="shared" si="113"/>
        <v>original</v>
      </c>
      <c r="P1043" t="str">
        <f t="shared" si="114"/>
        <v>non-franchise</v>
      </c>
      <c r="Q1043" t="str">
        <f t="shared" si="115"/>
        <v>old</v>
      </c>
      <c r="R1043" s="2">
        <f t="shared" si="116"/>
        <v>0.18709171081272241</v>
      </c>
      <c r="S1043">
        <f t="shared" si="117"/>
        <v>0.43428571428571427</v>
      </c>
      <c r="T1043" t="str">
        <f t="shared" si="118"/>
        <v>Scenario 1: Strong Commitment</v>
      </c>
    </row>
    <row r="1044" spans="1:20" x14ac:dyDescent="0.35">
      <c r="A1044" t="s">
        <v>1329</v>
      </c>
      <c r="B1044" s="1">
        <v>44881</v>
      </c>
      <c r="C1044">
        <v>2022</v>
      </c>
      <c r="D1044">
        <v>11</v>
      </c>
      <c r="E1044" t="s">
        <v>125</v>
      </c>
      <c r="F1044">
        <v>107</v>
      </c>
      <c r="G1044" t="s">
        <v>1271</v>
      </c>
      <c r="H1044" t="s">
        <v>24</v>
      </c>
      <c r="I1044">
        <v>1</v>
      </c>
      <c r="J1044">
        <v>0</v>
      </c>
      <c r="K1044">
        <v>7.2</v>
      </c>
      <c r="L1044">
        <v>490980</v>
      </c>
      <c r="M1044" t="s">
        <v>983</v>
      </c>
      <c r="N1044" t="str">
        <f t="shared" si="112"/>
        <v>cinema</v>
      </c>
      <c r="O1044" t="str">
        <f t="shared" si="113"/>
        <v>original</v>
      </c>
      <c r="P1044" t="str">
        <f t="shared" si="114"/>
        <v>non-franchise</v>
      </c>
      <c r="Q1044" t="str">
        <f t="shared" si="115"/>
        <v>old</v>
      </c>
      <c r="R1044" s="2">
        <f t="shared" si="116"/>
        <v>0.29446797375308337</v>
      </c>
      <c r="S1044">
        <f t="shared" si="117"/>
        <v>0.43037593984962408</v>
      </c>
      <c r="T1044" t="str">
        <f t="shared" si="118"/>
        <v>Scenario 1: Strong Commitment</v>
      </c>
    </row>
    <row r="1045" spans="1:20" x14ac:dyDescent="0.35">
      <c r="A1045" t="s">
        <v>1330</v>
      </c>
      <c r="B1045" s="1">
        <v>44883</v>
      </c>
      <c r="C1045">
        <v>2022</v>
      </c>
      <c r="D1045">
        <v>11</v>
      </c>
      <c r="E1045" t="s">
        <v>125</v>
      </c>
      <c r="F1045">
        <v>95</v>
      </c>
      <c r="G1045" t="s">
        <v>34</v>
      </c>
      <c r="H1045" t="s">
        <v>24</v>
      </c>
      <c r="I1045">
        <v>0</v>
      </c>
      <c r="J1045">
        <v>0</v>
      </c>
      <c r="K1045">
        <v>6.7</v>
      </c>
      <c r="L1045">
        <v>6037</v>
      </c>
      <c r="M1045" t="s">
        <v>983</v>
      </c>
      <c r="N1045" t="str">
        <f t="shared" si="112"/>
        <v>cinema</v>
      </c>
      <c r="O1045" t="str">
        <f t="shared" si="113"/>
        <v>non-original</v>
      </c>
      <c r="P1045" t="str">
        <f t="shared" si="114"/>
        <v>non-franchise</v>
      </c>
      <c r="Q1045" t="str">
        <f t="shared" si="115"/>
        <v>new</v>
      </c>
      <c r="R1045" s="2">
        <f t="shared" si="116"/>
        <v>2.1431077696726785E-3</v>
      </c>
      <c r="S1045">
        <f t="shared" si="117"/>
        <v>0.64607142857142863</v>
      </c>
      <c r="T1045" t="str">
        <f t="shared" si="118"/>
        <v>Scenario 3: Strong Convenience</v>
      </c>
    </row>
    <row r="1046" spans="1:20" x14ac:dyDescent="0.35">
      <c r="A1046" t="s">
        <v>1331</v>
      </c>
      <c r="B1046" s="1">
        <v>44895</v>
      </c>
      <c r="C1046">
        <v>2022</v>
      </c>
      <c r="D1046">
        <v>11</v>
      </c>
      <c r="E1046" t="s">
        <v>125</v>
      </c>
      <c r="F1046">
        <v>112</v>
      </c>
      <c r="G1046" t="s">
        <v>1143</v>
      </c>
      <c r="H1046" t="s">
        <v>24</v>
      </c>
      <c r="I1046">
        <v>1</v>
      </c>
      <c r="J1046">
        <v>0</v>
      </c>
      <c r="K1046">
        <v>6.7</v>
      </c>
      <c r="L1046">
        <v>120825</v>
      </c>
      <c r="M1046" t="s">
        <v>989</v>
      </c>
      <c r="N1046" t="str">
        <f t="shared" si="112"/>
        <v>cinema</v>
      </c>
      <c r="O1046" t="str">
        <f t="shared" si="113"/>
        <v>original</v>
      </c>
      <c r="P1046" t="str">
        <f t="shared" si="114"/>
        <v>non-franchise</v>
      </c>
      <c r="Q1046" t="str">
        <f t="shared" si="115"/>
        <v>old</v>
      </c>
      <c r="R1046" s="2">
        <f t="shared" si="116"/>
        <v>7.5851699386202329E-2</v>
      </c>
      <c r="S1046">
        <f t="shared" si="117"/>
        <v>0.38789473684210529</v>
      </c>
      <c r="T1046" t="str">
        <f t="shared" si="118"/>
        <v>Scenario 1: Strong Commitment</v>
      </c>
    </row>
    <row r="1047" spans="1:20" x14ac:dyDescent="0.35">
      <c r="A1047" t="s">
        <v>1332</v>
      </c>
      <c r="B1047" s="1">
        <v>44916</v>
      </c>
      <c r="C1047">
        <v>2022</v>
      </c>
      <c r="D1047">
        <v>12</v>
      </c>
      <c r="E1047" t="s">
        <v>14</v>
      </c>
      <c r="F1047">
        <v>117</v>
      </c>
      <c r="G1047" t="s">
        <v>34</v>
      </c>
      <c r="H1047" t="s">
        <v>24</v>
      </c>
      <c r="I1047">
        <v>0</v>
      </c>
      <c r="J1047">
        <v>0</v>
      </c>
      <c r="K1047">
        <v>7.6</v>
      </c>
      <c r="L1047">
        <v>278967</v>
      </c>
      <c r="M1047" t="s">
        <v>989</v>
      </c>
      <c r="N1047" t="str">
        <f t="shared" si="112"/>
        <v>cinema</v>
      </c>
      <c r="O1047" t="str">
        <f t="shared" si="113"/>
        <v>non-original</v>
      </c>
      <c r="P1047" t="str">
        <f t="shared" si="114"/>
        <v>non-franchise</v>
      </c>
      <c r="Q1047" t="str">
        <f t="shared" si="115"/>
        <v>new</v>
      </c>
      <c r="R1047" s="2">
        <f t="shared" si="116"/>
        <v>0.12196575919780048</v>
      </c>
      <c r="S1047">
        <f t="shared" si="117"/>
        <v>0.63857142857142868</v>
      </c>
      <c r="T1047" t="str">
        <f t="shared" si="118"/>
        <v>Scenario 4: Hybrid Logic</v>
      </c>
    </row>
    <row r="1048" spans="1:20" x14ac:dyDescent="0.35">
      <c r="A1048" t="s">
        <v>1333</v>
      </c>
      <c r="B1048" s="1">
        <v>44918</v>
      </c>
      <c r="C1048">
        <v>2022</v>
      </c>
      <c r="D1048">
        <v>12</v>
      </c>
      <c r="E1048" t="s">
        <v>14</v>
      </c>
      <c r="F1048">
        <v>189</v>
      </c>
      <c r="G1048" t="s">
        <v>985</v>
      </c>
      <c r="H1048" t="s">
        <v>24</v>
      </c>
      <c r="I1048">
        <v>1</v>
      </c>
      <c r="J1048">
        <v>0</v>
      </c>
      <c r="K1048">
        <v>7.1</v>
      </c>
      <c r="L1048">
        <v>204308</v>
      </c>
      <c r="M1048" t="s">
        <v>983</v>
      </c>
      <c r="N1048" t="str">
        <f t="shared" si="112"/>
        <v>cinema</v>
      </c>
      <c r="O1048" t="str">
        <f t="shared" si="113"/>
        <v>original</v>
      </c>
      <c r="P1048" t="str">
        <f t="shared" si="114"/>
        <v>non-franchise</v>
      </c>
      <c r="Q1048" t="str">
        <f t="shared" si="115"/>
        <v>old</v>
      </c>
      <c r="R1048" s="2">
        <f t="shared" si="116"/>
        <v>0.21644006980720987</v>
      </c>
      <c r="S1048">
        <f t="shared" si="117"/>
        <v>0.2055263157894737</v>
      </c>
      <c r="T1048" t="str">
        <f t="shared" si="118"/>
        <v>Scenario 1: Strong Commitment</v>
      </c>
    </row>
    <row r="1049" spans="1:20" x14ac:dyDescent="0.35">
      <c r="A1049" t="s">
        <v>1333</v>
      </c>
      <c r="B1049" s="1">
        <v>44918</v>
      </c>
      <c r="C1049">
        <v>2022</v>
      </c>
      <c r="D1049">
        <v>12</v>
      </c>
      <c r="E1049" t="s">
        <v>14</v>
      </c>
      <c r="F1049">
        <v>151</v>
      </c>
      <c r="G1049" t="s">
        <v>1173</v>
      </c>
      <c r="H1049" t="s">
        <v>24</v>
      </c>
      <c r="I1049">
        <v>1</v>
      </c>
      <c r="J1049">
        <v>0</v>
      </c>
      <c r="K1049">
        <v>6.9</v>
      </c>
      <c r="L1049">
        <v>19</v>
      </c>
      <c r="M1049" t="s">
        <v>983</v>
      </c>
      <c r="N1049" t="str">
        <f t="shared" si="112"/>
        <v>cinema</v>
      </c>
      <c r="O1049" t="str">
        <f t="shared" si="113"/>
        <v>original</v>
      </c>
      <c r="P1049" t="str">
        <f t="shared" si="114"/>
        <v>non-franchise</v>
      </c>
      <c r="Q1049" t="str">
        <f t="shared" si="115"/>
        <v>old</v>
      </c>
      <c r="R1049" s="2">
        <f t="shared" si="116"/>
        <v>1.6081295671057205E-5</v>
      </c>
      <c r="S1049">
        <f t="shared" si="117"/>
        <v>0.29830827067669174</v>
      </c>
      <c r="T1049" t="str">
        <f t="shared" si="118"/>
        <v>Scenario 2: Weak Commitment/Convenience</v>
      </c>
    </row>
    <row r="1050" spans="1:20" x14ac:dyDescent="0.35">
      <c r="A1050" t="s">
        <v>1334</v>
      </c>
      <c r="B1050" s="1">
        <v>44958</v>
      </c>
      <c r="C1050">
        <v>2023</v>
      </c>
      <c r="D1050">
        <v>2</v>
      </c>
      <c r="E1050" t="s">
        <v>14</v>
      </c>
      <c r="F1050">
        <v>100</v>
      </c>
      <c r="G1050" t="s">
        <v>1209</v>
      </c>
      <c r="H1050" t="s">
        <v>24</v>
      </c>
      <c r="I1050">
        <v>0</v>
      </c>
      <c r="J1050">
        <v>0</v>
      </c>
      <c r="K1050">
        <v>6.1</v>
      </c>
      <c r="L1050">
        <v>140535</v>
      </c>
      <c r="M1050" t="s">
        <v>989</v>
      </c>
      <c r="N1050" t="str">
        <f t="shared" si="112"/>
        <v>cinema</v>
      </c>
      <c r="O1050" t="str">
        <f t="shared" si="113"/>
        <v>non-original</v>
      </c>
      <c r="P1050" t="str">
        <f t="shared" si="114"/>
        <v>non-franchise</v>
      </c>
      <c r="Q1050" t="str">
        <f t="shared" si="115"/>
        <v>new</v>
      </c>
      <c r="R1050" s="2">
        <f t="shared" si="116"/>
        <v>5.2515043270175997E-2</v>
      </c>
      <c r="S1050">
        <f t="shared" si="117"/>
        <v>0.57101503759398498</v>
      </c>
      <c r="T1050" t="str">
        <f t="shared" si="118"/>
        <v>Scenario 4: Hybrid Logic</v>
      </c>
    </row>
    <row r="1051" spans="1:20" x14ac:dyDescent="0.35">
      <c r="A1051" t="s">
        <v>1335</v>
      </c>
      <c r="B1051" s="1">
        <v>44993</v>
      </c>
      <c r="C1051">
        <v>2023</v>
      </c>
      <c r="D1051">
        <v>3</v>
      </c>
      <c r="E1051" t="s">
        <v>38</v>
      </c>
      <c r="F1051">
        <v>122</v>
      </c>
      <c r="G1051" t="s">
        <v>1209</v>
      </c>
      <c r="H1051" t="s">
        <v>24</v>
      </c>
      <c r="I1051">
        <v>1</v>
      </c>
      <c r="J1051">
        <v>1</v>
      </c>
      <c r="K1051">
        <v>6.4</v>
      </c>
      <c r="L1051">
        <v>148670</v>
      </c>
      <c r="M1051" t="s">
        <v>989</v>
      </c>
      <c r="N1051" t="str">
        <f t="shared" si="112"/>
        <v>cinema</v>
      </c>
      <c r="O1051" t="str">
        <f t="shared" si="113"/>
        <v>original</v>
      </c>
      <c r="P1051" t="str">
        <f t="shared" si="114"/>
        <v>franchise</v>
      </c>
      <c r="Q1051" t="str">
        <f t="shared" si="115"/>
        <v>old</v>
      </c>
      <c r="R1051" s="2">
        <f t="shared" si="116"/>
        <v>0.10166551402745246</v>
      </c>
      <c r="S1051">
        <f t="shared" si="117"/>
        <v>0.34646616541353381</v>
      </c>
      <c r="T1051" t="str">
        <f t="shared" si="118"/>
        <v>Scenario 1: Strong Commitment</v>
      </c>
    </row>
    <row r="1052" spans="1:20" x14ac:dyDescent="0.35">
      <c r="A1052" t="s">
        <v>1336</v>
      </c>
      <c r="B1052" s="1">
        <v>45007</v>
      </c>
      <c r="C1052">
        <v>2023</v>
      </c>
      <c r="D1052">
        <v>3</v>
      </c>
      <c r="E1052" t="s">
        <v>38</v>
      </c>
      <c r="F1052">
        <v>169</v>
      </c>
      <c r="G1052" t="s">
        <v>1126</v>
      </c>
      <c r="H1052" t="s">
        <v>24</v>
      </c>
      <c r="I1052">
        <v>1</v>
      </c>
      <c r="J1052">
        <v>1</v>
      </c>
      <c r="K1052">
        <v>7.6</v>
      </c>
      <c r="L1052">
        <v>406420</v>
      </c>
      <c r="M1052" t="s">
        <v>989</v>
      </c>
      <c r="N1052" t="str">
        <f t="shared" si="112"/>
        <v>cinema</v>
      </c>
      <c r="O1052" t="str">
        <f t="shared" si="113"/>
        <v>original</v>
      </c>
      <c r="P1052" t="str">
        <f t="shared" si="114"/>
        <v>franchise</v>
      </c>
      <c r="Q1052" t="str">
        <f t="shared" si="115"/>
        <v>old</v>
      </c>
      <c r="R1052" s="2">
        <f t="shared" si="116"/>
        <v>0.38499249618008041</v>
      </c>
      <c r="S1052">
        <f t="shared" si="117"/>
        <v>0.27714285714285714</v>
      </c>
      <c r="T1052" t="str">
        <f t="shared" si="118"/>
        <v>Scenario 1: Strong Commitment</v>
      </c>
    </row>
    <row r="1053" spans="1:20" x14ac:dyDescent="0.35">
      <c r="A1053" t="s">
        <v>1337</v>
      </c>
      <c r="B1053" s="1">
        <v>45022</v>
      </c>
      <c r="C1053">
        <v>2023</v>
      </c>
      <c r="D1053">
        <v>4</v>
      </c>
      <c r="E1053" t="s">
        <v>38</v>
      </c>
      <c r="F1053">
        <v>93</v>
      </c>
      <c r="G1053" t="s">
        <v>1338</v>
      </c>
      <c r="H1053" t="s">
        <v>24</v>
      </c>
      <c r="I1053">
        <v>1</v>
      </c>
      <c r="J1053">
        <v>0</v>
      </c>
      <c r="K1053">
        <v>6.4</v>
      </c>
      <c r="L1053">
        <v>118844</v>
      </c>
      <c r="M1053" t="s">
        <v>983</v>
      </c>
      <c r="N1053" t="str">
        <f t="shared" si="112"/>
        <v>cinema</v>
      </c>
      <c r="O1053" t="str">
        <f t="shared" si="113"/>
        <v>original</v>
      </c>
      <c r="P1053" t="str">
        <f t="shared" si="114"/>
        <v>non-franchise</v>
      </c>
      <c r="Q1053" t="str">
        <f t="shared" si="115"/>
        <v>old</v>
      </c>
      <c r="R1053" s="2">
        <f t="shared" si="116"/>
        <v>6.1951339056812264E-2</v>
      </c>
      <c r="S1053">
        <f t="shared" si="117"/>
        <v>0.41624060150375941</v>
      </c>
      <c r="T1053" t="str">
        <f t="shared" si="118"/>
        <v>Scenario 1: Strong Commitment</v>
      </c>
    </row>
    <row r="1054" spans="1:20" x14ac:dyDescent="0.35">
      <c r="A1054" t="s">
        <v>1339</v>
      </c>
      <c r="B1054" s="1">
        <v>45029</v>
      </c>
      <c r="C1054">
        <v>2023</v>
      </c>
      <c r="D1054">
        <v>4</v>
      </c>
      <c r="E1054" t="s">
        <v>38</v>
      </c>
      <c r="F1054">
        <v>101</v>
      </c>
      <c r="G1054" t="s">
        <v>1312</v>
      </c>
      <c r="H1054" t="s">
        <v>24</v>
      </c>
      <c r="I1054">
        <v>1</v>
      </c>
      <c r="J1054">
        <v>0</v>
      </c>
      <c r="K1054">
        <v>5.4</v>
      </c>
      <c r="L1054">
        <v>13967</v>
      </c>
      <c r="M1054" t="s">
        <v>983</v>
      </c>
      <c r="N1054" t="str">
        <f t="shared" si="112"/>
        <v>cinema</v>
      </c>
      <c r="O1054" t="str">
        <f t="shared" si="113"/>
        <v>original</v>
      </c>
      <c r="P1054" t="str">
        <f t="shared" si="114"/>
        <v>non-franchise</v>
      </c>
      <c r="Q1054" t="str">
        <f t="shared" si="115"/>
        <v>old</v>
      </c>
      <c r="R1054" s="2">
        <f t="shared" si="116"/>
        <v>7.9070592960624794E-3</v>
      </c>
      <c r="S1054">
        <f t="shared" si="117"/>
        <v>0.33496240601503763</v>
      </c>
      <c r="T1054" t="str">
        <f t="shared" si="118"/>
        <v>Scenario 2: Weak Commitment/Convenience</v>
      </c>
    </row>
    <row r="1055" spans="1:20" x14ac:dyDescent="0.35">
      <c r="A1055" t="s">
        <v>1340</v>
      </c>
      <c r="B1055" s="1">
        <v>45071</v>
      </c>
      <c r="C1055">
        <v>2023</v>
      </c>
      <c r="D1055">
        <v>5</v>
      </c>
      <c r="E1055" t="s">
        <v>38</v>
      </c>
      <c r="F1055">
        <v>112</v>
      </c>
      <c r="G1055" t="s">
        <v>1086</v>
      </c>
      <c r="H1055" t="s">
        <v>24</v>
      </c>
      <c r="I1055">
        <v>1</v>
      </c>
      <c r="J1055">
        <v>0</v>
      </c>
      <c r="K1055">
        <v>5.7</v>
      </c>
      <c r="L1055">
        <v>17949</v>
      </c>
      <c r="M1055" t="s">
        <v>983</v>
      </c>
      <c r="N1055" t="str">
        <f t="shared" si="112"/>
        <v>cinema</v>
      </c>
      <c r="O1055" t="str">
        <f t="shared" si="113"/>
        <v>original</v>
      </c>
      <c r="P1055" t="str">
        <f t="shared" si="114"/>
        <v>non-franchise</v>
      </c>
      <c r="Q1055" t="str">
        <f t="shared" si="115"/>
        <v>old</v>
      </c>
      <c r="R1055" s="2">
        <f t="shared" si="116"/>
        <v>1.1268050091313432E-2</v>
      </c>
      <c r="S1055">
        <f t="shared" si="117"/>
        <v>0.33000000000000007</v>
      </c>
      <c r="T1055" t="str">
        <f t="shared" si="118"/>
        <v>Scenario 2: Weak Commitment/Convenience</v>
      </c>
    </row>
    <row r="1056" spans="1:20" x14ac:dyDescent="0.35">
      <c r="A1056" t="s">
        <v>1341</v>
      </c>
      <c r="B1056" s="1">
        <v>45092</v>
      </c>
      <c r="C1056">
        <v>2023</v>
      </c>
      <c r="D1056">
        <v>6</v>
      </c>
      <c r="E1056" t="s">
        <v>78</v>
      </c>
      <c r="F1056">
        <v>103</v>
      </c>
      <c r="G1056" t="s">
        <v>1239</v>
      </c>
      <c r="H1056" t="s">
        <v>24</v>
      </c>
      <c r="I1056">
        <v>1</v>
      </c>
      <c r="J1056">
        <v>0</v>
      </c>
      <c r="K1056">
        <v>6.3</v>
      </c>
      <c r="L1056">
        <v>213035</v>
      </c>
      <c r="M1056" t="s">
        <v>983</v>
      </c>
      <c r="N1056" t="str">
        <f t="shared" si="112"/>
        <v>cinema</v>
      </c>
      <c r="O1056" t="str">
        <f t="shared" si="113"/>
        <v>original</v>
      </c>
      <c r="P1056" t="str">
        <f t="shared" si="114"/>
        <v>non-franchise</v>
      </c>
      <c r="Q1056" t="str">
        <f t="shared" si="115"/>
        <v>old</v>
      </c>
      <c r="R1056" s="2">
        <f t="shared" si="116"/>
        <v>0.1229925126518711</v>
      </c>
      <c r="S1056">
        <f t="shared" si="117"/>
        <v>0.38605263157894731</v>
      </c>
      <c r="T1056" t="str">
        <f t="shared" si="118"/>
        <v>Scenario 1: Strong Commitment</v>
      </c>
    </row>
    <row r="1057" spans="1:20" x14ac:dyDescent="0.35">
      <c r="A1057" t="s">
        <v>1342</v>
      </c>
      <c r="B1057" s="1">
        <v>45126</v>
      </c>
      <c r="C1057">
        <v>2023</v>
      </c>
      <c r="D1057">
        <v>7</v>
      </c>
      <c r="E1057" t="s">
        <v>78</v>
      </c>
      <c r="F1057">
        <v>180</v>
      </c>
      <c r="G1057" t="s">
        <v>1000</v>
      </c>
      <c r="H1057" t="s">
        <v>24</v>
      </c>
      <c r="I1057">
        <v>0</v>
      </c>
      <c r="J1057">
        <v>0</v>
      </c>
      <c r="K1057">
        <v>8.1999999999999993</v>
      </c>
      <c r="L1057">
        <v>1008108</v>
      </c>
      <c r="M1057" t="s">
        <v>989</v>
      </c>
      <c r="N1057" t="str">
        <f t="shared" si="112"/>
        <v>cinema</v>
      </c>
      <c r="O1057" t="str">
        <f t="shared" si="113"/>
        <v>non-original</v>
      </c>
      <c r="P1057" t="str">
        <f t="shared" si="114"/>
        <v>non-franchise</v>
      </c>
      <c r="Q1057" t="str">
        <f t="shared" si="115"/>
        <v>new</v>
      </c>
      <c r="R1057" s="2">
        <f t="shared" si="116"/>
        <v>0.67807666014742984</v>
      </c>
      <c r="S1057">
        <f t="shared" si="117"/>
        <v>0.39766917293233089</v>
      </c>
      <c r="T1057" t="str">
        <f t="shared" si="118"/>
        <v>Scenario 1: Strong Commitment</v>
      </c>
    </row>
    <row r="1058" spans="1:20" x14ac:dyDescent="0.35">
      <c r="A1058" t="s">
        <v>1343</v>
      </c>
      <c r="B1058" s="1">
        <v>45142</v>
      </c>
      <c r="C1058">
        <v>2023</v>
      </c>
      <c r="D1058">
        <v>8</v>
      </c>
      <c r="E1058" t="s">
        <v>78</v>
      </c>
      <c r="F1058">
        <v>93</v>
      </c>
      <c r="G1058" t="s">
        <v>1344</v>
      </c>
      <c r="H1058" t="s">
        <v>24</v>
      </c>
      <c r="I1058">
        <v>1</v>
      </c>
      <c r="J1058">
        <v>0</v>
      </c>
      <c r="K1058">
        <v>6.3</v>
      </c>
      <c r="L1058">
        <v>37512</v>
      </c>
      <c r="M1058" t="s">
        <v>983</v>
      </c>
      <c r="N1058" t="str">
        <f t="shared" si="112"/>
        <v>cinema</v>
      </c>
      <c r="O1058" t="str">
        <f t="shared" si="113"/>
        <v>original</v>
      </c>
      <c r="P1058" t="str">
        <f t="shared" si="114"/>
        <v>non-franchise</v>
      </c>
      <c r="Q1058" t="str">
        <f t="shared" si="115"/>
        <v>old</v>
      </c>
      <c r="R1058" s="2">
        <f t="shared" si="116"/>
        <v>1.9554362279114987E-2</v>
      </c>
      <c r="S1058">
        <f t="shared" si="117"/>
        <v>0.40973684210526318</v>
      </c>
      <c r="T1058" t="str">
        <f t="shared" si="118"/>
        <v>Scenario 2: Weak Commitment/Convenience</v>
      </c>
    </row>
    <row r="1059" spans="1:20" x14ac:dyDescent="0.35">
      <c r="A1059" t="s">
        <v>1345</v>
      </c>
      <c r="B1059" s="1">
        <v>45147</v>
      </c>
      <c r="C1059">
        <v>2023</v>
      </c>
      <c r="D1059">
        <v>8</v>
      </c>
      <c r="E1059" t="s">
        <v>78</v>
      </c>
      <c r="F1059">
        <v>118</v>
      </c>
      <c r="G1059" t="s">
        <v>1346</v>
      </c>
      <c r="H1059" t="s">
        <v>24</v>
      </c>
      <c r="I1059">
        <v>0</v>
      </c>
      <c r="J1059">
        <v>0</v>
      </c>
      <c r="K1059">
        <v>6.1</v>
      </c>
      <c r="L1059">
        <v>69379</v>
      </c>
      <c r="M1059" t="s">
        <v>983</v>
      </c>
      <c r="N1059" t="str">
        <f t="shared" si="112"/>
        <v>cinema</v>
      </c>
      <c r="O1059" t="str">
        <f t="shared" si="113"/>
        <v>non-original</v>
      </c>
      <c r="P1059" t="str">
        <f t="shared" si="114"/>
        <v>non-franchise</v>
      </c>
      <c r="Q1059" t="str">
        <f t="shared" si="115"/>
        <v>new</v>
      </c>
      <c r="R1059" s="2">
        <f t="shared" si="116"/>
        <v>3.0592098770477232E-2</v>
      </c>
      <c r="S1059">
        <f t="shared" si="117"/>
        <v>0.50909774436090238</v>
      </c>
      <c r="T1059" t="str">
        <f t="shared" si="118"/>
        <v>Scenario 4: Hybrid Logic</v>
      </c>
    </row>
    <row r="1060" spans="1:20" x14ac:dyDescent="0.35">
      <c r="A1060" t="s">
        <v>1347</v>
      </c>
      <c r="B1060" s="1">
        <v>45163</v>
      </c>
      <c r="C1060">
        <v>2023</v>
      </c>
      <c r="D1060">
        <v>8</v>
      </c>
      <c r="E1060" t="s">
        <v>78</v>
      </c>
      <c r="F1060">
        <v>91</v>
      </c>
      <c r="G1060" t="s">
        <v>21</v>
      </c>
      <c r="H1060" t="s">
        <v>24</v>
      </c>
      <c r="I1060">
        <v>1</v>
      </c>
      <c r="J1060">
        <v>0</v>
      </c>
      <c r="K1060">
        <v>6.7</v>
      </c>
      <c r="L1060">
        <v>57172</v>
      </c>
      <c r="M1060" t="s">
        <v>983</v>
      </c>
      <c r="N1060" t="str">
        <f t="shared" si="112"/>
        <v>cinema</v>
      </c>
      <c r="O1060" t="str">
        <f t="shared" si="113"/>
        <v>original</v>
      </c>
      <c r="P1060" t="str">
        <f t="shared" si="114"/>
        <v>non-franchise</v>
      </c>
      <c r="Q1060" t="str">
        <f t="shared" si="115"/>
        <v>old</v>
      </c>
      <c r="R1060" s="2">
        <f t="shared" si="116"/>
        <v>2.9161863048315476E-2</v>
      </c>
      <c r="S1060">
        <f t="shared" si="117"/>
        <v>0.44078947368421056</v>
      </c>
      <c r="T1060" t="str">
        <f t="shared" si="118"/>
        <v>Scenario 2: Weak Commitment/Convenience</v>
      </c>
    </row>
    <row r="1061" spans="1:20" x14ac:dyDescent="0.35">
      <c r="A1061" t="s">
        <v>1348</v>
      </c>
      <c r="B1061" s="1">
        <v>45184</v>
      </c>
      <c r="C1061">
        <v>2023</v>
      </c>
      <c r="D1061">
        <v>9</v>
      </c>
      <c r="E1061" t="s">
        <v>125</v>
      </c>
      <c r="F1061">
        <v>105</v>
      </c>
      <c r="G1061" t="s">
        <v>1349</v>
      </c>
      <c r="H1061" t="s">
        <v>24</v>
      </c>
      <c r="I1061">
        <v>0</v>
      </c>
      <c r="J1061">
        <v>0</v>
      </c>
      <c r="K1061">
        <v>6.8</v>
      </c>
      <c r="L1061">
        <v>62161</v>
      </c>
      <c r="M1061" t="s">
        <v>983</v>
      </c>
      <c r="N1061" t="str">
        <f t="shared" si="112"/>
        <v>cinema</v>
      </c>
      <c r="O1061" t="str">
        <f t="shared" si="113"/>
        <v>non-original</v>
      </c>
      <c r="P1061" t="str">
        <f t="shared" si="114"/>
        <v>non-franchise</v>
      </c>
      <c r="Q1061" t="str">
        <f t="shared" si="115"/>
        <v>new</v>
      </c>
      <c r="R1061" s="2">
        <f t="shared" si="116"/>
        <v>2.4389703525479638E-2</v>
      </c>
      <c r="S1061">
        <f t="shared" si="117"/>
        <v>0.61736842105263157</v>
      </c>
      <c r="T1061" t="str">
        <f t="shared" si="118"/>
        <v>Scenario 3: Strong Convenience</v>
      </c>
    </row>
    <row r="1062" spans="1:20" x14ac:dyDescent="0.35">
      <c r="A1062" t="s">
        <v>1350</v>
      </c>
      <c r="B1062" s="1">
        <v>45196</v>
      </c>
      <c r="C1062">
        <v>2023</v>
      </c>
      <c r="D1062">
        <v>9</v>
      </c>
      <c r="E1062" t="s">
        <v>125</v>
      </c>
      <c r="F1062">
        <v>118</v>
      </c>
      <c r="G1062" t="s">
        <v>1209</v>
      </c>
      <c r="H1062" t="s">
        <v>24</v>
      </c>
      <c r="I1062">
        <v>1</v>
      </c>
      <c r="J1062">
        <v>1</v>
      </c>
      <c r="K1062">
        <v>6.6</v>
      </c>
      <c r="L1062">
        <v>96303</v>
      </c>
      <c r="M1062" t="s">
        <v>989</v>
      </c>
      <c r="N1062" t="str">
        <f t="shared" si="112"/>
        <v>cinema</v>
      </c>
      <c r="O1062" t="str">
        <f t="shared" si="113"/>
        <v>original</v>
      </c>
      <c r="P1062" t="str">
        <f t="shared" si="114"/>
        <v>franchise</v>
      </c>
      <c r="Q1062" t="str">
        <f t="shared" si="115"/>
        <v>old</v>
      </c>
      <c r="R1062" s="2">
        <f t="shared" si="116"/>
        <v>6.369602230991947E-2</v>
      </c>
      <c r="S1062">
        <f t="shared" si="117"/>
        <v>0.36721804511278194</v>
      </c>
      <c r="T1062" t="str">
        <f t="shared" si="118"/>
        <v>Scenario 1: Strong Commitment</v>
      </c>
    </row>
    <row r="1063" spans="1:20" x14ac:dyDescent="0.35">
      <c r="A1063" t="s">
        <v>1351</v>
      </c>
      <c r="B1063" s="1">
        <v>45203</v>
      </c>
      <c r="C1063">
        <v>2023</v>
      </c>
      <c r="D1063">
        <v>10</v>
      </c>
      <c r="E1063" t="s">
        <v>125</v>
      </c>
      <c r="F1063">
        <v>111</v>
      </c>
      <c r="G1063" t="s">
        <v>92</v>
      </c>
      <c r="H1063" t="s">
        <v>24</v>
      </c>
      <c r="I1063">
        <v>1</v>
      </c>
      <c r="J1063">
        <v>1</v>
      </c>
      <c r="K1063">
        <v>4.8</v>
      </c>
      <c r="L1063">
        <v>50321</v>
      </c>
      <c r="M1063" t="s">
        <v>989</v>
      </c>
      <c r="N1063" t="str">
        <f t="shared" si="112"/>
        <v>cinema</v>
      </c>
      <c r="O1063" t="str">
        <f t="shared" si="113"/>
        <v>original</v>
      </c>
      <c r="P1063" t="str">
        <f t="shared" si="114"/>
        <v>franchise</v>
      </c>
      <c r="Q1063" t="str">
        <f t="shared" si="115"/>
        <v>old</v>
      </c>
      <c r="R1063" s="2">
        <f t="shared" si="116"/>
        <v>3.1308533851663621E-2</v>
      </c>
      <c r="S1063">
        <f t="shared" si="117"/>
        <v>0.27969924812030073</v>
      </c>
      <c r="T1063" t="str">
        <f t="shared" si="118"/>
        <v>Scenario 1: Strong Commitment</v>
      </c>
    </row>
    <row r="1064" spans="1:20" x14ac:dyDescent="0.35">
      <c r="A1064" t="s">
        <v>1352</v>
      </c>
      <c r="B1064" s="1">
        <v>45217</v>
      </c>
      <c r="C1064">
        <v>2023</v>
      </c>
      <c r="D1064">
        <v>10</v>
      </c>
      <c r="E1064" t="s">
        <v>125</v>
      </c>
      <c r="F1064">
        <v>206</v>
      </c>
      <c r="G1064" t="s">
        <v>1353</v>
      </c>
      <c r="H1064" t="s">
        <v>24</v>
      </c>
      <c r="I1064">
        <v>0</v>
      </c>
      <c r="J1064">
        <v>0</v>
      </c>
      <c r="K1064">
        <v>7.5</v>
      </c>
      <c r="L1064">
        <v>303431</v>
      </c>
      <c r="M1064" t="s">
        <v>983</v>
      </c>
      <c r="N1064" t="str">
        <f t="shared" si="112"/>
        <v>cinema</v>
      </c>
      <c r="O1064" t="str">
        <f t="shared" si="113"/>
        <v>non-original</v>
      </c>
      <c r="P1064" t="str">
        <f t="shared" si="114"/>
        <v>non-franchise</v>
      </c>
      <c r="Q1064" t="str">
        <f t="shared" si="115"/>
        <v>new</v>
      </c>
      <c r="R1064" s="2">
        <f t="shared" si="116"/>
        <v>0.23357502198524432</v>
      </c>
      <c r="S1064">
        <f t="shared" si="117"/>
        <v>0.25375939849624057</v>
      </c>
      <c r="T1064" t="str">
        <f t="shared" si="118"/>
        <v>Scenario 1: Strong Commitment</v>
      </c>
    </row>
    <row r="1065" spans="1:20" x14ac:dyDescent="0.35">
      <c r="A1065" t="s">
        <v>1354</v>
      </c>
      <c r="B1065" s="1">
        <v>45226</v>
      </c>
      <c r="C1065">
        <v>2023</v>
      </c>
      <c r="D1065">
        <v>10</v>
      </c>
      <c r="E1065" t="s">
        <v>125</v>
      </c>
      <c r="F1065">
        <v>113</v>
      </c>
      <c r="G1065" t="s">
        <v>1020</v>
      </c>
      <c r="H1065" t="s">
        <v>24</v>
      </c>
      <c r="I1065">
        <v>0</v>
      </c>
      <c r="J1065">
        <v>0</v>
      </c>
      <c r="K1065">
        <v>6.4</v>
      </c>
      <c r="L1065">
        <v>53625</v>
      </c>
      <c r="M1065" t="s">
        <v>983</v>
      </c>
      <c r="N1065" t="str">
        <f t="shared" si="112"/>
        <v>cinema</v>
      </c>
      <c r="O1065" t="str">
        <f t="shared" si="113"/>
        <v>non-original</v>
      </c>
      <c r="P1065" t="str">
        <f t="shared" si="114"/>
        <v>non-franchise</v>
      </c>
      <c r="Q1065" t="str">
        <f t="shared" si="115"/>
        <v>new</v>
      </c>
      <c r="R1065" s="2">
        <f t="shared" si="116"/>
        <v>2.2643574132852329E-2</v>
      </c>
      <c r="S1065">
        <f t="shared" si="117"/>
        <v>0.55218045112781955</v>
      </c>
      <c r="T1065" t="str">
        <f t="shared" si="118"/>
        <v>Scenario 3: Strong Convenience</v>
      </c>
    </row>
    <row r="1066" spans="1:20" x14ac:dyDescent="0.35">
      <c r="A1066" t="s">
        <v>1355</v>
      </c>
      <c r="B1066" s="1">
        <v>45246</v>
      </c>
      <c r="C1066">
        <v>2023</v>
      </c>
      <c r="D1066">
        <v>11</v>
      </c>
      <c r="E1066" t="s">
        <v>125</v>
      </c>
      <c r="F1066">
        <v>106</v>
      </c>
      <c r="G1066" t="s">
        <v>1209</v>
      </c>
      <c r="H1066" t="s">
        <v>24</v>
      </c>
      <c r="I1066">
        <v>1</v>
      </c>
      <c r="J1066">
        <v>1</v>
      </c>
      <c r="K1066">
        <v>6.2</v>
      </c>
      <c r="L1066">
        <v>79686</v>
      </c>
      <c r="M1066" t="s">
        <v>989</v>
      </c>
      <c r="N1066" t="str">
        <f t="shared" si="112"/>
        <v>cinema</v>
      </c>
      <c r="O1066" t="str">
        <f t="shared" si="113"/>
        <v>original</v>
      </c>
      <c r="P1066" t="str">
        <f t="shared" si="114"/>
        <v>franchise</v>
      </c>
      <c r="Q1066" t="str">
        <f t="shared" si="115"/>
        <v>old</v>
      </c>
      <c r="R1066" s="2">
        <f t="shared" si="116"/>
        <v>4.7345464428528973E-2</v>
      </c>
      <c r="S1066">
        <f t="shared" si="117"/>
        <v>0.37293233082706767</v>
      </c>
      <c r="T1066" t="str">
        <f t="shared" si="118"/>
        <v>Scenario 1: Strong Commitment</v>
      </c>
    </row>
    <row r="1067" spans="1:20" x14ac:dyDescent="0.35">
      <c r="A1067" t="s">
        <v>1356</v>
      </c>
      <c r="B1067" s="1">
        <v>45252</v>
      </c>
      <c r="C1067">
        <v>2023</v>
      </c>
      <c r="D1067">
        <v>11</v>
      </c>
      <c r="E1067" t="s">
        <v>125</v>
      </c>
      <c r="F1067">
        <v>158</v>
      </c>
      <c r="G1067" t="s">
        <v>1357</v>
      </c>
      <c r="H1067" t="s">
        <v>24</v>
      </c>
      <c r="I1067">
        <v>0</v>
      </c>
      <c r="J1067">
        <v>0</v>
      </c>
      <c r="K1067">
        <v>6.3</v>
      </c>
      <c r="L1067">
        <v>184531</v>
      </c>
      <c r="M1067" t="s">
        <v>983</v>
      </c>
      <c r="N1067" t="str">
        <f t="shared" si="112"/>
        <v>cinema</v>
      </c>
      <c r="O1067" t="str">
        <f t="shared" si="113"/>
        <v>non-original</v>
      </c>
      <c r="P1067" t="str">
        <f t="shared" si="114"/>
        <v>non-franchise</v>
      </c>
      <c r="Q1067" t="str">
        <f t="shared" si="115"/>
        <v>new</v>
      </c>
      <c r="R1067" s="2">
        <f t="shared" si="116"/>
        <v>0.10894960294950283</v>
      </c>
      <c r="S1067">
        <f t="shared" si="117"/>
        <v>0.38368421052631579</v>
      </c>
      <c r="T1067" t="str">
        <f t="shared" si="118"/>
        <v>Scenario 1: Strong Commitment</v>
      </c>
    </row>
    <row r="1068" spans="1:20" x14ac:dyDescent="0.35">
      <c r="A1068" t="s">
        <v>1358</v>
      </c>
      <c r="B1068" s="1">
        <v>45274</v>
      </c>
      <c r="C1068">
        <v>2023</v>
      </c>
      <c r="D1068">
        <v>12</v>
      </c>
      <c r="E1068" t="s">
        <v>14</v>
      </c>
      <c r="F1068">
        <v>130</v>
      </c>
      <c r="G1068" t="s">
        <v>1000</v>
      </c>
      <c r="H1068" t="s">
        <v>24</v>
      </c>
      <c r="I1068">
        <v>0</v>
      </c>
      <c r="J1068">
        <v>0</v>
      </c>
      <c r="K1068">
        <v>6.4</v>
      </c>
      <c r="L1068">
        <v>66797</v>
      </c>
      <c r="M1068" t="s">
        <v>983</v>
      </c>
      <c r="N1068" t="str">
        <f t="shared" si="112"/>
        <v>cinema</v>
      </c>
      <c r="O1068" t="str">
        <f t="shared" si="113"/>
        <v>non-original</v>
      </c>
      <c r="P1068" t="str">
        <f t="shared" si="114"/>
        <v>non-franchise</v>
      </c>
      <c r="Q1068" t="str">
        <f t="shared" si="115"/>
        <v>new</v>
      </c>
      <c r="R1068" s="2">
        <f t="shared" si="116"/>
        <v>3.2448867178377847E-2</v>
      </c>
      <c r="S1068">
        <f t="shared" si="117"/>
        <v>0.49082706766917289</v>
      </c>
      <c r="T1068" t="str">
        <f t="shared" si="118"/>
        <v>Scenario 1: Strong Commitment</v>
      </c>
    </row>
    <row r="1069" spans="1:20" x14ac:dyDescent="0.35">
      <c r="A1069" t="s">
        <v>1359</v>
      </c>
      <c r="B1069" s="1">
        <v>45275</v>
      </c>
      <c r="C1069">
        <v>2023</v>
      </c>
      <c r="D1069">
        <v>12</v>
      </c>
      <c r="E1069" t="s">
        <v>14</v>
      </c>
      <c r="F1069">
        <v>117</v>
      </c>
      <c r="G1069" t="s">
        <v>985</v>
      </c>
      <c r="H1069" t="s">
        <v>24</v>
      </c>
      <c r="I1069">
        <v>0</v>
      </c>
      <c r="J1069">
        <v>0</v>
      </c>
      <c r="K1069">
        <v>7.5</v>
      </c>
      <c r="L1069">
        <v>132421</v>
      </c>
      <c r="M1069" t="s">
        <v>983</v>
      </c>
      <c r="N1069" t="str">
        <f t="shared" si="112"/>
        <v>cinema</v>
      </c>
      <c r="O1069" t="str">
        <f t="shared" si="113"/>
        <v>non-original</v>
      </c>
      <c r="P1069" t="str">
        <f t="shared" si="114"/>
        <v>non-franchise</v>
      </c>
      <c r="Q1069" t="str">
        <f t="shared" si="115"/>
        <v>new</v>
      </c>
      <c r="R1069" s="2">
        <f t="shared" si="116"/>
        <v>5.789511948987492E-2</v>
      </c>
      <c r="S1069">
        <f t="shared" si="117"/>
        <v>0.63016917293233088</v>
      </c>
      <c r="T1069" t="str">
        <f t="shared" si="118"/>
        <v>Scenario 4: Hybrid Logic</v>
      </c>
    </row>
    <row r="1070" spans="1:20" x14ac:dyDescent="0.35">
      <c r="A1070" t="s">
        <v>1360</v>
      </c>
      <c r="B1070" s="1">
        <v>45281</v>
      </c>
      <c r="C1070">
        <v>2023</v>
      </c>
      <c r="D1070">
        <v>12</v>
      </c>
      <c r="E1070" t="s">
        <v>14</v>
      </c>
      <c r="F1070">
        <v>132</v>
      </c>
      <c r="G1070" t="s">
        <v>1145</v>
      </c>
      <c r="H1070" t="s">
        <v>24</v>
      </c>
      <c r="I1070">
        <v>0</v>
      </c>
      <c r="J1070">
        <v>0</v>
      </c>
      <c r="K1070">
        <v>7.5</v>
      </c>
      <c r="L1070">
        <v>117178</v>
      </c>
      <c r="M1070" t="s">
        <v>989</v>
      </c>
      <c r="N1070" t="str">
        <f t="shared" si="112"/>
        <v>cinema</v>
      </c>
      <c r="O1070" t="str">
        <f t="shared" si="113"/>
        <v>non-original</v>
      </c>
      <c r="P1070" t="str">
        <f t="shared" si="114"/>
        <v>non-franchise</v>
      </c>
      <c r="Q1070" t="str">
        <f t="shared" si="115"/>
        <v>new</v>
      </c>
      <c r="R1070" s="2">
        <f t="shared" si="116"/>
        <v>5.7798855923526106E-2</v>
      </c>
      <c r="S1070">
        <f t="shared" si="117"/>
        <v>0.56672932330827075</v>
      </c>
      <c r="T1070" t="str">
        <f t="shared" si="118"/>
        <v>Scenario 4: Hybrid Logic</v>
      </c>
    </row>
    <row r="1071" spans="1:20" x14ac:dyDescent="0.35">
      <c r="A1071" t="s">
        <v>1361</v>
      </c>
      <c r="B1071" s="1">
        <v>45282</v>
      </c>
      <c r="C1071">
        <v>2023</v>
      </c>
      <c r="D1071">
        <v>12</v>
      </c>
      <c r="E1071" t="s">
        <v>14</v>
      </c>
      <c r="F1071">
        <v>103</v>
      </c>
      <c r="G1071" t="s">
        <v>1239</v>
      </c>
      <c r="H1071" t="s">
        <v>24</v>
      </c>
      <c r="I1071">
        <v>1</v>
      </c>
      <c r="J1071">
        <v>0</v>
      </c>
      <c r="K1071">
        <v>6.1</v>
      </c>
      <c r="L1071">
        <v>169236</v>
      </c>
      <c r="M1071" t="s">
        <v>989</v>
      </c>
      <c r="N1071" t="str">
        <f t="shared" si="112"/>
        <v>cinema</v>
      </c>
      <c r="O1071" t="str">
        <f t="shared" si="113"/>
        <v>original</v>
      </c>
      <c r="P1071" t="str">
        <f t="shared" si="114"/>
        <v>non-franchise</v>
      </c>
      <c r="Q1071" t="str">
        <f t="shared" si="115"/>
        <v>old</v>
      </c>
      <c r="R1071" s="2">
        <f t="shared" si="116"/>
        <v>9.7705827076076973E-2</v>
      </c>
      <c r="S1071">
        <f t="shared" si="117"/>
        <v>0.37379699248120296</v>
      </c>
      <c r="T1071" t="str">
        <f t="shared" si="118"/>
        <v>Scenario 1: Strong Commitment</v>
      </c>
    </row>
    <row r="1072" spans="1:20" x14ac:dyDescent="0.35">
      <c r="A1072" t="s">
        <v>1362</v>
      </c>
      <c r="B1072" s="1">
        <v>45393</v>
      </c>
      <c r="C1072">
        <v>2024</v>
      </c>
      <c r="D1072">
        <v>4</v>
      </c>
      <c r="E1072" t="s">
        <v>38</v>
      </c>
      <c r="F1072">
        <v>109</v>
      </c>
      <c r="G1072" t="s">
        <v>1363</v>
      </c>
      <c r="H1072" t="s">
        <v>24</v>
      </c>
      <c r="I1072">
        <v>1</v>
      </c>
      <c r="J1072">
        <v>0</v>
      </c>
      <c r="K1072">
        <v>7</v>
      </c>
      <c r="L1072">
        <v>264368</v>
      </c>
      <c r="M1072" t="s">
        <v>983</v>
      </c>
      <c r="N1072" t="str">
        <f t="shared" si="112"/>
        <v>cinema</v>
      </c>
      <c r="O1072" t="str">
        <f t="shared" si="113"/>
        <v>original</v>
      </c>
      <c r="P1072" t="str">
        <f t="shared" si="114"/>
        <v>non-franchise</v>
      </c>
      <c r="Q1072" t="str">
        <f t="shared" si="115"/>
        <v>old</v>
      </c>
      <c r="R1072" s="2">
        <f t="shared" si="116"/>
        <v>0.16151983867629821</v>
      </c>
      <c r="S1072">
        <f t="shared" si="117"/>
        <v>0.41315789473684206</v>
      </c>
      <c r="T1072" t="str">
        <f t="shared" si="118"/>
        <v>Scenario 1: Strong Commitment</v>
      </c>
    </row>
    <row r="1073" spans="1:20" x14ac:dyDescent="0.35">
      <c r="A1073" t="s">
        <v>1364</v>
      </c>
      <c r="B1073" s="1">
        <v>45399</v>
      </c>
      <c r="C1073">
        <v>2024</v>
      </c>
      <c r="D1073">
        <v>4</v>
      </c>
      <c r="E1073" t="s">
        <v>38</v>
      </c>
      <c r="F1073">
        <v>109</v>
      </c>
      <c r="G1073" t="s">
        <v>1312</v>
      </c>
      <c r="H1073" t="s">
        <v>24</v>
      </c>
      <c r="I1073">
        <v>1</v>
      </c>
      <c r="J1073">
        <v>0</v>
      </c>
      <c r="K1073">
        <v>6.5</v>
      </c>
      <c r="L1073">
        <v>115300</v>
      </c>
      <c r="M1073" t="s">
        <v>983</v>
      </c>
      <c r="N1073" t="str">
        <f t="shared" si="112"/>
        <v>cinema</v>
      </c>
      <c r="O1073" t="str">
        <f t="shared" si="113"/>
        <v>original</v>
      </c>
      <c r="P1073" t="str">
        <f t="shared" si="114"/>
        <v>non-franchise</v>
      </c>
      <c r="Q1073" t="str">
        <f t="shared" si="115"/>
        <v>old</v>
      </c>
      <c r="R1073" s="2">
        <f t="shared" si="116"/>
        <v>7.0444370723299274E-2</v>
      </c>
      <c r="S1073">
        <f t="shared" si="117"/>
        <v>0.3836466165413534</v>
      </c>
      <c r="T1073" t="str">
        <f t="shared" si="118"/>
        <v>Scenario 1: Strong Commitment</v>
      </c>
    </row>
    <row r="1074" spans="1:20" x14ac:dyDescent="0.35">
      <c r="A1074" t="s">
        <v>1365</v>
      </c>
      <c r="B1074" s="1">
        <v>45400</v>
      </c>
      <c r="C1074">
        <v>2024</v>
      </c>
      <c r="D1074">
        <v>4</v>
      </c>
      <c r="E1074" t="s">
        <v>38</v>
      </c>
      <c r="F1074">
        <v>131</v>
      </c>
      <c r="G1074" t="s">
        <v>1016</v>
      </c>
      <c r="H1074" t="s">
        <v>24</v>
      </c>
      <c r="I1074">
        <v>1</v>
      </c>
      <c r="J1074">
        <v>0</v>
      </c>
      <c r="K1074">
        <v>7</v>
      </c>
      <c r="L1074">
        <v>175395</v>
      </c>
      <c r="M1074" t="s">
        <v>983</v>
      </c>
      <c r="N1074" t="str">
        <f t="shared" si="112"/>
        <v>cinema</v>
      </c>
      <c r="O1074" t="str">
        <f t="shared" si="113"/>
        <v>original</v>
      </c>
      <c r="P1074" t="str">
        <f t="shared" si="114"/>
        <v>non-franchise</v>
      </c>
      <c r="Q1074" t="str">
        <f t="shared" si="115"/>
        <v>old</v>
      </c>
      <c r="R1074" s="2">
        <f t="shared" si="116"/>
        <v>0.12878906584297151</v>
      </c>
      <c r="S1074">
        <f t="shared" si="117"/>
        <v>0.35526315789473684</v>
      </c>
      <c r="T1074" t="str">
        <f t="shared" si="118"/>
        <v>Scenario 1: Strong Commitment</v>
      </c>
    </row>
    <row r="1075" spans="1:20" x14ac:dyDescent="0.35">
      <c r="A1075" t="s">
        <v>1366</v>
      </c>
      <c r="B1075" s="1">
        <v>45427</v>
      </c>
      <c r="C1075">
        <v>2024</v>
      </c>
      <c r="D1075">
        <v>5</v>
      </c>
      <c r="E1075" t="s">
        <v>38</v>
      </c>
      <c r="F1075">
        <v>91</v>
      </c>
      <c r="G1075" t="s">
        <v>92</v>
      </c>
      <c r="H1075" t="s">
        <v>24</v>
      </c>
      <c r="I1075">
        <v>1</v>
      </c>
      <c r="J1075">
        <v>1</v>
      </c>
      <c r="K1075">
        <v>4.7</v>
      </c>
      <c r="L1075">
        <v>28348</v>
      </c>
      <c r="M1075" t="s">
        <v>989</v>
      </c>
      <c r="N1075" t="str">
        <f t="shared" si="112"/>
        <v>cinema</v>
      </c>
      <c r="O1075" t="str">
        <f t="shared" si="113"/>
        <v>original</v>
      </c>
      <c r="P1075" t="str">
        <f t="shared" si="114"/>
        <v>franchise</v>
      </c>
      <c r="Q1075" t="str">
        <f t="shared" si="115"/>
        <v>old</v>
      </c>
      <c r="R1075" s="2">
        <f t="shared" si="116"/>
        <v>1.4459534277157475E-2</v>
      </c>
      <c r="S1075">
        <f t="shared" si="117"/>
        <v>0.30921052631578949</v>
      </c>
      <c r="T1075" t="str">
        <f t="shared" si="118"/>
        <v>Scenario 2: Weak Commitment/Convenience</v>
      </c>
    </row>
    <row r="1076" spans="1:20" x14ac:dyDescent="0.35">
      <c r="A1076" t="s">
        <v>1367</v>
      </c>
      <c r="B1076" s="1">
        <v>45434</v>
      </c>
      <c r="C1076">
        <v>2024</v>
      </c>
      <c r="D1076">
        <v>5</v>
      </c>
      <c r="E1076" t="s">
        <v>38</v>
      </c>
      <c r="F1076">
        <v>148</v>
      </c>
      <c r="G1076" t="s">
        <v>1133</v>
      </c>
      <c r="H1076" t="s">
        <v>24</v>
      </c>
      <c r="I1076">
        <v>0</v>
      </c>
      <c r="J1076">
        <v>1</v>
      </c>
      <c r="K1076">
        <v>7.5</v>
      </c>
      <c r="L1076">
        <v>316223</v>
      </c>
      <c r="M1076" t="s">
        <v>983</v>
      </c>
      <c r="N1076" t="str">
        <f t="shared" si="112"/>
        <v>cinema</v>
      </c>
      <c r="O1076" t="str">
        <f t="shared" si="113"/>
        <v>non-original</v>
      </c>
      <c r="P1076" t="str">
        <f t="shared" si="114"/>
        <v>franchise</v>
      </c>
      <c r="Q1076" t="str">
        <f t="shared" si="115"/>
        <v>old</v>
      </c>
      <c r="R1076" s="2">
        <f t="shared" si="116"/>
        <v>0.2623286103263614</v>
      </c>
      <c r="S1076">
        <f t="shared" si="117"/>
        <v>0.33270676691729328</v>
      </c>
      <c r="T1076" t="str">
        <f t="shared" si="118"/>
        <v>Scenario 1: Strong Commitment</v>
      </c>
    </row>
    <row r="1077" spans="1:20" x14ac:dyDescent="0.35">
      <c r="A1077" t="s">
        <v>1368</v>
      </c>
      <c r="B1077" s="1">
        <v>45448</v>
      </c>
      <c r="C1077">
        <v>2024</v>
      </c>
      <c r="D1077">
        <v>6</v>
      </c>
      <c r="E1077" t="s">
        <v>78</v>
      </c>
      <c r="F1077">
        <v>115</v>
      </c>
      <c r="G1077" t="s">
        <v>1043</v>
      </c>
      <c r="H1077" t="s">
        <v>24</v>
      </c>
      <c r="I1077">
        <v>1</v>
      </c>
      <c r="J1077">
        <v>1</v>
      </c>
      <c r="K1077">
        <v>6.5</v>
      </c>
      <c r="L1077">
        <v>111595</v>
      </c>
      <c r="M1077" t="s">
        <v>989</v>
      </c>
      <c r="N1077" t="str">
        <f t="shared" si="112"/>
        <v>cinema</v>
      </c>
      <c r="O1077" t="str">
        <f t="shared" si="113"/>
        <v>original</v>
      </c>
      <c r="P1077" t="str">
        <f t="shared" si="114"/>
        <v>franchise</v>
      </c>
      <c r="Q1077" t="str">
        <f t="shared" si="115"/>
        <v>old</v>
      </c>
      <c r="R1077" s="2">
        <f t="shared" si="116"/>
        <v>7.1933810351110947E-2</v>
      </c>
      <c r="S1077">
        <f t="shared" si="117"/>
        <v>0.36898496240601508</v>
      </c>
      <c r="T1077" t="str">
        <f t="shared" si="118"/>
        <v>Scenario 1: Strong Commitment</v>
      </c>
    </row>
    <row r="1078" spans="1:20" x14ac:dyDescent="0.35">
      <c r="A1078" t="s">
        <v>1369</v>
      </c>
      <c r="B1078" s="1">
        <v>45497</v>
      </c>
      <c r="C1078">
        <v>2024</v>
      </c>
      <c r="D1078">
        <v>7</v>
      </c>
      <c r="E1078" t="s">
        <v>78</v>
      </c>
      <c r="F1078">
        <v>128</v>
      </c>
      <c r="G1078" t="s">
        <v>1043</v>
      </c>
      <c r="H1078" t="s">
        <v>24</v>
      </c>
      <c r="I1078">
        <v>0</v>
      </c>
      <c r="J1078">
        <v>1</v>
      </c>
      <c r="K1078">
        <v>7.5</v>
      </c>
      <c r="L1078">
        <v>558023</v>
      </c>
      <c r="M1078" t="s">
        <v>989</v>
      </c>
      <c r="N1078" t="str">
        <f t="shared" si="112"/>
        <v>cinema</v>
      </c>
      <c r="O1078" t="str">
        <f t="shared" si="113"/>
        <v>non-original</v>
      </c>
      <c r="P1078" t="str">
        <f t="shared" si="114"/>
        <v>franchise</v>
      </c>
      <c r="Q1078" t="str">
        <f t="shared" si="115"/>
        <v>old</v>
      </c>
      <c r="R1078" s="2">
        <f t="shared" si="116"/>
        <v>0.40036173068806036</v>
      </c>
      <c r="S1078">
        <f t="shared" si="117"/>
        <v>0.38909774436090228</v>
      </c>
      <c r="T1078" t="str">
        <f t="shared" si="118"/>
        <v>Scenario 1: Strong Commitment</v>
      </c>
    </row>
    <row r="1079" spans="1:20" x14ac:dyDescent="0.35">
      <c r="A1079" t="s">
        <v>1370</v>
      </c>
      <c r="B1079" s="1">
        <v>45511</v>
      </c>
      <c r="C1079">
        <v>2024</v>
      </c>
      <c r="D1079">
        <v>8</v>
      </c>
      <c r="E1079" t="s">
        <v>78</v>
      </c>
      <c r="F1079">
        <v>110</v>
      </c>
      <c r="G1079" t="s">
        <v>1371</v>
      </c>
      <c r="H1079" t="s">
        <v>24</v>
      </c>
      <c r="I1079">
        <v>0</v>
      </c>
      <c r="J1079">
        <v>0</v>
      </c>
      <c r="K1079">
        <v>6.8</v>
      </c>
      <c r="L1079">
        <v>129899</v>
      </c>
      <c r="M1079" t="s">
        <v>989</v>
      </c>
      <c r="N1079" t="str">
        <f t="shared" si="112"/>
        <v>cinema</v>
      </c>
      <c r="O1079" t="str">
        <f t="shared" si="113"/>
        <v>non-original</v>
      </c>
      <c r="P1079" t="str">
        <f t="shared" si="114"/>
        <v>non-franchise</v>
      </c>
      <c r="Q1079" t="str">
        <f t="shared" si="115"/>
        <v>new</v>
      </c>
      <c r="R1079" s="2">
        <f t="shared" si="116"/>
        <v>5.3394647357084359E-2</v>
      </c>
      <c r="S1079">
        <f t="shared" si="117"/>
        <v>0.59819548872180461</v>
      </c>
      <c r="T1079" t="str">
        <f t="shared" si="118"/>
        <v>Scenario 4: Hybrid Logic</v>
      </c>
    </row>
    <row r="1080" spans="1:20" x14ac:dyDescent="0.35">
      <c r="A1080" t="s">
        <v>1372</v>
      </c>
      <c r="B1080" s="1">
        <v>45518</v>
      </c>
      <c r="C1080">
        <v>2024</v>
      </c>
      <c r="D1080">
        <v>8</v>
      </c>
      <c r="E1080" t="s">
        <v>78</v>
      </c>
      <c r="F1080">
        <v>119</v>
      </c>
      <c r="G1080" t="s">
        <v>1188</v>
      </c>
      <c r="H1080" t="s">
        <v>24</v>
      </c>
      <c r="I1080">
        <v>1</v>
      </c>
      <c r="J1080">
        <v>1</v>
      </c>
      <c r="K1080">
        <v>7.1</v>
      </c>
      <c r="L1080">
        <v>282362</v>
      </c>
      <c r="M1080" t="s">
        <v>989</v>
      </c>
      <c r="N1080" t="str">
        <f t="shared" si="112"/>
        <v>cinema</v>
      </c>
      <c r="O1080" t="str">
        <f t="shared" si="113"/>
        <v>original</v>
      </c>
      <c r="P1080" t="str">
        <f t="shared" si="114"/>
        <v>franchise</v>
      </c>
      <c r="Q1080" t="str">
        <f t="shared" si="115"/>
        <v>old</v>
      </c>
      <c r="R1080" s="2">
        <f t="shared" si="116"/>
        <v>0.18834049152466206</v>
      </c>
      <c r="S1080">
        <f t="shared" si="117"/>
        <v>0.39236842105263153</v>
      </c>
      <c r="T1080" t="str">
        <f t="shared" si="118"/>
        <v>Scenario 1: Strong Commitment</v>
      </c>
    </row>
    <row r="1081" spans="1:20" x14ac:dyDescent="0.35">
      <c r="A1081" t="s">
        <v>1373</v>
      </c>
      <c r="B1081" s="1">
        <v>45525</v>
      </c>
      <c r="C1081">
        <v>2024</v>
      </c>
      <c r="D1081">
        <v>8</v>
      </c>
      <c r="E1081" t="s">
        <v>78</v>
      </c>
      <c r="F1081">
        <v>111</v>
      </c>
      <c r="G1081" t="s">
        <v>1374</v>
      </c>
      <c r="H1081" t="s">
        <v>24</v>
      </c>
      <c r="I1081">
        <v>0</v>
      </c>
      <c r="J1081">
        <v>0</v>
      </c>
      <c r="K1081">
        <v>4.7</v>
      </c>
      <c r="L1081">
        <v>40735</v>
      </c>
      <c r="M1081" t="s">
        <v>983</v>
      </c>
      <c r="N1081" t="str">
        <f t="shared" si="112"/>
        <v>cinema</v>
      </c>
      <c r="O1081" t="str">
        <f t="shared" si="113"/>
        <v>non-original</v>
      </c>
      <c r="P1081" t="str">
        <f t="shared" si="114"/>
        <v>non-franchise</v>
      </c>
      <c r="Q1081" t="str">
        <f t="shared" si="115"/>
        <v>new</v>
      </c>
      <c r="R1081" s="2">
        <f t="shared" si="116"/>
        <v>1.6896234526970418E-2</v>
      </c>
      <c r="S1081">
        <f t="shared" si="117"/>
        <v>0.41080827067669173</v>
      </c>
      <c r="T1081" t="str">
        <f t="shared" si="118"/>
        <v>Scenario 2: Weak Commitment/Convenience</v>
      </c>
    </row>
    <row r="1082" spans="1:20" x14ac:dyDescent="0.35">
      <c r="A1082" t="s">
        <v>1375</v>
      </c>
      <c r="B1082" s="1">
        <v>45533</v>
      </c>
      <c r="C1082">
        <v>2024</v>
      </c>
      <c r="D1082">
        <v>8</v>
      </c>
      <c r="E1082" t="s">
        <v>78</v>
      </c>
      <c r="F1082">
        <v>127</v>
      </c>
      <c r="G1082" t="s">
        <v>1099</v>
      </c>
      <c r="H1082" t="s">
        <v>24</v>
      </c>
      <c r="I1082">
        <v>0</v>
      </c>
      <c r="J1082">
        <v>1</v>
      </c>
      <c r="K1082">
        <v>5.5</v>
      </c>
      <c r="L1082">
        <v>78960</v>
      </c>
      <c r="M1082" t="s">
        <v>983</v>
      </c>
      <c r="N1082" t="str">
        <f t="shared" si="112"/>
        <v>cinema</v>
      </c>
      <c r="O1082" t="str">
        <f t="shared" si="113"/>
        <v>non-original</v>
      </c>
      <c r="P1082" t="str">
        <f t="shared" si="114"/>
        <v>franchise</v>
      </c>
      <c r="Q1082" t="str">
        <f t="shared" si="115"/>
        <v>old</v>
      </c>
      <c r="R1082" s="2">
        <f t="shared" si="116"/>
        <v>5.6208416342177742E-2</v>
      </c>
      <c r="S1082">
        <f t="shared" si="117"/>
        <v>0.287406015037594</v>
      </c>
      <c r="T1082" t="str">
        <f>IF(AND(R1082&gt;=0.03, S1082&gt;=0.5), "Scenario 4: Hybrid Logic",
 IF(AND(R1082&gt;=0.03, S1082&lt;0.5), "Scenario 1: Strong Commitment",
  IF(AND(R1082&lt;0.03, S1082&gt;=0.5), "Scenario 3: Strong Convenience",
   "Scenario 2: Weak Commitment/Convenience")))</f>
        <v>Scenario 1: Strong Commitment</v>
      </c>
    </row>
    <row r="1083" spans="1:20" x14ac:dyDescent="0.35">
      <c r="A1083" t="s">
        <v>1376</v>
      </c>
      <c r="B1083" s="1">
        <v>45553</v>
      </c>
      <c r="C1083">
        <v>2024</v>
      </c>
      <c r="D1083">
        <v>9</v>
      </c>
      <c r="E1083" t="s">
        <v>125</v>
      </c>
      <c r="F1083">
        <v>101</v>
      </c>
      <c r="G1083" t="s">
        <v>1209</v>
      </c>
      <c r="H1083" t="s">
        <v>24</v>
      </c>
      <c r="I1083">
        <v>1</v>
      </c>
      <c r="J1083">
        <v>0</v>
      </c>
      <c r="K1083">
        <v>5.4</v>
      </c>
      <c r="L1083">
        <v>18606</v>
      </c>
      <c r="M1083" t="s">
        <v>983</v>
      </c>
      <c r="N1083" t="str">
        <f t="shared" si="112"/>
        <v>cinema</v>
      </c>
      <c r="O1083" t="str">
        <f t="shared" si="113"/>
        <v>original</v>
      </c>
      <c r="P1083" t="str">
        <f t="shared" si="114"/>
        <v>non-franchise</v>
      </c>
      <c r="Q1083" t="str">
        <f t="shared" si="115"/>
        <v>old</v>
      </c>
      <c r="R1083" s="2">
        <f t="shared" si="116"/>
        <v>1.0533310321653791E-2</v>
      </c>
      <c r="S1083">
        <f t="shared" si="117"/>
        <v>0.33496240601503763</v>
      </c>
      <c r="T1083" t="str">
        <f t="shared" si="118"/>
        <v>Scenario 2: Weak Commitment/Convenience</v>
      </c>
    </row>
    <row r="1084" spans="1:20" x14ac:dyDescent="0.35">
      <c r="A1084" t="s">
        <v>1377</v>
      </c>
      <c r="B1084" s="1">
        <v>45566</v>
      </c>
      <c r="C1084">
        <v>2024</v>
      </c>
      <c r="D1084">
        <v>10</v>
      </c>
      <c r="E1084" t="s">
        <v>125</v>
      </c>
      <c r="F1084">
        <v>138</v>
      </c>
      <c r="G1084" t="s">
        <v>1378</v>
      </c>
      <c r="H1084" t="s">
        <v>24</v>
      </c>
      <c r="I1084">
        <v>0</v>
      </c>
      <c r="J1084">
        <v>1</v>
      </c>
      <c r="K1084">
        <v>5.2</v>
      </c>
      <c r="L1084">
        <v>179813</v>
      </c>
      <c r="M1084" t="s">
        <v>983</v>
      </c>
      <c r="N1084" t="str">
        <f t="shared" si="112"/>
        <v>cinema</v>
      </c>
      <c r="O1084" t="str">
        <f t="shared" si="113"/>
        <v>non-original</v>
      </c>
      <c r="P1084" t="str">
        <f t="shared" si="114"/>
        <v>franchise</v>
      </c>
      <c r="Q1084" t="str">
        <f t="shared" si="115"/>
        <v>old</v>
      </c>
      <c r="R1084" s="2">
        <f t="shared" si="116"/>
        <v>0.13908832016485662</v>
      </c>
      <c r="S1084">
        <f t="shared" si="117"/>
        <v>0.25022556390977441</v>
      </c>
      <c r="T1084" t="str">
        <f t="shared" si="118"/>
        <v>Scenario 1: Strong Commitment</v>
      </c>
    </row>
    <row r="1085" spans="1:20" x14ac:dyDescent="0.35">
      <c r="A1085" t="s">
        <v>1379</v>
      </c>
      <c r="B1085" s="1">
        <v>45574</v>
      </c>
      <c r="C1085">
        <v>2024</v>
      </c>
      <c r="D1085">
        <v>10</v>
      </c>
      <c r="E1085" t="s">
        <v>125</v>
      </c>
      <c r="F1085">
        <v>122</v>
      </c>
      <c r="G1085" t="s">
        <v>1000</v>
      </c>
      <c r="H1085" t="s">
        <v>24</v>
      </c>
      <c r="I1085">
        <v>0</v>
      </c>
      <c r="J1085">
        <v>0</v>
      </c>
      <c r="K1085">
        <v>7.1</v>
      </c>
      <c r="L1085">
        <v>71777</v>
      </c>
      <c r="M1085" t="s">
        <v>983</v>
      </c>
      <c r="N1085" t="str">
        <f t="shared" si="112"/>
        <v>cinema</v>
      </c>
      <c r="O1085" t="str">
        <f t="shared" si="113"/>
        <v>non-original</v>
      </c>
      <c r="P1085" t="str">
        <f t="shared" si="114"/>
        <v>non-franchise</v>
      </c>
      <c r="Q1085" t="str">
        <f t="shared" si="115"/>
        <v>new</v>
      </c>
      <c r="R1085" s="2">
        <f t="shared" si="116"/>
        <v>3.2722340756254138E-2</v>
      </c>
      <c r="S1085">
        <f t="shared" si="117"/>
        <v>0.57654135338345858</v>
      </c>
      <c r="T1085" t="str">
        <f t="shared" si="118"/>
        <v>Scenario 4: Hybrid Logic</v>
      </c>
    </row>
    <row r="1086" spans="1:20" x14ac:dyDescent="0.35">
      <c r="A1086" t="s">
        <v>1380</v>
      </c>
      <c r="B1086" s="1">
        <v>45609</v>
      </c>
      <c r="C1086">
        <v>2024</v>
      </c>
      <c r="D1086">
        <v>11</v>
      </c>
      <c r="E1086" t="s">
        <v>125</v>
      </c>
      <c r="F1086">
        <v>148</v>
      </c>
      <c r="G1086" t="s">
        <v>1006</v>
      </c>
      <c r="H1086" t="s">
        <v>24</v>
      </c>
      <c r="I1086">
        <v>1</v>
      </c>
      <c r="J1086">
        <v>1</v>
      </c>
      <c r="K1086">
        <v>6.5</v>
      </c>
      <c r="L1086">
        <v>290486</v>
      </c>
      <c r="M1086" t="s">
        <v>983</v>
      </c>
      <c r="N1086" t="str">
        <f t="shared" si="112"/>
        <v>cinema</v>
      </c>
      <c r="O1086" t="str">
        <f t="shared" si="113"/>
        <v>original</v>
      </c>
      <c r="P1086" t="str">
        <f t="shared" si="114"/>
        <v>franchise</v>
      </c>
      <c r="Q1086" t="str">
        <f t="shared" si="115"/>
        <v>old</v>
      </c>
      <c r="R1086" s="2">
        <f t="shared" si="116"/>
        <v>0.24097800823869045</v>
      </c>
      <c r="S1086">
        <f t="shared" si="117"/>
        <v>0.28834586466165418</v>
      </c>
      <c r="T1086" t="str">
        <f t="shared" si="118"/>
        <v>Scenario 1: Strong Commitment</v>
      </c>
    </row>
    <row r="1087" spans="1:20" x14ac:dyDescent="0.35">
      <c r="A1087" t="s">
        <v>1381</v>
      </c>
      <c r="B1087" s="1">
        <v>45666</v>
      </c>
      <c r="C1087">
        <v>2025</v>
      </c>
      <c r="D1087">
        <v>1</v>
      </c>
      <c r="E1087" t="s">
        <v>14</v>
      </c>
      <c r="F1087">
        <v>109</v>
      </c>
      <c r="G1087" t="s">
        <v>1207</v>
      </c>
      <c r="H1087" t="s">
        <v>24</v>
      </c>
      <c r="I1087">
        <v>0</v>
      </c>
      <c r="J1087">
        <v>0</v>
      </c>
      <c r="K1087">
        <v>3.1</v>
      </c>
      <c r="L1087">
        <v>2059</v>
      </c>
      <c r="M1087" t="s">
        <v>983</v>
      </c>
      <c r="N1087" t="str">
        <f t="shared" si="112"/>
        <v>cinema</v>
      </c>
      <c r="O1087" t="str">
        <f t="shared" si="113"/>
        <v>non-original</v>
      </c>
      <c r="P1087" t="str">
        <f t="shared" si="114"/>
        <v>non-franchise</v>
      </c>
      <c r="Q1087" t="str">
        <f t="shared" si="115"/>
        <v>new</v>
      </c>
      <c r="R1087" s="2">
        <f t="shared" si="116"/>
        <v>8.3865255460695699E-4</v>
      </c>
      <c r="S1087">
        <f t="shared" si="117"/>
        <v>0.27445488721804512</v>
      </c>
      <c r="T1087" t="str">
        <f t="shared" si="118"/>
        <v>Scenario 2: Weak Commitment/Convenience</v>
      </c>
    </row>
    <row r="1088" spans="1:20" x14ac:dyDescent="0.35">
      <c r="A1088" t="s">
        <v>1382</v>
      </c>
      <c r="B1088" s="1">
        <v>45674</v>
      </c>
      <c r="C1088">
        <v>2025</v>
      </c>
      <c r="D1088">
        <v>1</v>
      </c>
      <c r="E1088" t="s">
        <v>14</v>
      </c>
      <c r="F1088">
        <v>97</v>
      </c>
      <c r="G1088" t="s">
        <v>21</v>
      </c>
      <c r="H1088" t="s">
        <v>24</v>
      </c>
      <c r="I1088">
        <v>1</v>
      </c>
      <c r="J1088">
        <v>0</v>
      </c>
      <c r="K1088">
        <v>6.5</v>
      </c>
      <c r="L1088">
        <v>18903</v>
      </c>
      <c r="M1088" t="s">
        <v>983</v>
      </c>
      <c r="N1088" t="str">
        <f t="shared" si="112"/>
        <v>cinema</v>
      </c>
      <c r="O1088" t="str">
        <f t="shared" si="113"/>
        <v>original</v>
      </c>
      <c r="P1088" t="str">
        <f t="shared" si="114"/>
        <v>non-franchise</v>
      </c>
      <c r="Q1088" t="str">
        <f t="shared" si="115"/>
        <v>old</v>
      </c>
      <c r="R1088" s="2">
        <f t="shared" si="116"/>
        <v>1.0277629491387049E-2</v>
      </c>
      <c r="S1088">
        <f t="shared" si="117"/>
        <v>0.4129699248120301</v>
      </c>
      <c r="T1088" t="str">
        <f t="shared" si="118"/>
        <v>Scenario 2: Weak Commitment/Convenience</v>
      </c>
    </row>
    <row r="1089" spans="1:20" x14ac:dyDescent="0.35">
      <c r="A1089" t="s">
        <v>1383</v>
      </c>
      <c r="B1089" s="1">
        <v>45679</v>
      </c>
      <c r="C1089">
        <v>2025</v>
      </c>
      <c r="D1089">
        <v>1</v>
      </c>
      <c r="E1089" t="s">
        <v>14</v>
      </c>
      <c r="F1089">
        <v>91</v>
      </c>
      <c r="G1089" t="s">
        <v>982</v>
      </c>
      <c r="H1089" t="s">
        <v>24</v>
      </c>
      <c r="I1089">
        <v>1</v>
      </c>
      <c r="J1089">
        <v>0</v>
      </c>
      <c r="K1089">
        <v>5.2</v>
      </c>
      <c r="L1089">
        <v>43138</v>
      </c>
      <c r="M1089" t="s">
        <v>983</v>
      </c>
      <c r="N1089" t="str">
        <f t="shared" si="112"/>
        <v>cinema</v>
      </c>
      <c r="O1089" t="str">
        <f t="shared" si="113"/>
        <v>original</v>
      </c>
      <c r="P1089" t="str">
        <f t="shared" si="114"/>
        <v>non-franchise</v>
      </c>
      <c r="Q1089" t="str">
        <f t="shared" si="115"/>
        <v>old</v>
      </c>
      <c r="R1089" s="2">
        <f t="shared" si="116"/>
        <v>2.2003506055031014E-2</v>
      </c>
      <c r="S1089">
        <f t="shared" si="117"/>
        <v>0.34210526315789475</v>
      </c>
      <c r="T1089" t="str">
        <f t="shared" si="118"/>
        <v>Scenario 2: Weak Commitment/Convenience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UCHIV (2405613)</dc:creator>
  <cp:lastModifiedBy>AYA UCHIV (2405613)</cp:lastModifiedBy>
  <dcterms:created xsi:type="dcterms:W3CDTF">2026-03-30T13:39:44Z</dcterms:created>
  <dcterms:modified xsi:type="dcterms:W3CDTF">2026-03-30T18:47:25Z</dcterms:modified>
</cp:coreProperties>
</file>